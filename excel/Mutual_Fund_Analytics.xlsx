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SUS\Desktop\Mutual-Fund-Analytics\excel\"/>
    </mc:Choice>
  </mc:AlternateContent>
  <xr:revisionPtr revIDLastSave="0" documentId="13_ncr:1_{9FEC2FC3-C124-40B4-9852-83B5A024509A}" xr6:coauthVersionLast="47" xr6:coauthVersionMax="47" xr10:uidLastSave="{00000000-0000-0000-0000-000000000000}"/>
  <bookViews>
    <workbookView xWindow="-108" yWindow="-108" windowWidth="23256" windowHeight="12456" xr2:uid="{15DAEDDA-FD33-49FB-A910-6157A625B3EE}"/>
  </bookViews>
  <sheets>
    <sheet name="Dashboard" sheetId="1" r:id="rId1"/>
    <sheet name="Fund Explorer" sheetId="2" r:id="rId2"/>
    <sheet name="Fund Comparison" sheetId="3" r:id="rId3"/>
    <sheet name="Data" sheetId="4" r:id="rId4"/>
  </sheets>
  <definedNames>
    <definedName name="Chart_CAGR">Dashboard!$AV$21:INDEX(Dashboard!$AV:$AV,20+COUNTA(Dashboard!$AU$21:$AU$80))</definedName>
    <definedName name="Chart_Categories">Dashboard!$AU$21:INDEX(Dashboard!$AU:$AU,20+COUNTA(Dashboard!$AU$21:$AU$80))</definedName>
    <definedName name="ExternalData_1" localSheetId="3" hidden="1">Data!$A$1:$V$1609</definedName>
    <definedName name="FundNames">FundData[Scheme]</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4" l="1" a="1"/>
  <c r="X5" i="4" s="1"/>
  <c r="E17" i="2"/>
  <c r="C9" i="3"/>
  <c r="C16" i="3"/>
  <c r="D19" i="3"/>
  <c r="D18" i="3"/>
  <c r="D17" i="3"/>
  <c r="D16" i="3"/>
  <c r="D15" i="3"/>
  <c r="D14" i="3"/>
  <c r="D13" i="3"/>
  <c r="D12" i="3"/>
  <c r="D11" i="3"/>
  <c r="D10" i="3"/>
  <c r="D9" i="3"/>
  <c r="D8" i="3"/>
  <c r="D7" i="3"/>
  <c r="D6" i="3"/>
  <c r="C11" i="3"/>
  <c r="C19" i="3"/>
  <c r="C18" i="3"/>
  <c r="C17" i="3"/>
  <c r="C15" i="3"/>
  <c r="C14" i="3"/>
  <c r="C13" i="3"/>
  <c r="C12" i="3"/>
  <c r="C10" i="3"/>
  <c r="C8" i="3"/>
  <c r="C7" i="3"/>
  <c r="C6" i="3"/>
  <c r="E19" i="2"/>
  <c r="E18" i="2"/>
  <c r="F14" i="2"/>
  <c r="F13" i="2"/>
  <c r="F12" i="2"/>
  <c r="F11" i="2"/>
  <c r="F9" i="2"/>
  <c r="F8" i="2"/>
  <c r="F7" i="2"/>
  <c r="C11" i="2"/>
  <c r="C14" i="2"/>
  <c r="C13" i="2"/>
  <c r="C12" i="2"/>
  <c r="C10" i="2"/>
  <c r="C9" i="2"/>
  <c r="C8" i="2"/>
  <c r="C7" i="2"/>
  <c r="AU21" i="1" a="1"/>
  <c r="AU21" i="1" s="1"/>
  <c r="H4" i="1"/>
  <c r="F4" i="1"/>
  <c r="D4"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422C6C-38C9-49E8-B07B-C01305068AF4}" keepAlive="1" name="Query - Mutual_Funds_Scored" description="Connection to the 'Mutual_Funds_Scored' query in the workbook." type="5" refreshedVersion="8" background="1" saveData="1">
    <dbPr connection="Provider=Microsoft.Mashup.OleDb.1;Data Source=$Workbook$;Location=Mutual_Funds_Scored;Extended Properties=&quot;&quot;" command="SELECT * FROM [Mutual_Funds_Scor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<sst xmlns="http://schemas.openxmlformats.org/spreadsheetml/2006/main" count="6615" uniqueCount="1834">
  <si>
    <t>Scheme</t>
  </si>
  <si>
    <t>Category</t>
  </si>
  <si>
    <t>CAGR% 6 Months</t>
  </si>
  <si>
    <t>CAGR% 1 Year</t>
  </si>
  <si>
    <t>CAGR% 3 Year</t>
  </si>
  <si>
    <t>Exp. Ratio(%)</t>
  </si>
  <si>
    <t>6M_Score</t>
  </si>
  <si>
    <t>1Y_Score</t>
  </si>
  <si>
    <t>3Y_Score</t>
  </si>
  <si>
    <t>Performance_Score</t>
  </si>
  <si>
    <t>Cost_Score</t>
  </si>
  <si>
    <t>Return_Std</t>
  </si>
  <si>
    <t>Consistency_Score</t>
  </si>
  <si>
    <t>Overall_Score</t>
  </si>
  <si>
    <t>Category_Avg_3Y</t>
  </si>
  <si>
    <t>3Y_vs_Category</t>
  </si>
  <si>
    <t>Overall_Rank</t>
  </si>
  <si>
    <t>Category_Rank</t>
  </si>
  <si>
    <t>Type</t>
  </si>
  <si>
    <t>Benchmark</t>
  </si>
  <si>
    <t>Min. Invest(Rs.)</t>
  </si>
  <si>
    <t>SIP Min. Inv.(Rs.)</t>
  </si>
  <si>
    <t>ICICI Pru S&amp;P BSE Sensex Index Fund(IDCW)</t>
  </si>
  <si>
    <t>Index Funds - Sensex</t>
  </si>
  <si>
    <t>Open ended</t>
  </si>
  <si>
    <t>S&amp;P BSE SENSEX - TRI</t>
  </si>
  <si>
    <t>ICICI Pru S&amp;P BSE Sensex Index Fund(G)</t>
  </si>
  <si>
    <t>UTI Nifty 50 Index Fund-Reg(IDCW)</t>
  </si>
  <si>
    <t>Index Funds - Nifty</t>
  </si>
  <si>
    <t>NIFTY 50 - TRI</t>
  </si>
  <si>
    <t>UTI Nifty 50 Index Fund-Reg(G)</t>
  </si>
  <si>
    <t>ICICI Pru Nifty 50 Index Fund(G)</t>
  </si>
  <si>
    <t>HDFC Index Fund-S&amp;P BSE Sensex(G)</t>
  </si>
  <si>
    <t>HDFC Index Fund-NIFTY 50 Plan(G)</t>
  </si>
  <si>
    <t>ICICI Pru Passive Strategy Fund(FOF)(IDCW)</t>
  </si>
  <si>
    <t>FoFs (Domestic) - Equity Oriented</t>
  </si>
  <si>
    <t>NIFTY 200 - TRI</t>
  </si>
  <si>
    <t>ICICI Pru Passive Strategy Fund(FOF)(G)</t>
  </si>
  <si>
    <t>SBI Nifty Index Fund-Reg(IDCW)</t>
  </si>
  <si>
    <t>SBI Nifty Index Fund-Reg(G)</t>
  </si>
  <si>
    <t>Tata NIFTY 50 Index Fund-Reg(G)</t>
  </si>
  <si>
    <t>IDFC Nifty 50 Index Fund-Reg(G)</t>
  </si>
  <si>
    <t>Tata S&amp;P BSE Sensex Index Fund-Reg(G)</t>
  </si>
  <si>
    <t>Kotak Multi Asset Allocator FoF-Dynamic(IDCW)</t>
  </si>
  <si>
    <t>FoFs (Domestic) - Debt Oriented</t>
  </si>
  <si>
    <t/>
  </si>
  <si>
    <t>Kotak Multi Asset Allocator FoF-Dynamic(G)</t>
  </si>
  <si>
    <t>IDFC Nifty 50 Index Fund-Reg(IDCW)</t>
  </si>
  <si>
    <t>Aditya Birla SL Nifty 50 Index Fund-Reg(G)</t>
  </si>
  <si>
    <t>Aditya Birla SL Nifty 50 Index Fund-Reg(IDCW-Reinv)</t>
  </si>
  <si>
    <t>Nippon India Small Cap Fund(IDCW)</t>
  </si>
  <si>
    <t>Equity - Small cap Fund</t>
  </si>
  <si>
    <t>Nifty Smallcap 250 - TRI</t>
  </si>
  <si>
    <t>Nippon India Index Fund-Nifty 50 Plan(G)</t>
  </si>
  <si>
    <t>Nippon India Small Cap Fund(G)</t>
  </si>
  <si>
    <t>Franklin India NSE Nifty 50 Index Fund(G)</t>
  </si>
  <si>
    <t>Franklin India NSE Nifty 50 Index Fund(IDCW)</t>
  </si>
  <si>
    <t>Quantum Gold Saving Fund-Reg(G)</t>
  </si>
  <si>
    <t>FoFs (Domestic / Overseas ) - Gold</t>
  </si>
  <si>
    <t>Gold-India</t>
  </si>
  <si>
    <t>Nippon India Index Fund-Nifty 50 Plan(Q-IDCW)</t>
  </si>
  <si>
    <t>Nippon India Index Fund-Nifty 50 Plan(H-IDCW)</t>
  </si>
  <si>
    <t>Nippon India Index Fund-Nifty 50 Plan(A-IDCW)</t>
  </si>
  <si>
    <t>Nippon India Index Fund-S&amp;P BSE Sensex Plan(G)</t>
  </si>
  <si>
    <t>DSP Nifty 50 Equal Weight Index Fund-Reg(IDCW)</t>
  </si>
  <si>
    <t>NIFTY50 Equal Weight - TRI</t>
  </si>
  <si>
    <t>DSP Nifty 50 Equal Weight Index Fund-Reg(G)</t>
  </si>
  <si>
    <t>Nippon India Index Fund-S&amp;P BSE Sensex Plan(H-IDCW)</t>
  </si>
  <si>
    <t>Nippon India Index Fund-S&amp;P BSE Sensex Plan(Q-IDCW)</t>
  </si>
  <si>
    <t>Nippon India Index Fund-S&amp;P BSE Sensex Plan(A-IDCW)</t>
  </si>
  <si>
    <t>ICICI Pru Thematic Advantage Fund(FOF)(G)</t>
  </si>
  <si>
    <t>Nippon India Gold Savings Fund(IDCW)</t>
  </si>
  <si>
    <t>Nippon India Gold Savings Fund(G)</t>
  </si>
  <si>
    <t>SBI Gold-Reg(IDCW)</t>
  </si>
  <si>
    <t>Gold-London Bullion Market association (LBMA)</t>
  </si>
  <si>
    <t>SBI Gold-Reg(G)</t>
  </si>
  <si>
    <t>ICICI Pru Value Discovery Fund(G)</t>
  </si>
  <si>
    <t>Equity - Value Fund</t>
  </si>
  <si>
    <t>NIFTY 500 - TRI</t>
  </si>
  <si>
    <t>Invesco India Gold Fund(G)</t>
  </si>
  <si>
    <t>Invesco India Gold Fund(IDCW)</t>
  </si>
  <si>
    <t>Taurus Nifty 50 Index Fund-Reg(G)</t>
  </si>
  <si>
    <t>Taurus Nifty 50 Index Fund-Reg(IDCW)</t>
  </si>
  <si>
    <t>IDBI Nifty Index Fund(IDCW)</t>
  </si>
  <si>
    <t>IDBI Nifty Index Fund(G)</t>
  </si>
  <si>
    <t>Nippon India Quant Fund(G)</t>
  </si>
  <si>
    <t>Equity - Thematic Fund - Other</t>
  </si>
  <si>
    <t>S&amp;P BSE 200 - TRI</t>
  </si>
  <si>
    <t>Nippon India Quant Fund(IDCW)</t>
  </si>
  <si>
    <t>Kotak Gold Fund(G)</t>
  </si>
  <si>
    <t>Kotak Gold Fund(IDCW)</t>
  </si>
  <si>
    <t>Quantum Equity FoF-Reg(IDCW)</t>
  </si>
  <si>
    <t>Quantum Equity FoF-Reg(G)</t>
  </si>
  <si>
    <t>ICICI Pru Value Discovery Fund(IDCW)</t>
  </si>
  <si>
    <t>ICICI Pru Regular Gold Savings Fund(FOF)(IDCW)</t>
  </si>
  <si>
    <t>ICICI Pru Regular Gold Savings Fund(FOF)(G)</t>
  </si>
  <si>
    <t>Aditya Birla SL Gold Fund(IDCW)</t>
  </si>
  <si>
    <t>Aditya Birla SL Gold Fund(G)</t>
  </si>
  <si>
    <t>Axis Gold Fund-Reg(IDCW)</t>
  </si>
  <si>
    <t>Axis Gold Fund-Reg(G)</t>
  </si>
  <si>
    <t>LIC MF Nifty 50 Index Fund(IDCW)</t>
  </si>
  <si>
    <t>LIC MF Nifty 50 Index Fund(G)</t>
  </si>
  <si>
    <t>LIC MF S&amp;P BSE Sensex Index Fund(IDCW)</t>
  </si>
  <si>
    <t>LIC MF S&amp;P BSE Sensex Index Fund(G)</t>
  </si>
  <si>
    <t>Quant Small Cap Fund(IDCW)</t>
  </si>
  <si>
    <t>SBI Contra Fund-Reg(G)</t>
  </si>
  <si>
    <t>Equity - Contra Fund</t>
  </si>
  <si>
    <t>S&amp;P BSE 500 - TRI</t>
  </si>
  <si>
    <t>SBI Contra Fund-Reg(IDCW)</t>
  </si>
  <si>
    <t>Quant Small Cap Fund(G)</t>
  </si>
  <si>
    <t>HDFC Gold Fund(G)</t>
  </si>
  <si>
    <t>Aditya Birla SL Financial Planning FOF Moderate Plan(G)</t>
  </si>
  <si>
    <t>CRISIL Hybrid 50+50 - Moderate Index</t>
  </si>
  <si>
    <t>Aditya Birla SL Financial Planning FOF Moderate Plan(IDCW-Payout)</t>
  </si>
  <si>
    <t>Sundaram Nifty 100 Equal Weight Fund(G)</t>
  </si>
  <si>
    <t>Index Funds - Other</t>
  </si>
  <si>
    <t>Nifty100 Equal Weight - TRI</t>
  </si>
  <si>
    <t>Sundaram Nifty 100 Equal Weight Fund(IDCW)</t>
  </si>
  <si>
    <t>IDBI Gold Fund(G)</t>
  </si>
  <si>
    <t>SBI Small Cap Fund-Reg(IDCW-Payout)</t>
  </si>
  <si>
    <t>S&amp;P BSE 250 Small Cap - TRI</t>
  </si>
  <si>
    <t>SBI Small Cap Fund-Reg(G)</t>
  </si>
  <si>
    <t>Quant Multi Asset Fund(IDCW)</t>
  </si>
  <si>
    <t>Hybrid - Multi Asset Allocation</t>
  </si>
  <si>
    <t>Quant Multi Asset Fund(G)</t>
  </si>
  <si>
    <t>Kotak Emerging Equity Fund(G)</t>
  </si>
  <si>
    <t>Equity - Mid Cap Fund</t>
  </si>
  <si>
    <t>Nifty Midcap 150 - TRI</t>
  </si>
  <si>
    <t>Kotak Emerging Equity Fund(IDCW)</t>
  </si>
  <si>
    <t>SBI Magnum Midcap Fund-Reg(IDCW)</t>
  </si>
  <si>
    <t>Nifty Free Float Midcap 150 - TRI</t>
  </si>
  <si>
    <t>SBI Magnum Midcap Fund-Reg(G)</t>
  </si>
  <si>
    <t>Quant Mid Cap Fund(IDCW)</t>
  </si>
  <si>
    <t>Aditya Birla SL Financial Planning FOF Aggressive Plan(G)</t>
  </si>
  <si>
    <t>CRISIL Hybrid 35+65 - Aggressive Index</t>
  </si>
  <si>
    <t>Aditya Birla SL Financial Planning FOF Aggressive Plan(IDCW-Payout)</t>
  </si>
  <si>
    <t>PGIM India Midcap Opp Fund-Reg(G)</t>
  </si>
  <si>
    <t>Quant Absolute Fund(IDCW)</t>
  </si>
  <si>
    <t>Hybrid - Aggressive Hybrid Fund</t>
  </si>
  <si>
    <t>CRISIL Hybrid 25+75 - Aggressive Index</t>
  </si>
  <si>
    <t>Aditya Birla SL Financial Planning FOF Conservative Plan(G)</t>
  </si>
  <si>
    <t>CRISIL Short Term Debt Hybrid 75+25 Fund Index</t>
  </si>
  <si>
    <t>Quant Absolute Fund(G)</t>
  </si>
  <si>
    <t>Aditya Birla SL Financial Planning FOF Conservative Plan(IDCW-Payout)</t>
  </si>
  <si>
    <t>PGIM India Midcap Opp Fund-Reg(IDCW)</t>
  </si>
  <si>
    <t>Quantum Multi Asset FOFs-Reg(G)</t>
  </si>
  <si>
    <t>Quant Mid Cap Fund(G)</t>
  </si>
  <si>
    <t>Parag Parikh Flexi Cap Fund-Reg(G)</t>
  </si>
  <si>
    <t>Equity - Flexi Cap Fund</t>
  </si>
  <si>
    <t>Axis Small Cap Fund-Reg(G)</t>
  </si>
  <si>
    <t>ICICI Pru Nifty Next 50 Index Fund(G)</t>
  </si>
  <si>
    <t>Index Funds - Nifty Next 50</t>
  </si>
  <si>
    <t>NIFTY NEXT 50 - TRI</t>
  </si>
  <si>
    <t>ICICI Pru Nifty Next 50 Index Fund(IDCW)</t>
  </si>
  <si>
    <t>Bank of India Short Term Income Fund-Reg(M-IDCW)</t>
  </si>
  <si>
    <t>Debt - Short Duration Fund</t>
  </si>
  <si>
    <t>Bank of India Short Term Income Fund-Reg(G)</t>
  </si>
  <si>
    <t>Bank of India Short Term Income Fund-Reg(Q-IDCW)</t>
  </si>
  <si>
    <t>ICICI Pru Equity &amp; Debt Fund(G)</t>
  </si>
  <si>
    <t>Axis Small Cap Fund-Reg(IDCW)</t>
  </si>
  <si>
    <t>UTI Banking &amp; PSU Debt Fund-Reg(IDCW)</t>
  </si>
  <si>
    <t>Debt - Banking and PSU Fund</t>
  </si>
  <si>
    <t>CRISIL Banking and PSU Debt Index</t>
  </si>
  <si>
    <t>UTI Banking &amp; PSU Debt Fund-Reg(G)</t>
  </si>
  <si>
    <t>ICICI Pru Equity &amp; Debt Fund(A-IDCW)</t>
  </si>
  <si>
    <t>SBI Technology Opp Fund-Reg(IDCW)</t>
  </si>
  <si>
    <t>Equity - Sectoral Fund - Technology</t>
  </si>
  <si>
    <t>S&amp;P BSE TECk Index - TRI</t>
  </si>
  <si>
    <t>SBI Technology Opp Fund-Reg(G)</t>
  </si>
  <si>
    <t>DSP World Mining Fund-Reg(IDCW)</t>
  </si>
  <si>
    <t>FoFs (Overseas)</t>
  </si>
  <si>
    <t>MSCI ACWI Metals &amp; Mining 30% Buffer 10/40 (1994) Net TRI</t>
  </si>
  <si>
    <t>DSP World Mining Fund-Reg(G)</t>
  </si>
  <si>
    <t>Kotak Small Cap Fund(G)</t>
  </si>
  <si>
    <t>HSBC Small Cap Fund-Reg(G)</t>
  </si>
  <si>
    <t>HDFC Dynamic PE Ratio FOF-Reg(G)</t>
  </si>
  <si>
    <t>NIFTY 50 Hybrid Composite Debt 65:35 Index</t>
  </si>
  <si>
    <t>HDFC Dynamic PE Ratio FOF-Reg(IDCW)</t>
  </si>
  <si>
    <t>Kotak Small Cap Fund(IDCW)</t>
  </si>
  <si>
    <t>Quant Flexi Cap Fund(G)</t>
  </si>
  <si>
    <t>Nippon India Growth Fund(G)</t>
  </si>
  <si>
    <t>ICICI Pru Smallcap Fund(G)</t>
  </si>
  <si>
    <t>Quant Flexi Cap Fund(IDCW)</t>
  </si>
  <si>
    <t>ICICI Pru Smallcap Fund(IDCW)</t>
  </si>
  <si>
    <t>Quant Infrastructure Fund(G)</t>
  </si>
  <si>
    <t>Equity - Sectoral Fund - Infrastructure</t>
  </si>
  <si>
    <t>Nifty Infrastructure - TRI</t>
  </si>
  <si>
    <t>Quant Infrastructure Fund(IDCW)</t>
  </si>
  <si>
    <t>HSBC Small Cap Fund-Reg(IDCW)</t>
  </si>
  <si>
    <t>DSP Small Cap Fund-Reg(G)</t>
  </si>
  <si>
    <t>HDFC Small Cap Fund-Reg(G)</t>
  </si>
  <si>
    <t>IDBI Liquid Fund(G)</t>
  </si>
  <si>
    <t>Debt - Liquid Fund</t>
  </si>
  <si>
    <t>Nippon India Growth Fund(IDCW)</t>
  </si>
  <si>
    <t>Mirae Asset Emerging Bluechip-Reg(G)</t>
  </si>
  <si>
    <t>Equity - Large &amp; Mid Cap Fund</t>
  </si>
  <si>
    <t>NIFTY LargeMidcap 250 - TRI</t>
  </si>
  <si>
    <t>Mirae Asset Emerging Bluechip-Reg(IDCW)</t>
  </si>
  <si>
    <t>ICICI Pru Focused Equity Fund(G)</t>
  </si>
  <si>
    <t>Equity - Focused Fund</t>
  </si>
  <si>
    <t>HDFC Small Cap Fund-Reg(IDCW)</t>
  </si>
  <si>
    <t>Mirae Asset Tax Saver Fund-Reg(G)</t>
  </si>
  <si>
    <t>Equity - ELSS</t>
  </si>
  <si>
    <t>Mirae Asset Tax Saver Fund-Reg(IDCW)</t>
  </si>
  <si>
    <t>Aditya Birla SL Global Emerging Opp Fund(G)</t>
  </si>
  <si>
    <t>MSCI AC World Index</t>
  </si>
  <si>
    <t>Aditya Birla SL Global Emerging Opp Fund(IDCW)</t>
  </si>
  <si>
    <t>HDFC Mid-Cap Opportunities Fund(G)</t>
  </si>
  <si>
    <t>Franklin India Liquid Fund-Super Inst(G)</t>
  </si>
  <si>
    <t>Canara Rob Liquid Fund-Reg(G)</t>
  </si>
  <si>
    <t>DSP Small Cap Fund-Reg(IDCW-Reinv)</t>
  </si>
  <si>
    <t>DSP Small Cap Fund-Reg(IDCW)</t>
  </si>
  <si>
    <t>Axis Liquid Fund-Reg(G)</t>
  </si>
  <si>
    <t>Nifty Liquid Fund Index</t>
  </si>
  <si>
    <t>ICICI Pru Focused Equity Fund(IDCW)</t>
  </si>
  <si>
    <t>UTI Overnight Fund-Reg(G)</t>
  </si>
  <si>
    <t>Debt - Overnight Fund</t>
  </si>
  <si>
    <t>CRISIL Overnight Index</t>
  </si>
  <si>
    <t>Navi Liquid Fund-Reg(G)</t>
  </si>
  <si>
    <t>ICICI Pru Multi-Asset Fund(G)</t>
  </si>
  <si>
    <t>IDFC All Seasons Bond Fund-Reg(G)</t>
  </si>
  <si>
    <t>NIFTY Medium Duration Debt Index</t>
  </si>
  <si>
    <t>Bank of India Liquid Fund-Reg(G)</t>
  </si>
  <si>
    <t>HSBC Liquid Fund(G)</t>
  </si>
  <si>
    <t>Invesco India Liquid Fund(G)</t>
  </si>
  <si>
    <t>UTI Liquid Cash Plan-Reg(G)</t>
  </si>
  <si>
    <t>Motilal Oswal Midcap Fund-Reg(G)</t>
  </si>
  <si>
    <t>ICICI Pru Large &amp; Mid Cap Fund(G)</t>
  </si>
  <si>
    <t>UTI Treasury Advantage Fund-Reg(M-IDCW)</t>
  </si>
  <si>
    <t>Debt - Low Duration Fund</t>
  </si>
  <si>
    <t>CRISIL Low Duration Debt Index</t>
  </si>
  <si>
    <t>UTI Treasury Advantage Fund-Reg(DD-IDCW)</t>
  </si>
  <si>
    <t>UTI Treasury Advantage Fund-Reg(G)</t>
  </si>
  <si>
    <t>UTI Treasury Advantage Fund-Reg(W-IDCW)</t>
  </si>
  <si>
    <t>IDFC Sterling Value Fund-Reg(G)</t>
  </si>
  <si>
    <t>Mahindra Manulife Liquid Fund-Reg(G)</t>
  </si>
  <si>
    <t>IDBI Liquid Fund(W-IDCW)</t>
  </si>
  <si>
    <t>IDBI Liquid Fund(M-IDCW)</t>
  </si>
  <si>
    <t>IDBI Liquid Fund(DD-IDCW)</t>
  </si>
  <si>
    <t>Motilal Oswal Midcap Fund-Reg(IDCW)</t>
  </si>
  <si>
    <t>IDBI Nifty Junior Index Fund(IDCW)</t>
  </si>
  <si>
    <t>IDBI Nifty Junior Index Fund(G)</t>
  </si>
  <si>
    <t>JM Liquid Fund(Q-IDCW)</t>
  </si>
  <si>
    <t>JM Liquid Fund(G)</t>
  </si>
  <si>
    <t>ICICI Pru Asset Allocator Fund(FOF)(G)</t>
  </si>
  <si>
    <t>Union Liquid Fund(G)</t>
  </si>
  <si>
    <t>ICICI Pru Large &amp; Mid Cap Fund(IDCW)</t>
  </si>
  <si>
    <t>IDFC Tax Advt(ELSS) Fund-Reg(G)</t>
  </si>
  <si>
    <t>IDFC Cash Fund-Reg(G)</t>
  </si>
  <si>
    <t>PGIM India Liquid Fund(G)</t>
  </si>
  <si>
    <t>HDFC Flexi Cap Fund(G)</t>
  </si>
  <si>
    <t>Mirae Asset Cash Management-Reg(G)</t>
  </si>
  <si>
    <t>JM Low Duration Fund(DD-IDCW)</t>
  </si>
  <si>
    <t>JM Low Duration Fund(FN-IDCW)</t>
  </si>
  <si>
    <t>JM Low Duration Fund(G)</t>
  </si>
  <si>
    <t>HDFC Mid-Cap Opportunities Fund(IDCW)</t>
  </si>
  <si>
    <t>JM Low Duration Fund(W-IDCW)</t>
  </si>
  <si>
    <t>DSP Liquidity Fund-Reg(G)</t>
  </si>
  <si>
    <t>Franklin India Flexi Cap Fund(G)</t>
  </si>
  <si>
    <t>SBI Overnight Fund-Reg(G)</t>
  </si>
  <si>
    <t>Quant Tax Plan(IDCW)</t>
  </si>
  <si>
    <t>UTI Money Market Fund-Reg(W-IDCW)</t>
  </si>
  <si>
    <t>Debt - Money Market Fund</t>
  </si>
  <si>
    <t>CRISIL Money Market Index</t>
  </si>
  <si>
    <t>UTI Money Market Fund-Reg(G)</t>
  </si>
  <si>
    <t>IDFC Tax Advt(ELSS) Fund-Reg(IDCW)</t>
  </si>
  <si>
    <t>IDFC Sterling Value Fund-Reg(IDCW)</t>
  </si>
  <si>
    <t>UTI Overnight Fund-Reg(DD-IDCW)</t>
  </si>
  <si>
    <t>SBI Large &amp; Midcap Fund-Reg(IDCW)</t>
  </si>
  <si>
    <t>SBI Large &amp; Midcap Fund-Reg(G)</t>
  </si>
  <si>
    <t>SBI Liquid Fund-Reg(G)</t>
  </si>
  <si>
    <t>ICICI Pru Bluechip Fund(G)</t>
  </si>
  <si>
    <t>Equity - Large Cap Fund</t>
  </si>
  <si>
    <t>NIFTY 100 - TRI</t>
  </si>
  <si>
    <t>UTI Money Market Fund-Reg(M-IDCW)</t>
  </si>
  <si>
    <t>ICICI Pru Liquid Fund(G)</t>
  </si>
  <si>
    <t>UTI Money Market Fund-Reg(DD-IDCW)</t>
  </si>
  <si>
    <t>Franklin India Focused Equity Fund(G)</t>
  </si>
  <si>
    <t>Quant Tax Plan(G)</t>
  </si>
  <si>
    <t>UTI Overnight Fund-Reg(IDCW)</t>
  </si>
  <si>
    <t>LIC MF Liquid Fund-Reg(G)</t>
  </si>
  <si>
    <t>HDFC Overnight Fund(G)</t>
  </si>
  <si>
    <t>ICICI Pru Multi-Asset Fund(IDCW)</t>
  </si>
  <si>
    <t>Canara Rob Liquid Fund-Reg(DD-IDCW)</t>
  </si>
  <si>
    <t>HDFC Liquid Fund(G)</t>
  </si>
  <si>
    <t>Quant Large &amp; Mid Cap Fund(IDCW)</t>
  </si>
  <si>
    <t>Canara Rob Liquid Fund-Reg(W-IDCW)</t>
  </si>
  <si>
    <t>Tata Liquid Fund-Reg(G)</t>
  </si>
  <si>
    <t>Axis Liquid Fund-Reg(M-IDCW)</t>
  </si>
  <si>
    <t>Quantum Liquid Fund-Reg(G)</t>
  </si>
  <si>
    <t>SBI BlueChip Fund-Reg(G)</t>
  </si>
  <si>
    <t>S&amp;P BSE 100 - TRI</t>
  </si>
  <si>
    <t>SBI BlueChip Fund-Reg(IDCW)</t>
  </si>
  <si>
    <t>Axis Liquid Fund-Reg(DD-IDCW)</t>
  </si>
  <si>
    <t>Aditya Birla SL Money Manager Fund(G)</t>
  </si>
  <si>
    <t>Nifty Money Market Index</t>
  </si>
  <si>
    <t>IIFL Liquid Fund-Reg(G)</t>
  </si>
  <si>
    <t>Franklin India Liquid Fund-Super Inst(DD-IDCW)</t>
  </si>
  <si>
    <t>Quant Large &amp; Mid Cap Fund(G)</t>
  </si>
  <si>
    <t>ICICI Pru Bluechip Fund(IDCW)</t>
  </si>
  <si>
    <t>Bank of India Liquid Fund-Reg(W-IDCW)</t>
  </si>
  <si>
    <t>Navi Liquid Fund-Reg(W-IDCW)</t>
  </si>
  <si>
    <t>ICICI Pru Money Market Fund(G)</t>
  </si>
  <si>
    <t>Franklin India Liquid Fund-Super Inst(W-IDCW)</t>
  </si>
  <si>
    <t>Bank of India Liquid Fund-Reg(DD-IDCW)</t>
  </si>
  <si>
    <t>IDFC All Seasons Bond Fund-Reg(Q-IDCW)</t>
  </si>
  <si>
    <t>Franklin India Focused Equity Fund(IDCW)</t>
  </si>
  <si>
    <t>Kotak Liquid Fund-Reg(G)</t>
  </si>
  <si>
    <t>Aditya Birla SL Money Manager Fund(W-IDCW)</t>
  </si>
  <si>
    <t>UTI Liquid Cash Plan-Reg(M-IDCW)</t>
  </si>
  <si>
    <t>Franklin India Flexi Cap Fund(IDCW)</t>
  </si>
  <si>
    <t>Navi Liquid Fund-Reg(DD-IDCW)</t>
  </si>
  <si>
    <t>Invesco India Liquid Fund(DD-IDCW)</t>
  </si>
  <si>
    <t>Invesco India Liquid Fund(W-IDCW)</t>
  </si>
  <si>
    <t>HSBC Liquid Fund(DD-IDCW)</t>
  </si>
  <si>
    <t>UTI Liquid Cash Plan-Reg(DD-IDCW)</t>
  </si>
  <si>
    <t>Aditya Birla SL Money Manager Fund(DD-IDCW)</t>
  </si>
  <si>
    <t>Aditya Birla SL Liquid Fund(G)</t>
  </si>
  <si>
    <t>Franklin India Savings Fund(G)</t>
  </si>
  <si>
    <t>Invesco India Liquid Fund(M-IDCW)</t>
  </si>
  <si>
    <t>Mirae Asset Large Cap Fund-Reg(G)</t>
  </si>
  <si>
    <t>Nippon India Liquid Fund(G)</t>
  </si>
  <si>
    <t>ICICI Pru Money Market Fund(DD-IDCW)</t>
  </si>
  <si>
    <t>ICICI Pru Money Market Fund(W-IDCW)</t>
  </si>
  <si>
    <t>Indiabulls Liquid Fund-Reg(G)</t>
  </si>
  <si>
    <t>UTI Liquid Cash Plan-Reg(W-IDCW)</t>
  </si>
  <si>
    <t>HSBC Liquid Fund(W-IDCW)</t>
  </si>
  <si>
    <t>Templeton India Equity Income Fund(G)</t>
  </si>
  <si>
    <t>Equity - Dividend Yield Fund</t>
  </si>
  <si>
    <t>Nifty Dividend Opportunities 50</t>
  </si>
  <si>
    <t>IDFC All Seasons Bond Fund-Reg(A-IDCW)</t>
  </si>
  <si>
    <t>Union Liquid Fund(W-IDCW)</t>
  </si>
  <si>
    <t>Union Liquid Fund(DD-IDCW)</t>
  </si>
  <si>
    <t>Union Liquid Fund(FN-IDCW Reinv)</t>
  </si>
  <si>
    <t>Union Liquid Fund(FN-IDCW Payout)</t>
  </si>
  <si>
    <t>Nippon India Money Market Fund(G)</t>
  </si>
  <si>
    <t>IIFL Focused Equity Fund-Reg(IDCW)</t>
  </si>
  <si>
    <t>IIFL Focused Equity Fund-Reg(G)</t>
  </si>
  <si>
    <t>IDFC All Seasons Bond Fund-Reg(H-IDCW)</t>
  </si>
  <si>
    <t>Axis Midcap Fund-Reg(G)</t>
  </si>
  <si>
    <t>S&amp;P BSE 150 MidCap - TRI</t>
  </si>
  <si>
    <t>Nippon India Money Market Fund(M-IDCW)</t>
  </si>
  <si>
    <t>Nippon India Money Market Fund(W-IDCW)</t>
  </si>
  <si>
    <t>Navi Liquid Fund-Reg(M-IDCW)</t>
  </si>
  <si>
    <t>Canara Rob Emerg Equities Fund-Reg(G)</t>
  </si>
  <si>
    <t>Nippon India Money Market Fund(DD-IDCW)</t>
  </si>
  <si>
    <t>PGIM India Liquid Fund(M-IDCW)</t>
  </si>
  <si>
    <t>Kotak Equity Opp Fund(G)</t>
  </si>
  <si>
    <t>Mahindra Manulife Liquid Fund-Reg(DD-IDCW)</t>
  </si>
  <si>
    <t>Mahindra Manulife Liquid Fund-Reg(W-IDCW)</t>
  </si>
  <si>
    <t>Union Liquid Fund(M-IDCW)</t>
  </si>
  <si>
    <t>Union Liquid Fund(M-IDCW Reinv)</t>
  </si>
  <si>
    <t>Mirae Asset Large Cap Fund-Reg(IDCW)</t>
  </si>
  <si>
    <t>Nippon India Money Market Fund(Q-IDCW)</t>
  </si>
  <si>
    <t>JM Liquid Fund(DD-IDCW)</t>
  </si>
  <si>
    <t>Canara Rob Emerg Equities Fund-Reg(IDCW)</t>
  </si>
  <si>
    <t>JM Liquid Fund(W-IDCW)</t>
  </si>
  <si>
    <t>Aditya Birla SL Corp Bond Fund(G)</t>
  </si>
  <si>
    <t>Debt - Corporate Bond Fund</t>
  </si>
  <si>
    <t>NIFTY Corporate Bond Index</t>
  </si>
  <si>
    <t>IDFC Cash Fund-Reg(DD-IDCW)</t>
  </si>
  <si>
    <t>DSP Tax Saver Fund-Reg(G)</t>
  </si>
  <si>
    <t>PGIM India Liquid Fund(W-IDCW)</t>
  </si>
  <si>
    <t>IDFC Cash Fund-Reg(W-IDCW)</t>
  </si>
  <si>
    <t>PGIM India Liquid Fund(DD-IDCW)</t>
  </si>
  <si>
    <t>Edelweiss Mid Cap Fund-Reg(G)</t>
  </si>
  <si>
    <t>IDFC Cash Fund-Reg(M-IDCW)</t>
  </si>
  <si>
    <t>Franklin India Savings Fund(DD-IDCW)</t>
  </si>
  <si>
    <t>Mirae Asset Cash Management-Reg(W-IDCW)</t>
  </si>
  <si>
    <t>Axis Money Market Fund-Reg(A-IDCW)</t>
  </si>
  <si>
    <t>Axis Money Market Fund-Reg(G)</t>
  </si>
  <si>
    <t>Aditya Birla SL Active Debt Multi-Mgr FoF(IDCW)</t>
  </si>
  <si>
    <t>Aditya Birla SL Active Debt Multi-Mgr FoF(IDCW-Payout)</t>
  </si>
  <si>
    <t>Aditya Birla SL Active Debt Multi-Mgr FoF(G)</t>
  </si>
  <si>
    <t>Aditya Birla SL Corp Bond Fund(M-IDCW)</t>
  </si>
  <si>
    <t>Mirae Asset Cash Management-Reg(DD-IDCW)</t>
  </si>
  <si>
    <t>Axis Midcap Fund-Reg(IDCW)</t>
  </si>
  <si>
    <t>Axis Money Market Fund-Reg(M-IDCW)</t>
  </si>
  <si>
    <t>DSP Liquidity Fund-Reg(W-IDCW)</t>
  </si>
  <si>
    <t>HDFC Flexi Cap Fund(IDCW)</t>
  </si>
  <si>
    <t>Axis Money Market Fund-Reg(Q-IDCW)</t>
  </si>
  <si>
    <t>Templeton India Equity Income Fund(IDCW)</t>
  </si>
  <si>
    <t>Tata Equity Savings Fund-Reg(G)</t>
  </si>
  <si>
    <t>Hybrid - Equity Savings</t>
  </si>
  <si>
    <t>NIFTY 50 Equity Savings Index</t>
  </si>
  <si>
    <t>SBI Liquid Fund-Reg(FN-IDCW)</t>
  </si>
  <si>
    <t>Sundaram Money Market Fund-Reg(M-IDCW)</t>
  </si>
  <si>
    <t>Tata Ethical Fund-Reg(G)</t>
  </si>
  <si>
    <t>Nifty500 Shariah - TRI</t>
  </si>
  <si>
    <t>Tata Equity Savings Fund-Reg(P-IDCW)</t>
  </si>
  <si>
    <t>Sundaram Money Market Fund-Reg(G)</t>
  </si>
  <si>
    <t>Axis Money Market Fund-Reg(DD-IDCW)</t>
  </si>
  <si>
    <t>SBI Liquid Fund-Reg(W-IDCW)</t>
  </si>
  <si>
    <t>SBI Liquid Fund-Reg(DD-IDCW)</t>
  </si>
  <si>
    <t>Aditya Birla SL Floating Rate Fund(G)</t>
  </si>
  <si>
    <t>Debt - Floater Fund</t>
  </si>
  <si>
    <t>Sundaram Money Market Fund-Reg(W-IDCW)</t>
  </si>
  <si>
    <t>Tata Ethical Fund-Reg(IDCW)</t>
  </si>
  <si>
    <t>ICICI Pru Liquid Fund(W-IDCW)</t>
  </si>
  <si>
    <t>Sundaram Money Market Fund-Reg(Q-IDCW)</t>
  </si>
  <si>
    <t>Franklin India Savings Fund(Q-IDCW)</t>
  </si>
  <si>
    <t>ICICI Pru Liquid Fund(DD-IDCW)</t>
  </si>
  <si>
    <t>Edelweiss Liquid Fund-Reg(G)</t>
  </si>
  <si>
    <t>Sundaram Money Market Fund-Reg(DD-IDCW)</t>
  </si>
  <si>
    <t>Quant Active Fund(G)</t>
  </si>
  <si>
    <t>Equity - Multi Cap Fund</t>
  </si>
  <si>
    <t>Nifty500 Multicap 50:25:25 - TRI</t>
  </si>
  <si>
    <t>Kotak Equity Opp Fund(IDCW)</t>
  </si>
  <si>
    <t>Aditya Birla SL Floating Rate Fund(W-IDCW)</t>
  </si>
  <si>
    <t>Baroda BNP Paribas Ultra Short Duration Fund-Reg(G)</t>
  </si>
  <si>
    <t>Debt - Ultra Short Duration Fund</t>
  </si>
  <si>
    <t>CRISIL Ultra Short Term Debt Index</t>
  </si>
  <si>
    <t>LIC MF Liquid Fund-Reg(DD-IDCW)</t>
  </si>
  <si>
    <t>Aditya Birla SL Floating Rate Fund(DD-IDCW)</t>
  </si>
  <si>
    <t>DSP Tax Saver Fund-Reg(IDCW)</t>
  </si>
  <si>
    <t>Nippon India Value Fund(G)</t>
  </si>
  <si>
    <t>HDFC Money Market Fund(G)</t>
  </si>
  <si>
    <t>Tata Mid Cap Growth Fund-Reg(G)</t>
  </si>
  <si>
    <t>Quant Active Fund(IDCW)</t>
  </si>
  <si>
    <t>HDFC Liquid Fund(M-IDCW)</t>
  </si>
  <si>
    <t>Baroda BNP Paribas Ultra Short Duration Fund-Reg(DD-IDCW)</t>
  </si>
  <si>
    <t>HDFC Liquid Fund(W-IDCW)</t>
  </si>
  <si>
    <t>Nippon India Focused Equity Fund(G)</t>
  </si>
  <si>
    <t>HDFC Balanced Advantage Fund(G)</t>
  </si>
  <si>
    <t>Hybrid - Balanced Advantage</t>
  </si>
  <si>
    <t>NIFTY 50 Hybrid Composite Debt 50:50 Index</t>
  </si>
  <si>
    <t>HDFC Liquid Fund(DD-IDCW)</t>
  </si>
  <si>
    <t>Tata Money Market Fund-Reg(G)</t>
  </si>
  <si>
    <t>HDFC Floating Rate Debt Fund(G)</t>
  </si>
  <si>
    <t>NIFTY Low Duration Debt Index</t>
  </si>
  <si>
    <t>IIFL Liquid Fund-Reg(DD-IDCW)</t>
  </si>
  <si>
    <t>Quantum Liquid Fund-Reg(DD-IDCW)</t>
  </si>
  <si>
    <t>Quantum Liquid Fund-Reg(M-IDCW)</t>
  </si>
  <si>
    <t>IIFL Liquid Fund-Reg(W-IDCW)</t>
  </si>
  <si>
    <t>IIFL Liquid Fund-Reg(W-IDCW Reinv)</t>
  </si>
  <si>
    <t>Tata Liquid Fund-Reg(DD-IDCW)</t>
  </si>
  <si>
    <t>HDFC Floating Rate Debt Fund(DD-IDCW)</t>
  </si>
  <si>
    <t>HDFC Floating Rate Debt Fund(M-IDCW)</t>
  </si>
  <si>
    <t>Invesco India Contra Fund(G)</t>
  </si>
  <si>
    <t>Kotak Liquid Fund-Reg(DD-IDCW)</t>
  </si>
  <si>
    <t>Tata Mid Cap Growth Fund-Reg(IDCW)</t>
  </si>
  <si>
    <t>SBI Magnum Children's Benefit Fund-Savings Plan</t>
  </si>
  <si>
    <t>Solution Oriented - Children's Fund</t>
  </si>
  <si>
    <t>NIFTY 50 Hybrid Composite Debt 15:85 Index</t>
  </si>
  <si>
    <t>SBI Conservative Hybrid Fund-Reg(G)</t>
  </si>
  <si>
    <t>Hybrid - Conservative Hybrid Fund</t>
  </si>
  <si>
    <t>Tata Money Market Fund-Reg(DD-IDCW)</t>
  </si>
  <si>
    <t>Indiabulls Liquid Fund-Reg(M-IDCW)</t>
  </si>
  <si>
    <t>Nippon India Liquid Fund(W-IDCW)</t>
  </si>
  <si>
    <t>Aditya Birla SL Liquid Fund(W-IDCW)</t>
  </si>
  <si>
    <t>Aditya Birla SL Liquid Fund(DD-IDCW)</t>
  </si>
  <si>
    <t>Indiabulls Liquid Fund-Reg(DD-IDCW)</t>
  </si>
  <si>
    <t>ICICI Pru LT Equity Fund (Tax Saving)(G)</t>
  </si>
  <si>
    <t>Nippon India Liquid Fund(DD-IDCW)</t>
  </si>
  <si>
    <t>Indiabulls Liquid Fund-Reg(W-IDCW)</t>
  </si>
  <si>
    <t>HDFC Floating Rate Debt Fund(W-IDCW)</t>
  </si>
  <si>
    <t>ICICI Pru Corp Bond Fund(G)</t>
  </si>
  <si>
    <t>CRISIL Corporate Bond Index</t>
  </si>
  <si>
    <t>Indiabulls Liquid Fund-Reg(FN-IDCW)</t>
  </si>
  <si>
    <t>Canara Rob Bluechip Equity Fund-Reg(G)</t>
  </si>
  <si>
    <t>Nippon India Liquid Fund(Q-IDCW)</t>
  </si>
  <si>
    <t>Invesco India Midcap Fund(G)</t>
  </si>
  <si>
    <t>Invesco India Contra Fund(IDCW)</t>
  </si>
  <si>
    <t>ICICI Pru Corp Bond Fund(Q-IDCW)</t>
  </si>
  <si>
    <t>Edelweiss Mid Cap Fund-Reg(IDCW)</t>
  </si>
  <si>
    <t>PGIM India Banking &amp; PSU Debt Fund(G)</t>
  </si>
  <si>
    <t>ICICI Pru Corp Bond Fund(M-IDCW)</t>
  </si>
  <si>
    <t>Canara Rob Bluechip Equity Fund-Reg(IDCW)</t>
  </si>
  <si>
    <t>Tata Equity Savings Fund-Reg(M-IDCW)</t>
  </si>
  <si>
    <t>HDFC Large and Mid Cap Fund-Reg(G)</t>
  </si>
  <si>
    <t>Invesco India Midcap Fund(IDCW)</t>
  </si>
  <si>
    <t>SBI Long Term Equity Fund-Reg(G)</t>
  </si>
  <si>
    <t>Nippon India Value Fund(IDCW)</t>
  </si>
  <si>
    <t>Quant Liquid Plan(G)</t>
  </si>
  <si>
    <t>SBI Equity Hybrid Fund-Reg(G)</t>
  </si>
  <si>
    <t>Canara Rob Flexi Cap Fund-Reg(G)</t>
  </si>
  <si>
    <t>ICICI Pru LT Equity Fund (Tax Saving)(IDCW)</t>
  </si>
  <si>
    <t>UTI Value Opp Fund-Reg(G)</t>
  </si>
  <si>
    <t>Kotak Flexicap Fund(G)</t>
  </si>
  <si>
    <t>UTI Mid Cap Fund-Reg(G)</t>
  </si>
  <si>
    <t>UTI Mid Cap Fund-Reg(IDCW)</t>
  </si>
  <si>
    <t>SBI Equity Hybrid Fund-Reg(IDCW)</t>
  </si>
  <si>
    <t>Nippon India Liquid Fund(M-IDCW)</t>
  </si>
  <si>
    <t>ICICI Pru Savings Fund(G)</t>
  </si>
  <si>
    <t>Franklin India Smaller Cos Fund(G)</t>
  </si>
  <si>
    <t>ICICI Pru Debt Mgmt Fund(FOF)(G)</t>
  </si>
  <si>
    <t>ICICI Pru Debt Mgmt Fund(FOF)(IDCW)</t>
  </si>
  <si>
    <t>Nippon India Focused Equity Fund(IDCW)</t>
  </si>
  <si>
    <t>ICICI Pru Savings Fund(W-IDCW)</t>
  </si>
  <si>
    <t>ICICI Pru Savings Fund(DD-IDCW)</t>
  </si>
  <si>
    <t>Canara Rob Equity Tax Saver Fund-Reg(G)</t>
  </si>
  <si>
    <t>ICICI Pru Savings Fund(FN-IDCW)</t>
  </si>
  <si>
    <t>SBI Conservative Hybrid Fund-Reg(M-IDCW)</t>
  </si>
  <si>
    <t>HDFC Retirement Savings Fund-Equity Plan-Reg(G)</t>
  </si>
  <si>
    <t>Solution Oriented - Retirement Fund</t>
  </si>
  <si>
    <t>UTI Value Opp Fund-Reg(IDCW)</t>
  </si>
  <si>
    <t>Edelweiss Liquid Fund-Reg(M-IDCW)</t>
  </si>
  <si>
    <t>Edelweiss Liquid Fund-Reg(DD-IDCW)</t>
  </si>
  <si>
    <t>Aditya Birla SL Savings Fund-Reg(G)</t>
  </si>
  <si>
    <t>NIFTY Ultra Short Duration Debt Index</t>
  </si>
  <si>
    <t>ICICI Pru Savings Fund(M-IDCW)</t>
  </si>
  <si>
    <t>Nippon India Multi Cap Fund(G)</t>
  </si>
  <si>
    <t>Kotak Flexicap Fund(IDCW)</t>
  </si>
  <si>
    <t>Canara Rob Equity Tax Saver Fund-Reg(IDCW)</t>
  </si>
  <si>
    <t>SBI Conservative Hybrid Fund-Reg(A-IDCW)</t>
  </si>
  <si>
    <t>SBI Conservative Hybrid Fund-Reg(Q-IDCW)</t>
  </si>
  <si>
    <t>Edelweiss Liquid Fund-Reg(W-IDCW)</t>
  </si>
  <si>
    <t>HDFC Balanced Advantage Fund(IDCW)</t>
  </si>
  <si>
    <t>IDFC Ultra Short Term Fund-Reg(G)</t>
  </si>
  <si>
    <t>Aditya Birla SL Savings Fund-Reg(DD-IDCW)</t>
  </si>
  <si>
    <t>IDBI Ultra ST(G)</t>
  </si>
  <si>
    <t>Aditya Birla SL Savings Fund-Reg(W-IDCW)</t>
  </si>
  <si>
    <t>HSBC Value Fund-Reg(G)</t>
  </si>
  <si>
    <t>IDBI Ultra ST(M-IDCW)</t>
  </si>
  <si>
    <t>IDFC Ultra Short Term Fund-Reg(W-IDCW)</t>
  </si>
  <si>
    <t>IDBI Ultra ST(W-IDCW)</t>
  </si>
  <si>
    <t>IDFC Ultra Short Term Fund-Reg(M-IDCW)</t>
  </si>
  <si>
    <t>IDBI Ultra ST(DD-IDCW)</t>
  </si>
  <si>
    <t>Sundaram Corp Bond Fund(G)</t>
  </si>
  <si>
    <t>IIFL Dynamic Bond Fund-Reg(H-IDCW)</t>
  </si>
  <si>
    <t>Debt - Dynamic Bond</t>
  </si>
  <si>
    <t>CRISIL Dynamic Debt Index</t>
  </si>
  <si>
    <t>IIFL Dynamic Bond Fund-Reg(G)</t>
  </si>
  <si>
    <t>IIFL Dynamic Bond Fund-Reg(Q-IDCW)</t>
  </si>
  <si>
    <t>IDFC Ultra Short Term Fund-Reg(Q-IDCW)</t>
  </si>
  <si>
    <t>IDFC Ultra Short Term Fund-Reg(DD-IDCW)</t>
  </si>
  <si>
    <t>LIC MF Ultra Short Term Fund-Reg(DD-IDCW)</t>
  </si>
  <si>
    <t>Sundaram Corp Bond Fund(M-IDCW)</t>
  </si>
  <si>
    <t>Nippon India Multi Cap Fund(IDCW)</t>
  </si>
  <si>
    <t>IDBI ST Bond(G)</t>
  </si>
  <si>
    <t>IDBI ST Bond(M-IDCW)</t>
  </si>
  <si>
    <t>IDBI ST Bond(W-IDCW)</t>
  </si>
  <si>
    <t>IIFL Dynamic Bond Fund-Reg(M-IDCW)</t>
  </si>
  <si>
    <t>Canara Rob Flexi Cap Fund-Reg(IDCW)</t>
  </si>
  <si>
    <t>Sundaram Banking &amp; PSU Debt Fund(W-IDCW)</t>
  </si>
  <si>
    <t>NIFTY Banking and PSU Debt Index</t>
  </si>
  <si>
    <t>HSBC Managed Solutions India-Growth(G)</t>
  </si>
  <si>
    <t>HSBC Managed Solutions India-Growth(IDCW)</t>
  </si>
  <si>
    <t>Sundaram Corp Bond Fund(Q-IDCW)</t>
  </si>
  <si>
    <t>HSBC Value Fund-Reg(IDCW)</t>
  </si>
  <si>
    <t>SBI Flexicap Fund-Reg(IDCW)</t>
  </si>
  <si>
    <t>Sundaram Banking &amp; PSU Debt Fund(G)</t>
  </si>
  <si>
    <t>SBI Flexicap Fund-Reg(G)</t>
  </si>
  <si>
    <t>Aditya Birla SL Frontline Equity Fund(G)</t>
  </si>
  <si>
    <t>Nippon India Floating Rate Fund(G)</t>
  </si>
  <si>
    <t>Sundaram Corp Bond Fund(H-IDCW)</t>
  </si>
  <si>
    <t>PGIM India Flexi Cap Fund-Reg(G)</t>
  </si>
  <si>
    <t>SBI Long Term Equity Fund-Reg(IDCW)</t>
  </si>
  <si>
    <t>PGIM India Flexi Cap Fund-Reg(IDCW)</t>
  </si>
  <si>
    <t>Sundaram Liquid Fund(G)</t>
  </si>
  <si>
    <t>ICICI Pru Constant Maturity Gilt Fund(G)</t>
  </si>
  <si>
    <t>Debt - Gilt Fund with 10 year constant duration</t>
  </si>
  <si>
    <t>Sundaram Banking &amp; PSU Debt Fund(M-IDCW)</t>
  </si>
  <si>
    <t>LIC MF Ultra Short Term Fund-Reg(W-IDCW)</t>
  </si>
  <si>
    <t>Sundaram Banking &amp; PSU Debt Fund(DD-IDCW)</t>
  </si>
  <si>
    <t>Nippon India Floating Rate Fund(DD-IDCW)</t>
  </si>
  <si>
    <t>LIC MF Ultra Short Term Fund-Reg(M-IDCW)</t>
  </si>
  <si>
    <t>LIC MF Ultra Short Term Fund-Reg(G)</t>
  </si>
  <si>
    <t>HSBC Ultra Short Duration Fund-Reg(G)</t>
  </si>
  <si>
    <t>HDFC Large and Mid Cap Fund-Reg(IDCW)</t>
  </si>
  <si>
    <t>Franklin India Smaller Cos Fund(IDCW)</t>
  </si>
  <si>
    <t>Nippon India Floating Rate Fund(W-IDCW)</t>
  </si>
  <si>
    <t>SBI Magnum Ultra Short Duration Fund-Reg(G)</t>
  </si>
  <si>
    <t>HSBC Ultra Short Duration Fund-Reg(M-IDCW)</t>
  </si>
  <si>
    <t>HSBC Ultra Short Duration Fund-Reg(DD-IDCW)</t>
  </si>
  <si>
    <t>Nippon India Floating Rate Fund(M-IDCW)</t>
  </si>
  <si>
    <t>SBI Magnum Ultra Short Duration Fund-Reg(W-IDCW)</t>
  </si>
  <si>
    <t>SBI Magnum Ultra Short Duration Fund-Reg(DD-IDCW)</t>
  </si>
  <si>
    <t>HSBC Ultra Short Duration Fund-Reg(W-IDCW)</t>
  </si>
  <si>
    <t>Baroda BNP Paribas Money Market Fund-Reg(W-IDCW)</t>
  </si>
  <si>
    <t>Baroda BNP Paribas Money Market Fund-Reg(G)</t>
  </si>
  <si>
    <t>Sundaram Corp Bond Fund(A-IDCW)</t>
  </si>
  <si>
    <t>Aditya Birla SL Frontline Equity Fund(IDCW)</t>
  </si>
  <si>
    <t>Baroda BNP Paribas Money Market Fund-Reg(M-IDCW)</t>
  </si>
  <si>
    <t>UTI Corporate Bond Fund-Reg(G)</t>
  </si>
  <si>
    <t>CRISIL Corporate Bond Composite Index</t>
  </si>
  <si>
    <t>Kotak Floating Rate Fund-Reg(G)</t>
  </si>
  <si>
    <t>Nifty Short Duration Debt Index</t>
  </si>
  <si>
    <t>HDFC Corp Bond Fund(G)</t>
  </si>
  <si>
    <t>HDFC Corp Bond Fund(IDCW)</t>
  </si>
  <si>
    <t>UTI Corporate Bond Fund-Reg(Q-IDCW)</t>
  </si>
  <si>
    <t>Kotak Floating Rate Fund-Reg(IDCW)</t>
  </si>
  <si>
    <t>Sundaram Liquid Fund(W-IDCW)</t>
  </si>
  <si>
    <t>Sundaram Liquid Fund(DD-IDCW)</t>
  </si>
  <si>
    <t>Edelweiss Balanced Advantage Fund-Reg(G)</t>
  </si>
  <si>
    <t>Hybrid - Dynamic Asset Allocation</t>
  </si>
  <si>
    <t>Baroda BNP Paribas Money Market Fund-Reg(DD-IDCW)</t>
  </si>
  <si>
    <t>Sundaram Liquid Fund(M-IDCW)</t>
  </si>
  <si>
    <t>Kotak Bluechip Fund(G)</t>
  </si>
  <si>
    <t>DSP Banking &amp; PSU Debt Fund-Reg(G)</t>
  </si>
  <si>
    <t>HDFC Corp Bond Fund(Q-IDCW)</t>
  </si>
  <si>
    <t>SBI Healthcare Opp Fund-Reg(IDCW)</t>
  </si>
  <si>
    <t>Equity - Sectoral Fund - Pharma &amp; Health Care</t>
  </si>
  <si>
    <t>S&amp;P BSE Health Care - TRI</t>
  </si>
  <si>
    <t>SBI Healthcare Opp Fund-Reg(G)</t>
  </si>
  <si>
    <t>Nippon India Pharma Fund(G)</t>
  </si>
  <si>
    <t>Franklin India Taxshield(G)</t>
  </si>
  <si>
    <t>Invesco India - Invesco Pan European Equity FoF-Reg(IDCW)</t>
  </si>
  <si>
    <t>MSCI Europe Index (Total Return Net)</t>
  </si>
  <si>
    <t>Invesco India - Invesco Pan European Equity FoF-Reg(G)</t>
  </si>
  <si>
    <t>DSP Savings Fund-Reg(G)</t>
  </si>
  <si>
    <t>Canara Rob Equity Hybrid Fund-Reg(G)</t>
  </si>
  <si>
    <t>HSBC Managed Solutions India-Moderate(G)</t>
  </si>
  <si>
    <t>HSBC Managed Solutions India-Moderate(IDCW)</t>
  </si>
  <si>
    <t>Tata Treasury Advantage Fund-Reg(DD-IDCW)</t>
  </si>
  <si>
    <t>Aditya Birla SL Asset Allocator FoF(IDCW)</t>
  </si>
  <si>
    <t>Aditya Birla SL Asset Allocator FoF(G)</t>
  </si>
  <si>
    <t>Aditya Birla SL Asset Allocator FoF(IDCW-Payout)</t>
  </si>
  <si>
    <t>IDFC Asset Alloc FoF-Mod-Reg(G)</t>
  </si>
  <si>
    <t>Tata Treasury Advantage Fund-Reg(G)</t>
  </si>
  <si>
    <t>SBI Equity Savings Fund-Reg(G)</t>
  </si>
  <si>
    <t>IDFC Asset Alloc FoF-Cons-Reg(G)</t>
  </si>
  <si>
    <t>CRISIL Hybrid 85+15 - Conservative Index</t>
  </si>
  <si>
    <t>Franklin India Banking &amp; PSU Debt Fund(G)</t>
  </si>
  <si>
    <t>ICICI Pru Constant Maturity Gilt Fund(Q-IDCW Payout)</t>
  </si>
  <si>
    <t>SBI Equity Savings Fund-Reg(M-IDCW Payout)</t>
  </si>
  <si>
    <t>Kotak Bluechip Fund(IDCW)</t>
  </si>
  <si>
    <t>Edelweiss Balanced Advantage Fund-Reg(Q-IDCW)</t>
  </si>
  <si>
    <t>Nippon India Large Cap Fund(G)</t>
  </si>
  <si>
    <t>SBI Equity Savings Fund-Reg(Q-IDCW Payout)</t>
  </si>
  <si>
    <t>IDFC Banking &amp; PSU Debt Fund-Reg(G)</t>
  </si>
  <si>
    <t>UTI Corporate Bond Fund-Reg(A-IDCW)</t>
  </si>
  <si>
    <t>UTI Corporate Bond Fund-Reg(F-IDCW)</t>
  </si>
  <si>
    <t>Nippon India Corp Bond Fund(DD-IDCW)</t>
  </si>
  <si>
    <t>HDFC Hybrid Equity Fund(G)</t>
  </si>
  <si>
    <t>HDFC Hybrid Equity Fund(IDCW)</t>
  </si>
  <si>
    <t>UTI Corporate Bond Fund-Reg(H-IDCW)</t>
  </si>
  <si>
    <t>HDFC Top 100 Fund(G)</t>
  </si>
  <si>
    <t>Nippon India Pharma Fund(IDCW)</t>
  </si>
  <si>
    <t>Nippon India Corp Bond Fund(G)</t>
  </si>
  <si>
    <t>Tata Large &amp; Mid Cap Fund(IDCW)</t>
  </si>
  <si>
    <t>Invesco India - Invesco Global Equity Income FoF-Reg(G)</t>
  </si>
  <si>
    <t>MSCI World Index-Net Dividend</t>
  </si>
  <si>
    <t>Tata Treasury Advantage Fund-Reg(W-IDCW)</t>
  </si>
  <si>
    <t>Invesco India - Invesco Global Equity Income FoF-Reg(IDCW)</t>
  </si>
  <si>
    <t>Baroda BNP Paribas Mid Cap Fund-Reg(G)</t>
  </si>
  <si>
    <t>ICICI Pru Multicap Fund(G)</t>
  </si>
  <si>
    <t>Nippon India Corp Bond Fund(W-IDCW)</t>
  </si>
  <si>
    <t>Axis Banking &amp; PSU Debt Fund-Reg(G)</t>
  </si>
  <si>
    <t>IDFC Low Duration Fund-Reg(G)</t>
  </si>
  <si>
    <t>Axis Banking &amp; PSU Debt Fund-Reg(W-IDCW)</t>
  </si>
  <si>
    <t>Tata Large &amp; Mid Cap Fund(G)</t>
  </si>
  <si>
    <t>Tata Digital India Fund-Reg(G)</t>
  </si>
  <si>
    <t>NIFTY IT - TRI</t>
  </si>
  <si>
    <t>Tata Digital India Fund-Reg(IDCW)</t>
  </si>
  <si>
    <t>Nippon India Corp Bond Fund(M-IDCW)</t>
  </si>
  <si>
    <t>Axis Banking &amp; PSU Debt Fund-Reg(DD-IDCW)</t>
  </si>
  <si>
    <t>ICICI Pru Equity Savings Fund(G)</t>
  </si>
  <si>
    <t>Kotak Tax Saver Fund(G)</t>
  </si>
  <si>
    <t>IDFC Low Duration Fund-Reg(DD-IDCW)</t>
  </si>
  <si>
    <t>Mirae Asset Hybrid Equity Fund-Reg(G)</t>
  </si>
  <si>
    <t>Axis Treasury Advantage Fund-Reg(G)</t>
  </si>
  <si>
    <t>DSP Equity Opportunities Fund-Reg(G)</t>
  </si>
  <si>
    <t>SBI Magnum Global Fund-Reg(G)</t>
  </si>
  <si>
    <t>Equity - Thematic Fund - MNC</t>
  </si>
  <si>
    <t>NIFTY MNC - TRI</t>
  </si>
  <si>
    <t>SBI Magnum Global Fund-Reg(IDCW)</t>
  </si>
  <si>
    <t>IDFC Low Duration Fund-Reg(W-IDCW)</t>
  </si>
  <si>
    <t>Axis Banking &amp; PSU Debt Fund-Reg(M-IDCW)</t>
  </si>
  <si>
    <t>IDFC Corp Bond Fund-Reg(G)</t>
  </si>
  <si>
    <t>Axis Treasury Advantage Fund-Reg(DD-IDCW)</t>
  </si>
  <si>
    <t>Canara Rob Equity Hybrid Fund-Reg(M-IDCW)</t>
  </si>
  <si>
    <t>IDFC Low Duration Fund-Reg(M-IDCW)</t>
  </si>
  <si>
    <t>Axis Treasury Advantage Fund-Reg(W-IDCW)</t>
  </si>
  <si>
    <t>Axis Treasury Advantage Fund-Reg(M-IDCW)</t>
  </si>
  <si>
    <t>ICICI Pru Infrastructure Fund(G)</t>
  </si>
  <si>
    <t>S&amp;P BSE India Infrastructure Index - TRI</t>
  </si>
  <si>
    <t>Franklin India Taxshield(IDCW)</t>
  </si>
  <si>
    <t>Nippon India Corp Bond Fund(Q-IDCW)</t>
  </si>
  <si>
    <t>IDFC Ultra Short Term Fund-Reg(P-IDCW)</t>
  </si>
  <si>
    <t>Mirae Asset Hybrid Equity Fund-Reg(IDCW)</t>
  </si>
  <si>
    <t>Invesco India Money Market Fund(G)</t>
  </si>
  <si>
    <t>Aditya Birla SL Flexi Cap Fund(G)</t>
  </si>
  <si>
    <t>Kotak Equity Hybrid Fund(G)</t>
  </si>
  <si>
    <t>ICICI Pru Multicap Fund(IDCW)</t>
  </si>
  <si>
    <t>Baroda BNP Paribas Mid Cap Fund-Reg(IDCW)</t>
  </si>
  <si>
    <t>HDFC Children's Gift Fund(Lock in)</t>
  </si>
  <si>
    <t>IDFC Asset Alloc FoF-Mod-Reg(IDCW)</t>
  </si>
  <si>
    <t>Edelweiss Banking and PSU Debt Fund-Reg(G)</t>
  </si>
  <si>
    <t>Edelweiss Banking and PSU Debt Fund-Reg(IDCW)</t>
  </si>
  <si>
    <t>Nippon India Large Cap Fund(IDCW)</t>
  </si>
  <si>
    <t>Invesco India Money Market Fund(DD-IDCW)</t>
  </si>
  <si>
    <t>Franklin India Banking &amp; PSU Debt Fund(IDCW)</t>
  </si>
  <si>
    <t>ICICI Pru Equity Savings Fund(Q-IDCW Payout)</t>
  </si>
  <si>
    <t>Invesco India Money Market Fund(M-IDCW)</t>
  </si>
  <si>
    <t>Kotak Tax Saver Fund(IDCW)</t>
  </si>
  <si>
    <t>ICICI Pru Income Optimizer Fund(FOF)(IDCW)</t>
  </si>
  <si>
    <t>NIFTY 50</t>
  </si>
  <si>
    <t>ICICI Pru Income Optimizer Fund(FOF)(G)</t>
  </si>
  <si>
    <t>IDFC Asset Alloc FoF-Cons-Reg(IDCW)</t>
  </si>
  <si>
    <t>DSP Banking &amp; PSU Debt Fund-Reg(IDCW)</t>
  </si>
  <si>
    <t>DSP Low Duration Fund-Reg(G)</t>
  </si>
  <si>
    <t>UTI Dividend Yield Fund-Reg(G)</t>
  </si>
  <si>
    <t>Kotak Corporate Bond Fund(G)</t>
  </si>
  <si>
    <t>ICICI Pru Midcap Fund(G)</t>
  </si>
  <si>
    <t>Kotak Corporate Bond Fund(M-IDCW)</t>
  </si>
  <si>
    <t>Baroda BNP Paribas Multi Cap Fund-Reg(G)</t>
  </si>
  <si>
    <t>DSP Corp Bond Fund-Reg(G)</t>
  </si>
  <si>
    <t>Bank of India Ultra Short Duration Fund-Reg(G)</t>
  </si>
  <si>
    <t>ICICI Pru Balanced Advantage Fund(G)</t>
  </si>
  <si>
    <t>Aditya Birla SL Flexi Cap Fund(IDCW)</t>
  </si>
  <si>
    <t>Canara Rob Savings Fund-Reg(IDCW)</t>
  </si>
  <si>
    <t>Canara Rob Savings Fund-Reg(G)</t>
  </si>
  <si>
    <t>Kotak Equity Hybrid Fund(IDCW)</t>
  </si>
  <si>
    <t>ICICI Pru Infrastructure Fund(IDCW)</t>
  </si>
  <si>
    <t>Canara Rob Savings Fund-Reg(W-IDCW)</t>
  </si>
  <si>
    <t>DSP Low Duration Fund-Reg(W-IDCW)</t>
  </si>
  <si>
    <t>Bank of India Ultra Short Duration Fund-Reg(W-IDCW)</t>
  </si>
  <si>
    <t>DSP Equity Opportunities Fund-Reg(IDCW)</t>
  </si>
  <si>
    <t>Canara Rob Savings Fund-Reg(DD-IDCW)</t>
  </si>
  <si>
    <t>ICICI Pru Balanced Advantage Fund(IDCW)</t>
  </si>
  <si>
    <t>Aditya Birla SL Banking &amp; PSU Debt(G)</t>
  </si>
  <si>
    <t>UTI Dynamic Bond Fund-Reg(G)</t>
  </si>
  <si>
    <t>UTI Dynamic Bond Fund-Reg(Q-IDCW)</t>
  </si>
  <si>
    <t>UTI Dividend Yield Fund-Reg(IDCW)</t>
  </si>
  <si>
    <t>ICICI Pru Technology Fund(G)</t>
  </si>
  <si>
    <t>DSP Flexi Cap Fund-Reg(G)</t>
  </si>
  <si>
    <t>UTI Mastershare-Reg(G)</t>
  </si>
  <si>
    <t>Edelweiss Balanced Advantage Fund-Reg(M-IDCW)</t>
  </si>
  <si>
    <t>SBI Focused Equity Fund-Reg(IDCW)</t>
  </si>
  <si>
    <t>SBI Focused Equity Fund-Reg(G)</t>
  </si>
  <si>
    <t>Invesco India Treasury Advantage Fund(G)</t>
  </si>
  <si>
    <t>Invesco India Treasury Advantage Fund(W-IDCW)</t>
  </si>
  <si>
    <t>Aditya Birla SL Digital India Fund(G)</t>
  </si>
  <si>
    <t>ICICI Pru Technology Fund(IDCW)</t>
  </si>
  <si>
    <t>Invesco India Treasury Advantage Fund(M-IDCW)</t>
  </si>
  <si>
    <t>ICICI Pru US Bluechip Equity Fund(IDCW)</t>
  </si>
  <si>
    <t>Equity - Thematic Fund - Global</t>
  </si>
  <si>
    <t>S&amp;P 500</t>
  </si>
  <si>
    <t>ICICI Pru US Bluechip Equity Fund(G)</t>
  </si>
  <si>
    <t>Invesco India Treasury Advantage Fund(DD-IDCW)</t>
  </si>
  <si>
    <t>UTI Mastershare-Reg(IDCW)</t>
  </si>
  <si>
    <t>Aditya Birla SL Digital India Fund(IDCW)</t>
  </si>
  <si>
    <t>Aditya Birla SL Banking &amp; PSU Debt(Q-IDCW)</t>
  </si>
  <si>
    <t>Union Small Cap Fund-Reg(G)</t>
  </si>
  <si>
    <t>Union Small Cap Fund-Reg(IDCW)</t>
  </si>
  <si>
    <t>HDFC Ultra Short Term Fund-Reg(G)</t>
  </si>
  <si>
    <t>Mahindra Manulife Mid Cap Unnati Yojana-Reg(G)</t>
  </si>
  <si>
    <t>Mahindra Manulife Mid Cap Unnati Yojana-Reg(IDCW)</t>
  </si>
  <si>
    <t>HSBC Corporate Bond Fund-Reg(G)</t>
  </si>
  <si>
    <t>Sundaram Large and Mid Cap Fund(G)</t>
  </si>
  <si>
    <t>HDFC Top 100 Fund(IDCW)</t>
  </si>
  <si>
    <t>HDFC Ultra Short Term Fund-Reg(M-IDCW)</t>
  </si>
  <si>
    <t>Franklin India Dynamic Asset Allocation FOFs(G)</t>
  </si>
  <si>
    <t>HDFC Ultra Short Term Fund-Reg(DD-IDCW)</t>
  </si>
  <si>
    <t>ICICI Pru Banking &amp; PSU Debt Fund(G)</t>
  </si>
  <si>
    <t>ICICI Pru Banking &amp; PSU Debt Fund(Q-IDCW)</t>
  </si>
  <si>
    <t>ICICI Pru Midcap Fund(IDCW)</t>
  </si>
  <si>
    <t>Baroda BNP Paribas Multi Cap Fund-Reg(IDCW)</t>
  </si>
  <si>
    <t>DSP Midcap Fund-Reg(G)</t>
  </si>
  <si>
    <t>Invesco India Corporate Bond Fund(M-IDCW)</t>
  </si>
  <si>
    <t>Invesco India Corporate Bond Fund(G)</t>
  </si>
  <si>
    <t>Sundaram Large and Mid Cap Fund(IDCW)</t>
  </si>
  <si>
    <t>Mahindra Manulife Multi Cap Badhat Yojana-Reg(IDCW)</t>
  </si>
  <si>
    <t>Mirae Asset Great Consumer Fund-Reg(G)</t>
  </si>
  <si>
    <t>Equity - Sectoral Fund - Consumption</t>
  </si>
  <si>
    <t>Nifty India Consumption - TRI</t>
  </si>
  <si>
    <t>Kotak India EQ Contra Fund(G)</t>
  </si>
  <si>
    <t>NIFTY500 Value 50 - TRI</t>
  </si>
  <si>
    <t>Aditya Birla SL Banking &amp; PSU Debt(M-IDCW)</t>
  </si>
  <si>
    <t>HDFC Ultra Short Term Fund-Reg(W-IDCW)</t>
  </si>
  <si>
    <t>Mahindra Manulife Multi Cap Badhat Yojana-Reg(G)</t>
  </si>
  <si>
    <t>SBI Magnum Equity ESG Fund-Reg(G)</t>
  </si>
  <si>
    <t>NIFTY100 ESG - TRI</t>
  </si>
  <si>
    <t>SBI Magnum Equity ESG Fund-Reg(IDCW)</t>
  </si>
  <si>
    <t>Sundaram Multi Cap Fund(G)</t>
  </si>
  <si>
    <t>Sundaram Multi Cap Fund(H-IDCW)</t>
  </si>
  <si>
    <t>ICICI Pru Global Stable Equity Fund(FOF)(G)</t>
  </si>
  <si>
    <t>MSCI World</t>
  </si>
  <si>
    <t>ICICI Pru Global Stable Equity Fund(FOF)(IDCW)</t>
  </si>
  <si>
    <t>HDFC Short Term Debt Fund(G)</t>
  </si>
  <si>
    <t>Edelweiss Large &amp; Mid Cap Fund-Reg(G)</t>
  </si>
  <si>
    <t>Nippon India Nivesh Lakshya Fund(G)</t>
  </si>
  <si>
    <t>Debt - Long Duration Fund</t>
  </si>
  <si>
    <t>Crisil Long Term Debt Index</t>
  </si>
  <si>
    <t>Nippon India Nivesh Lakshya Fund(IDCW)</t>
  </si>
  <si>
    <t>ICICI Pru Dividend Yield Equity Fund(G)</t>
  </si>
  <si>
    <t>HDFC Short Term Debt Fund(FN-IDCW)</t>
  </si>
  <si>
    <t>DSP Corp Bond Fund-Reg(IDCW)</t>
  </si>
  <si>
    <t>DSP Flexi Cap Fund-Reg(IDCW)</t>
  </si>
  <si>
    <t>Invesco India Corporate Bond Fund(Q-IDCW)</t>
  </si>
  <si>
    <t>Kotak India EQ Contra Fund(IDCW)</t>
  </si>
  <si>
    <t>Franklin India Bluechip Fund(G)</t>
  </si>
  <si>
    <t>Aditya Birla SL Banking &amp; PSU Debt(IDCW)</t>
  </si>
  <si>
    <t>UTI ST Income Fund-Reg(G)</t>
  </si>
  <si>
    <t>UTI ST Income Fund-Reg(Q-IDCW)</t>
  </si>
  <si>
    <t>Quantum Dynamic Bond Fund-Reg(G)</t>
  </si>
  <si>
    <t>Axis Dynamic Bond Fund-Reg(G)</t>
  </si>
  <si>
    <t>NIFTY Composite Debt Index</t>
  </si>
  <si>
    <t>Mirae Asset Great Consumer Fund-Reg(IDCW)</t>
  </si>
  <si>
    <t>Nippon India Nivesh Lakshya Fund(M-IDCW)</t>
  </si>
  <si>
    <t>Nippon India Nivesh Lakshya Fund(Q-IDCW)</t>
  </si>
  <si>
    <t>Tata Banking &amp; PSU Debt Fund-Reg(IDCW)</t>
  </si>
  <si>
    <t>Tata Banking &amp; PSU Debt Fund-Reg(G)</t>
  </si>
  <si>
    <t>Axis Bluechip Fund-Reg(G)</t>
  </si>
  <si>
    <t>DSP Midcap Fund-Reg(IDCW)</t>
  </si>
  <si>
    <t>Quantum Dynamic Bond Fund-Reg(M-IDCW)</t>
  </si>
  <si>
    <t>Axis Dynamic Bond Fund-Reg(Q-IDCW)</t>
  </si>
  <si>
    <t>Tata India Tax Savings Fund-Reg(G)</t>
  </si>
  <si>
    <t>Nippon India Nivesh Lakshya Fund(H-IDCW)</t>
  </si>
  <si>
    <t>Union Flexi Cap Fund-Reg(G)</t>
  </si>
  <si>
    <t>IDFC Asset Alloc FoF-Aggr-Reg(G)</t>
  </si>
  <si>
    <t>Franklin India Bluechip Fund(IDCW)</t>
  </si>
  <si>
    <t>UTI LT Equity Fund (Tax Saving)-Reg(G)</t>
  </si>
  <si>
    <t>Union Flexi Cap Fund-Reg(IDCW)</t>
  </si>
  <si>
    <t>UTI Flexi Cap Fund-Reg(G)</t>
  </si>
  <si>
    <t>UTI Flexi Cap Fund-Reg(IDCW)</t>
  </si>
  <si>
    <t>UTI LT Equity Fund (Tax Saving)-Reg(IDCW)</t>
  </si>
  <si>
    <t>Invesco India Corporate Bond Fund(A-IDCW)</t>
  </si>
  <si>
    <t>Quantum Tax Saving Fund-Reg(G)</t>
  </si>
  <si>
    <t>Quantum Tax Saving Fund-Reg(IDCW)</t>
  </si>
  <si>
    <t>Franklin India Prima Fund(G)</t>
  </si>
  <si>
    <t>Axis Bluechip Fund-Reg(IDCW)</t>
  </si>
  <si>
    <t>Union Corporate Bond Fund-Reg(IDCW)</t>
  </si>
  <si>
    <t>Union Corporate Bond Fund-Reg(G)</t>
  </si>
  <si>
    <t>PGIM India Equity Savings Fund(G)</t>
  </si>
  <si>
    <t>NIFTY 50 Equity Savings Index - TRI</t>
  </si>
  <si>
    <t>HSBC Banking and PSU Debt Fund-Reg(G)</t>
  </si>
  <si>
    <t>Kotak Banking and PSU Debt Fund(G)</t>
  </si>
  <si>
    <t>Edelweiss Large &amp; Mid Cap Fund-Reg(IDCW)</t>
  </si>
  <si>
    <t>Kotak Banking and PSU Debt Fund(M-IDCW)</t>
  </si>
  <si>
    <t>HSBC Banking and PSU Debt Fund-Reg(DD-IDCW)</t>
  </si>
  <si>
    <t>HDFC Banking and PSU Debt Fund-Reg(G)</t>
  </si>
  <si>
    <t>Axis Dynamic Bond Fund-Reg(H-IDCW)</t>
  </si>
  <si>
    <t>Quantum Long Term Equity Value Fund-Reg(G)</t>
  </si>
  <si>
    <t>HSBC Banking and PSU Debt Fund-Reg(W-IDCW)</t>
  </si>
  <si>
    <t>SBI Savings Fund-Reg(G)</t>
  </si>
  <si>
    <t>HSBC Banking and PSU Debt Fund-Reg(M-IDCW)</t>
  </si>
  <si>
    <t>Quantum Long Term Equity Value Fund-Reg(IDCW)</t>
  </si>
  <si>
    <t>SBI Savings Fund-Reg(IDCW)</t>
  </si>
  <si>
    <t>HDFC Banking and PSU Debt Fund-Reg(IDCW)</t>
  </si>
  <si>
    <t>IDBI Small Cap Fund(IDCW)</t>
  </si>
  <si>
    <t>IDBI Small Cap Fund(G)</t>
  </si>
  <si>
    <t>Mahindra Manulife Ultra Short Term Fund-Reg(DD-IDCW)</t>
  </si>
  <si>
    <t>SBI Savings Fund-Reg(W-IDCW)</t>
  </si>
  <si>
    <t>Franklin India Prima Fund(IDCW)</t>
  </si>
  <si>
    <t>IDFC Core Equity Fund-Reg(G)</t>
  </si>
  <si>
    <t>Mahindra Manulife Ultra Short Term Fund-Reg(G)</t>
  </si>
  <si>
    <t>Invesco India Multicap Fund(G)</t>
  </si>
  <si>
    <t>Invesco India Multicap Fund(IDCW)</t>
  </si>
  <si>
    <t>Bank of India Tax Advantage Fund-Reg(IDCW)</t>
  </si>
  <si>
    <t>Bank of India Tax Advantage Fund-Reg(G)</t>
  </si>
  <si>
    <t>Nippon India Nivesh Lakshya Fund(A-IDCW)</t>
  </si>
  <si>
    <t>SBI Arbitrage Opportunities Fund-Reg(G)</t>
  </si>
  <si>
    <t>Hybrid - Arbitrage Fund</t>
  </si>
  <si>
    <t>Nifty 50 Arbitrage</t>
  </si>
  <si>
    <t>SBI Corp Bond Fund-Reg(G)</t>
  </si>
  <si>
    <t>SBI Corp Bond Fund-Reg(Q-IDCW)</t>
  </si>
  <si>
    <t>IDFC Banking &amp; PSU Debt Fund-Reg(IDCW)</t>
  </si>
  <si>
    <t>ICICI Pru Ultra Short Term Fund Fund(G)</t>
  </si>
  <si>
    <t>SBI Magnum Constant Maturity Fund-Reg(G)</t>
  </si>
  <si>
    <t>Nifty 10 yr Benchmark G-Sec</t>
  </si>
  <si>
    <t>Nippon India Banking &amp; PSU Debt Fund(IDCW)</t>
  </si>
  <si>
    <t>Nippon India Banking &amp; PSU Debt Fund(G)</t>
  </si>
  <si>
    <t>SBI Corp Bond Fund-Reg(M-IDCW)</t>
  </si>
  <si>
    <t>Nippon India Dynamic Bond(G)</t>
  </si>
  <si>
    <t>Nippon India Dynamic Bond(IDCW)</t>
  </si>
  <si>
    <t>LIC MF Savings Fund(DD-IDCW)</t>
  </si>
  <si>
    <t>SBI Magnum Constant Maturity Fund-Reg(IDCW)</t>
  </si>
  <si>
    <t>Aditya Birla SL India GenNext Fund(G)</t>
  </si>
  <si>
    <t>ICICI Pru Ultra Short Term Fund Fund(W-IDCW)</t>
  </si>
  <si>
    <t>IDFC Bond Fund - Short Term Plan-Reg(G)</t>
  </si>
  <si>
    <t>IDFC Asset Alloc FoF-Aggr-Reg(IDCW)</t>
  </si>
  <si>
    <t>PGIM India Equity Savings Fund(M-IDCW)</t>
  </si>
  <si>
    <t>ICICI Pru Ultra Short Term Fund Fund(M-IDCW)</t>
  </si>
  <si>
    <t>ICICI Pru Ultra Short Term Fund Fund(Q-IDCW)</t>
  </si>
  <si>
    <t>ICICI Pru Ultra Short Term Fund Fund(DD-IDCW)</t>
  </si>
  <si>
    <t>Tata Equity P/E Fund(G)</t>
  </si>
  <si>
    <t>HSBC Short Duration Fund-Reg(G)</t>
  </si>
  <si>
    <t>PGIM India ELSS Tax Saver Fund-Reg(G)</t>
  </si>
  <si>
    <t>Mahindra Manulife Ultra Short Term Fund-Reg(W-IDCW)</t>
  </si>
  <si>
    <t>Nippon India Banking &amp; PSU Debt Fund(W-IDCW)</t>
  </si>
  <si>
    <t>HSBC Money Market Fund-Reg(G)</t>
  </si>
  <si>
    <t>Aditya Birla SL Focused Equity Fund(G)</t>
  </si>
  <si>
    <t>Franklin India Corp Debt Fund-A(G)</t>
  </si>
  <si>
    <t>Tata Equity P/E Fund(Div Trig Opt B-10%)</t>
  </si>
  <si>
    <t>Aditya Birla SL India GenNext Fund(IDCW)</t>
  </si>
  <si>
    <t>IDFC Bond Fund - Short Term Plan-Reg(FN-IDCW)</t>
  </si>
  <si>
    <t>PGIM India Equity Savings Fund(A-IDCW)</t>
  </si>
  <si>
    <t>Quant Focused Fund(IDCW)</t>
  </si>
  <si>
    <t>IDFC Bond Fund - Short Term Plan-Reg(M-IDCW)</t>
  </si>
  <si>
    <t>Nippon India Banking &amp; PSU Debt Fund(M-IDCW)</t>
  </si>
  <si>
    <t>PGIM India ELSS Tax Saver Fund-Reg(IDCW)</t>
  </si>
  <si>
    <t>DSP Natural Res &amp; New Energy Fund-Reg(G)</t>
  </si>
  <si>
    <t>Equity - Sectoral Fund - Energy &amp; Power</t>
  </si>
  <si>
    <t>HSBC Money Market Fund-Reg(DD-IDCW)</t>
  </si>
  <si>
    <t>DSP Equity &amp; Bond Fund-Reg(G)</t>
  </si>
  <si>
    <t>HSBC Short Duration Fund-Reg(IDCW)</t>
  </si>
  <si>
    <t>Canara Rob Consumer Trends Fund-Reg(G)</t>
  </si>
  <si>
    <t>Invesco India Infrastructure Fund(G)</t>
  </si>
  <si>
    <t>Axis Corp Debt Fund-Reg(G)</t>
  </si>
  <si>
    <t>Axis Corp Debt Fund-Reg(IDCW)</t>
  </si>
  <si>
    <t>UTI Hybrid Equity Fund-Reg(G)</t>
  </si>
  <si>
    <t>Quant Focused Fund(G)</t>
  </si>
  <si>
    <t>Kotak Savings Fund(G)</t>
  </si>
  <si>
    <t>Invesco India Infrastructure Fund(IDCW)</t>
  </si>
  <si>
    <t>HSBC Money Market Fund-Reg(M-IDCW)</t>
  </si>
  <si>
    <t>Tata India Tax Savings Fund-Reg(IDCW-Payout)</t>
  </si>
  <si>
    <t>Tata Equity P/E Fund(Div Trig Opt A-5%)</t>
  </si>
  <si>
    <t>Nippon India Banking &amp; PSU Debt Fund(Q-IDCW)</t>
  </si>
  <si>
    <t>Invesco India Growth Opp Fund(IDCW)</t>
  </si>
  <si>
    <t>SBI Arbitrage Opportunities Fund-Reg(IDCW)</t>
  </si>
  <si>
    <t>Aditya Birla SL Focused Equity Fund(IDCW)</t>
  </si>
  <si>
    <t>Invesco India Growth Opp Fund(G)</t>
  </si>
  <si>
    <t>LIC MF Savings Fund(W-IDCW)</t>
  </si>
  <si>
    <t>LIC MF Savings Fund(G)</t>
  </si>
  <si>
    <t>Kotak Savings Fund(M-IDCW)</t>
  </si>
  <si>
    <t>Axis Corp Debt Fund-Reg(DD-IDCW)</t>
  </si>
  <si>
    <t>Axis Corp Debt Fund-Reg(W-IDCW)</t>
  </si>
  <si>
    <t>HSBC Money Market Fund-Reg(W-IDCW)</t>
  </si>
  <si>
    <t>Franklin India Dynamic Asset Allocation FOFs(IDCW)</t>
  </si>
  <si>
    <t>LIC MF Savings Fund(M-IDCW)</t>
  </si>
  <si>
    <t>Canara Rob Consumer Trends Fund-Reg(IDCW)</t>
  </si>
  <si>
    <t>Axis Corp Debt Fund-Reg(M-IDCW)</t>
  </si>
  <si>
    <t>DSP 10Y G-Sec Fund-Reg(G)</t>
  </si>
  <si>
    <t>Baroda BNP Paribas Corp Bond Fund(G)</t>
  </si>
  <si>
    <t>Tata Infrastructure Fund-Reg(G)</t>
  </si>
  <si>
    <t>Baroda BNP Paribas Corp Bond Fund(Q-IDCW)</t>
  </si>
  <si>
    <t>Baroda BNP Paribas Corp Bond Fund(A-IDCW)</t>
  </si>
  <si>
    <t>Tata Infrastructure Fund-Reg(IDCW)</t>
  </si>
  <si>
    <t>DSP Bond Fund-Reg(G)</t>
  </si>
  <si>
    <t>Debt - Medium Duration Fund</t>
  </si>
  <si>
    <t>CRISIL Medium Term Debt Index</t>
  </si>
  <si>
    <t>DSP Bond Fund-Reg(IDCW)</t>
  </si>
  <si>
    <t>SBI Consumption Opp Fund-Reg(G)</t>
  </si>
  <si>
    <t>SBI Consumption Opp Fund-Reg(IDCW)</t>
  </si>
  <si>
    <t>Franklin Build India Fund(G)</t>
  </si>
  <si>
    <t>IDFC Corp Bond Fund-Reg(IDCW)</t>
  </si>
  <si>
    <t>SBI Short Term Debt Fund-Reg(G)</t>
  </si>
  <si>
    <t>IDFC G-Sec-Constant Maturity Plan-Reg(G)</t>
  </si>
  <si>
    <t>SBI Short Term Debt Fund-Reg(M-IDCW)</t>
  </si>
  <si>
    <t>SBI Short Term Debt Fund-Reg(FN-IDCW)</t>
  </si>
  <si>
    <t>SBI Short Term Debt Fund-Reg(W-IDCW)</t>
  </si>
  <si>
    <t>IDFC Core Equity Fund-Reg(IDCW)</t>
  </si>
  <si>
    <t>Franklin India Corp Debt Fund-A(M-IDCW)</t>
  </si>
  <si>
    <t>UTI Floater Fund-Reg(G)</t>
  </si>
  <si>
    <t>UTI Floater Fund-Reg(A-IDCW)</t>
  </si>
  <si>
    <t>DSP Equity &amp; Bond Fund-Reg(IDCW)</t>
  </si>
  <si>
    <t>PGIM India Ultra Short Duration Fund(G)</t>
  </si>
  <si>
    <t>SBI Banking and PSU Fund-Reg(G)</t>
  </si>
  <si>
    <t>Franklin India Corp Debt Fund-A(Q-IDCW)</t>
  </si>
  <si>
    <t>UTI Ultra Short Term Fund-Reg(G)</t>
  </si>
  <si>
    <t>Indiabulls Dynamic Bond Fund-Reg(G)</t>
  </si>
  <si>
    <t>UTI Floater Fund-Reg(Q-IDCW)</t>
  </si>
  <si>
    <t>HDFC Capital Builder Value Fund(G)</t>
  </si>
  <si>
    <t>UTI Ultra Short Term Fund-Reg(W-IDCW)</t>
  </si>
  <si>
    <t>PGIM India Ultra Short Duration Fund(W-IDCW)</t>
  </si>
  <si>
    <t>Baroda BNP Paribas Corp Bond Fund(M-IDCW)</t>
  </si>
  <si>
    <t>PGIM India Ultra Short Duration Fund(DD-IDCW)</t>
  </si>
  <si>
    <t>DSP Natural Res &amp; New Energy Fund-Reg(IDCW)</t>
  </si>
  <si>
    <t>UTI Ultra Short Term Fund-Reg(DD-IDCW)</t>
  </si>
  <si>
    <t>SBI Banking and PSU Fund-Reg(DD-IDCW)</t>
  </si>
  <si>
    <t>Aditya Birla SL Dynamic Bond Fund-Reg(Q-IDCW)</t>
  </si>
  <si>
    <t>Aditya Birla SL Dynamic Bond Fund-Reg(M-IDCW)</t>
  </si>
  <si>
    <t>Aditya Birla SL Dynamic Bond Fund-Reg(G)</t>
  </si>
  <si>
    <t>UTI Hybrid Equity Fund-Reg(IDCW)</t>
  </si>
  <si>
    <t>Indiabulls Dynamic Bond Fund-Reg(DD-IDCW)</t>
  </si>
  <si>
    <t>Franklin India Equity Advantage Fund(G)</t>
  </si>
  <si>
    <t>Indiabulls Dynamic Bond Fund-Reg(M-IDCW)</t>
  </si>
  <si>
    <t>Franklin India Corp Debt Fund-A(H-IDCW)</t>
  </si>
  <si>
    <t>HSBC Flexi Cap Fund-Reg(G)</t>
  </si>
  <si>
    <t>UTI Arbitrage Fund-Reg(G)</t>
  </si>
  <si>
    <t>IDFC G-Sec-Constant Maturity Plan-Reg(Q-IDCW)</t>
  </si>
  <si>
    <t>PGIM India Ultra Short Duration Fund(M-IDCW)</t>
  </si>
  <si>
    <t>Aditya Birla SL Income Fund(G)</t>
  </si>
  <si>
    <t>Debt - Medium to Long Duration Fund</t>
  </si>
  <si>
    <t>CRISIL Medium to Long Term Debt Index</t>
  </si>
  <si>
    <t>UTI Bond Fund-Reg(G)</t>
  </si>
  <si>
    <t>NIFTY Medium to Long Term Debt Index</t>
  </si>
  <si>
    <t>UTI Bond Fund-Reg(Q-IDCW)</t>
  </si>
  <si>
    <t>IDFC G-Sec-Constant Maturity Plan-Reg(M-IDCW)</t>
  </si>
  <si>
    <t>Indiabulls Dynamic Bond Fund-Reg(FN-IDCW)</t>
  </si>
  <si>
    <t>Indiabulls Dynamic Bond Fund-Reg(W-IDCW)</t>
  </si>
  <si>
    <t>Mirae Asset Savings Fund-Reg Savings Plan(Q-IDCW)</t>
  </si>
  <si>
    <t>Union Long Term Equity Fund(G)</t>
  </si>
  <si>
    <t>SBI Magnum Gilt Fund-Reg(IDCW)</t>
  </si>
  <si>
    <t>Debt - Gilt Fund</t>
  </si>
  <si>
    <t>Nifty All Duration G-Sec Index</t>
  </si>
  <si>
    <t>Baroda BNP Paribas Large Cap Fund-Reg(G)</t>
  </si>
  <si>
    <t>SBI Magnum Gilt Fund-Reg(G)</t>
  </si>
  <si>
    <t>Edelweiss Flexi Cap Fund-Reg(IDCW)</t>
  </si>
  <si>
    <t>Edelweiss Flexi Cap Fund-Reg(G)</t>
  </si>
  <si>
    <t>UTI Floater Fund-Reg(F-IDCW)</t>
  </si>
  <si>
    <t>LIC MF Banking &amp; PSU Debt Fund(DD-IDCW)</t>
  </si>
  <si>
    <t>DSP US Flexible Equity Fund-Reg(G)</t>
  </si>
  <si>
    <t>Russell 1000 Index</t>
  </si>
  <si>
    <t>Union Long Term Equity Fund(IDCW)</t>
  </si>
  <si>
    <t>Franklin Build India Fund(IDCW)</t>
  </si>
  <si>
    <t>LIC MF Banking &amp; PSU Debt Fund(G)</t>
  </si>
  <si>
    <t>Aditya Birla SL Income Fund(Q-IDCW)</t>
  </si>
  <si>
    <t>Franklin India Equity Advantage Fund(IDCW)</t>
  </si>
  <si>
    <t>LIC MF Banking &amp; PSU Debt Fund(W-IDCW)</t>
  </si>
  <si>
    <t>SBI Infrastructure Fund-Reg(G)</t>
  </si>
  <si>
    <t>SBI Infrastructure Fund-Reg(IDCW)</t>
  </si>
  <si>
    <t>LIC MF Bond Fund-Reg(IDCW)</t>
  </si>
  <si>
    <t>LIC MF Bond Fund-Reg(G)</t>
  </si>
  <si>
    <t>UTI Floater Fund-Reg(H-IDCW)</t>
  </si>
  <si>
    <t>LIC MF Banking &amp; PSU Debt Fund(M-IDCW)</t>
  </si>
  <si>
    <t>Invesco India Banking &amp; PSU Debt Fund(DD-IDCW)</t>
  </si>
  <si>
    <t>Sundaram Short Duration Fund(M-IDCW)</t>
  </si>
  <si>
    <t>Sundaram Short Duration Fund(G)</t>
  </si>
  <si>
    <t>ICICI Pru Short Term Fund(G)</t>
  </si>
  <si>
    <t>Sundaram Arbitrage Fund(G)</t>
  </si>
  <si>
    <t>Aditya Birla SL Equity Hybrid '95 Fund(G)</t>
  </si>
  <si>
    <t>Invesco India Banking &amp; PSU Debt Fund(G)</t>
  </si>
  <si>
    <t>Tata India Pharma &amp; Healthcare Fund-Reg(G)</t>
  </si>
  <si>
    <t>NIFTY PHARMA - TRI</t>
  </si>
  <si>
    <t>Tata India Pharma &amp; Healthcare Fund-Reg(IDCW)</t>
  </si>
  <si>
    <t>UTI Arbitrage Fund-Reg(IDCW)</t>
  </si>
  <si>
    <t>ICICI Pru Short Term Fund(M-IDCW)</t>
  </si>
  <si>
    <t>Axis Flexi Cap Fund-Reg(G)</t>
  </si>
  <si>
    <t>Franklin India Corp Debt Fund-A(A-IDCW)</t>
  </si>
  <si>
    <t>Axis Short Term Fund-Reg(G)</t>
  </si>
  <si>
    <t>Aditya Birla SL Midcap Fund(G)</t>
  </si>
  <si>
    <t>Aditya Birla SL Short Term Fund(G)</t>
  </si>
  <si>
    <t>HSBC Low Duration Fund-Reg(G)</t>
  </si>
  <si>
    <t>Aditya Birla SL Short Term Fund(IDCW)</t>
  </si>
  <si>
    <t>Invesco India Banking &amp; PSU Debt Fund(M-IDCW)</t>
  </si>
  <si>
    <t>Tata Banking &amp; Financial Services Fund-Reg(IDCW)</t>
  </si>
  <si>
    <t>Equity - Sectoral Fund - Banks &amp; Financial Services</t>
  </si>
  <si>
    <t>Nifty Financial Services - TRI</t>
  </si>
  <si>
    <t>Tata Hybrid Equity Fund-Reg(G)</t>
  </si>
  <si>
    <t>Tata Banking &amp; Financial Services Fund-Reg(G)</t>
  </si>
  <si>
    <t>Axis Short Term Fund-Reg(M-IDCW)</t>
  </si>
  <si>
    <t>Sundaram Arbitrage Fund(M-IDCW)</t>
  </si>
  <si>
    <t>HSBC Low Duration Fund-Reg(IDCW)</t>
  </si>
  <si>
    <t>ICICI Pru Equity-Arbitrage Fund(G)</t>
  </si>
  <si>
    <t>Axis Flexi Cap Fund-Reg(IDCW)</t>
  </si>
  <si>
    <t>Aditya Birla SL Equity Hybrid '95 Fund(IDCW-Reinv)</t>
  </si>
  <si>
    <t>Kotak Equity Arbitrage Fund(G)</t>
  </si>
  <si>
    <t>DSP US Flexible Equity Fund-Reg(IDCW)</t>
  </si>
  <si>
    <t>Axis Strategic Bond Fund-Reg(G)</t>
  </si>
  <si>
    <t>Aditya Birla SL Balanced Advantage Fund(G)</t>
  </si>
  <si>
    <t>Tata Large Cap Fund-Reg(G)</t>
  </si>
  <si>
    <t>HDFC Arbitrage-WP(G)</t>
  </si>
  <si>
    <t>Tata Large Cap Fund-Reg(IDCW)</t>
  </si>
  <si>
    <t>Mirae Asset Savings Fund-Reg Savings Plan(G)</t>
  </si>
  <si>
    <t>ICICI Pru Exports &amp; Services Fund(G)</t>
  </si>
  <si>
    <t>Equity - Sectoral Fund - Service Industry</t>
  </si>
  <si>
    <t>Quant Liquid Plan(M-IDCW)</t>
  </si>
  <si>
    <t>HDFC TaxSaver(G)</t>
  </si>
  <si>
    <t>HSBC Midcap Fund-Reg(G)</t>
  </si>
  <si>
    <t>Mirae Asset Savings Fund-Reg Savings Plan(W-IDCW)</t>
  </si>
  <si>
    <t>Invesco India Ultra Short Term Fund(G)</t>
  </si>
  <si>
    <t>PGIM India Corp Bond Fund(G)</t>
  </si>
  <si>
    <t>Quant Liquid Plan(W-IDCW)</t>
  </si>
  <si>
    <t>Mirae Asset Savings Fund-Reg Savings Plan(DD-IDCW)</t>
  </si>
  <si>
    <t>Mirae Asset Savings Fund-Reg Savings Plan(M-IDCW)</t>
  </si>
  <si>
    <t>DSP 10Y G-Sec Fund-Reg(IDCW)</t>
  </si>
  <si>
    <t>Invesco India Ultra Short Term Fund(Q-IDCW)</t>
  </si>
  <si>
    <t>Invesco India Ultra Short Term Fund(M-IDCW)</t>
  </si>
  <si>
    <t>HDFC Capital Builder Value Fund(IDCW)</t>
  </si>
  <si>
    <t>Sundaram Ultra Short Duration Fund(W-IDCW)</t>
  </si>
  <si>
    <t>PGIM India Corp Bond Fund(M-IDCW)</t>
  </si>
  <si>
    <t>HSBC Arbitrage Fund-Reg(G)</t>
  </si>
  <si>
    <t>Baroda BNP Paribas Large Cap Fund-Reg(IDCW)</t>
  </si>
  <si>
    <t>DSP Arbitrage Fund-Reg(G)</t>
  </si>
  <si>
    <t>Axis Strategic Bond Fund-Reg(Q-IDCW)</t>
  </si>
  <si>
    <t>LIC MF Large &amp; Midcap Fund-Reg(G)</t>
  </si>
  <si>
    <t>SBI Multi Asset Allocation Fund-Reg(G)</t>
  </si>
  <si>
    <t>ICICI Pru Exports &amp; Services Fund(IDCW)</t>
  </si>
  <si>
    <t>LIC MF Large &amp; Midcap Fund-Reg(IDCW)</t>
  </si>
  <si>
    <t>ICICI Pru Equity-Arbitrage Fund(IDCW)</t>
  </si>
  <si>
    <t>SBI Magnum Low Duration Fund-Reg(G)</t>
  </si>
  <si>
    <t>PGIM India Corp Bond Fund(Q-IDCW)</t>
  </si>
  <si>
    <t>Axis Strategic Bond Fund-Reg(H-IDCW)</t>
  </si>
  <si>
    <t>Bank of India Mid &amp; Small Cap Equity &amp; Debt Fund-Reg(G)</t>
  </si>
  <si>
    <t>Nifty MidSmallcap 400 - TRI</t>
  </si>
  <si>
    <t>IDFC Equity Savings Fund-Reg(G)</t>
  </si>
  <si>
    <t>Crisil Equity Savings Index</t>
  </si>
  <si>
    <t>SBI Magnum Low Duration Fund-Reg(FN-IDCW)</t>
  </si>
  <si>
    <t>Navi Large &amp; Midcap Fund-Reg(IDCW)</t>
  </si>
  <si>
    <t>S&amp;P BSE 250 LargeMidCap Index - TRI</t>
  </si>
  <si>
    <t>Navi Large &amp; Midcap Fund-Reg(G)</t>
  </si>
  <si>
    <t>Bank of India Mid &amp; Small Cap Equity &amp; Debt Fund-Reg(IDCW)</t>
  </si>
  <si>
    <t>SBI Magnum Low Duration Fund-Reg(M-IDCW)</t>
  </si>
  <si>
    <t>Kotak Equity Arbitrage Fund(M-IDCW)</t>
  </si>
  <si>
    <t>HDFC Low Duration Fund(G)</t>
  </si>
  <si>
    <t>Nippon India Low Duration Fund(G)</t>
  </si>
  <si>
    <t>SBI Magnum Low Duration Fund-Reg(DD-IDCW)</t>
  </si>
  <si>
    <t>SBI Magnum Low Duration Fund-Reg(W-IDCW)</t>
  </si>
  <si>
    <t>Aditya Birla SL Midcap Fund(IDCW)</t>
  </si>
  <si>
    <t>HDFC Arbitrage-WP(M-IDCW)</t>
  </si>
  <si>
    <t>DSP Equity Savings Fund-Reg(G)</t>
  </si>
  <si>
    <t>Axis Long Term Equity Fund-Reg(G)</t>
  </si>
  <si>
    <t>HDFC Arbitrage-WP(IDCW)</t>
  </si>
  <si>
    <t>Axis Long Term Equity Fund-Reg(IDCW)</t>
  </si>
  <si>
    <t>HDFC Low Duration Fund(DD-IDCW)</t>
  </si>
  <si>
    <t>HDFC Low Duration Fund(M-IDCW)</t>
  </si>
  <si>
    <t>IDFC Equity Savings Fund-Reg(M-IDCW)</t>
  </si>
  <si>
    <t>Kotak Debt Hybrid Fund(G)</t>
  </si>
  <si>
    <t>Nippon India Low Duration Fund(DD-IDCW)</t>
  </si>
  <si>
    <t>Nippon India Low Duration Fund(Q-IDCW)</t>
  </si>
  <si>
    <t>Nippon India Low Duration Fund(M-IDCW)</t>
  </si>
  <si>
    <t>UTI Regular Savings Fund-Reg(MP)</t>
  </si>
  <si>
    <t>Nippon India Low Duration Fund(W-IDCW)</t>
  </si>
  <si>
    <t>Sundaram Tax Savings Fund-Reg(G)</t>
  </si>
  <si>
    <t>Sundaram Tax Savings Fund-Reg(H-IDCW)</t>
  </si>
  <si>
    <t>HDFC Low Duration Fund(W-IDCW)</t>
  </si>
  <si>
    <t>Aditya Birla SL Balanced Advantage Fund(IDCW-Payout)</t>
  </si>
  <si>
    <t>Tata Hybrid Equity Fund-Reg(IDCW)</t>
  </si>
  <si>
    <t>DSP Short Term Fund-Reg(G)</t>
  </si>
  <si>
    <t>DSP India T.I.G.E.R Fund-Reg(G)</t>
  </si>
  <si>
    <t>Axis Gilt Fund-Reg(G)</t>
  </si>
  <si>
    <t>HSBC Equity Savings Fund-Reg(G)</t>
  </si>
  <si>
    <t>Bank of India Mfg &amp; Infra Fund-Reg(G)</t>
  </si>
  <si>
    <t>Aditya Birla SL G-Sec Fund(G)</t>
  </si>
  <si>
    <t>DSP Equity Savings Fund-Reg(IDCW)</t>
  </si>
  <si>
    <t>JM Dynamic Bond Fund-Reg(IDCW)</t>
  </si>
  <si>
    <t>JM Dynamic Bond Fund-Reg(G)</t>
  </si>
  <si>
    <t>SBI Banking &amp; Financial Services Fund-Reg(IDCW-Payout)</t>
  </si>
  <si>
    <t>HSBC Arbitrage Fund-Reg(Q-IDCW Payout)</t>
  </si>
  <si>
    <t>HSBC Arbitrage Fund-Reg(M-IDCW Payout)</t>
  </si>
  <si>
    <t>SBI Banking &amp; Financial Services Fund-Reg(G)</t>
  </si>
  <si>
    <t>Tata Hybrid Equity Fund-Reg(M-IDCW)</t>
  </si>
  <si>
    <t>IDFC Money Manager Fund-Reg(G)</t>
  </si>
  <si>
    <t>Aditya Birla SL Arbitrage Fund(G)</t>
  </si>
  <si>
    <t>HDFC Focused 30 Fund(G)</t>
  </si>
  <si>
    <t>ICICI Pru Gilt Fund(IDCW)</t>
  </si>
  <si>
    <t>CRISIL Dynamic Gilt Index</t>
  </si>
  <si>
    <t>ICICI Pru Gilt Fund(G)</t>
  </si>
  <si>
    <t>Invesco India Arbitrage Fund(G)</t>
  </si>
  <si>
    <t>UTI Retirement Benefit Pension</t>
  </si>
  <si>
    <t>CRISIL Short Term Debt Hybrid 60+40 Fund Index</t>
  </si>
  <si>
    <t>IDFC Money Manager Fund-Reg(W-IDCW)</t>
  </si>
  <si>
    <t>HDFC Multi-Asset Fund(G)</t>
  </si>
  <si>
    <t>Sundaram Aggressive Hybrid Fund(G)</t>
  </si>
  <si>
    <t>Aditya Birla SL G-Sec Fund(Q-IDCW)</t>
  </si>
  <si>
    <t>IDFC Flexi Cap Fund-Reg(G)</t>
  </si>
  <si>
    <t>HSBC Midcap Fund-Reg(IDCW)</t>
  </si>
  <si>
    <t>Edelweiss Arbitrage Fund-Reg(G)</t>
  </si>
  <si>
    <t>Axis Arbitrage Fund-Reg(G)</t>
  </si>
  <si>
    <t>DSP Arbitrage Fund-Reg(M-IDCW)</t>
  </si>
  <si>
    <t>IDFC Money Manager Fund-Reg(M-IDCW)</t>
  </si>
  <si>
    <t>IDFC Money Manager Fund-Reg(DD-IDCW)</t>
  </si>
  <si>
    <t>HSBC Equity Savings Fund-Reg(Q-IDCW)</t>
  </si>
  <si>
    <t>UTI Gilt Fund-Reg(IDCW)</t>
  </si>
  <si>
    <t>UTI Gilt Fund-Reg(G)</t>
  </si>
  <si>
    <t>DSP Regular Savings Fund-Reg(G)</t>
  </si>
  <si>
    <t>PGIM India Corp Bond Fund(A-IDCW)</t>
  </si>
  <si>
    <t>SBI Multi Asset Allocation Fund-Reg(M-IDCW)</t>
  </si>
  <si>
    <t>Franklin India Floating Rate Fund(G)</t>
  </si>
  <si>
    <t>SBI Multi Asset Allocation Fund-Reg(Q-IDCW)</t>
  </si>
  <si>
    <t>Tata India Consumer Fund-Reg(IDCW)</t>
  </si>
  <si>
    <t>IDFC Arbitrage Fund-Reg(G)</t>
  </si>
  <si>
    <t>PGIM India Arbitrage Fund-Reg(G)</t>
  </si>
  <si>
    <t>SBI Multi Asset Allocation Fund-Reg(A-IDCW)</t>
  </si>
  <si>
    <t>HSBC Equity Savings Fund-Reg(M-IDCW)</t>
  </si>
  <si>
    <t>JM Tax Gain Fund(IDCW)</t>
  </si>
  <si>
    <t>JM Tax Gain Fund(G)</t>
  </si>
  <si>
    <t>Nippon India Ultra Short Duration Fund(DD-IDCW)</t>
  </si>
  <si>
    <t>Sundaram Small Cap Fund(G)</t>
  </si>
  <si>
    <t>Nifty Smallcap 100 - TRI</t>
  </si>
  <si>
    <t>Baroda BNP Paribas Low Duration Fund(G)</t>
  </si>
  <si>
    <t>Nippon India Ultra Short Duration Fund(M-IDCW)</t>
  </si>
  <si>
    <t>Nippon India Ultra Short Duration Fund(G)</t>
  </si>
  <si>
    <t>Nippon India Ultra Short Duration Fund(W-IDCW)</t>
  </si>
  <si>
    <t>Aditya Birla SL Arbitrage Fund(IDCW)</t>
  </si>
  <si>
    <t>Tata India Consumer Fund-Reg(G)</t>
  </si>
  <si>
    <t>Motilal Oswal Long Term Equity Fund-Reg(G)</t>
  </si>
  <si>
    <t>Invesco India Arbitrage Fund(IDCW)</t>
  </si>
  <si>
    <t>Quant Liquid Plan(DD-IDCW)</t>
  </si>
  <si>
    <t>IDBI India Top 100 Equity Fund(G)</t>
  </si>
  <si>
    <t>Sundaram Dividend Yield Fund(G)</t>
  </si>
  <si>
    <t>Baroda BNP Paribas Arbitrage Fund-Reg(G)</t>
  </si>
  <si>
    <t>Axis Gilt Fund-Reg(H-IDCW)</t>
  </si>
  <si>
    <t>Sundaram Dividend Yield Fund(H-IDCW)</t>
  </si>
  <si>
    <t>Motilal Oswal Long Term Equity Fund-Reg(IDCW)</t>
  </si>
  <si>
    <t>Edelweiss Arbitrage Fund-Reg(IDCW)</t>
  </si>
  <si>
    <t>JM Equity Hybrid Fund(G)</t>
  </si>
  <si>
    <t>JM Equity Hybrid Fund(IDCW)</t>
  </si>
  <si>
    <t>JM Equity Hybrid Fund(M-IDCW)</t>
  </si>
  <si>
    <t>Baroda BNP Paribas Aggressive Hybrid Fund-Reg(G)</t>
  </si>
  <si>
    <t>Invesco India Ultra Short Term Fund(A-IDCW)</t>
  </si>
  <si>
    <t>HDFC Gilt Fund(G)</t>
  </si>
  <si>
    <t>Sundaram Focused Fund(G)</t>
  </si>
  <si>
    <t>IDBI India Top 100 Equity Fund(IDCW)</t>
  </si>
  <si>
    <t>Axis Arbitrage Fund-Reg(IDCW)</t>
  </si>
  <si>
    <t>Baroda BNP Paribas Aggressive Hybrid Fund-Reg(IDCW)</t>
  </si>
  <si>
    <t>IDFC Large Cap Fund-Reg(G)</t>
  </si>
  <si>
    <t>Canara Rob Corp Bond Fund-Reg(IDCW)</t>
  </si>
  <si>
    <t>Canara Rob Corp Bond Fund-Reg(G)</t>
  </si>
  <si>
    <t>DSP Short Term Fund-Reg(IDCW)</t>
  </si>
  <si>
    <t>Baroda BNP Paribas Low Duration Fund(W-IDCW)</t>
  </si>
  <si>
    <t>IDFC Flexi Cap Fund-Reg(IDCW)</t>
  </si>
  <si>
    <t>HDFC TaxSaver(IDCW)</t>
  </si>
  <si>
    <t>Edelweiss Arbitrage Fund-Reg(M-IDCW)</t>
  </si>
  <si>
    <t>Baroda BNP Paribas Low Duration Fund(DD-IDCW)</t>
  </si>
  <si>
    <t>HDFC Multi-Asset Fund(IDCW)</t>
  </si>
  <si>
    <t>PGIM India Arbitrage Fund-Reg(IDCW)</t>
  </si>
  <si>
    <t>Canara Rob Ultra Short Term Fund-Reg(G)</t>
  </si>
  <si>
    <t>Franklin India Floating Rate Fund(IDCW)</t>
  </si>
  <si>
    <t>Canara Rob Ultra Short Term Fund-Reg(DD-IDCW)</t>
  </si>
  <si>
    <t>Canara Rob Short Duration Fund-Reg(G)</t>
  </si>
  <si>
    <t>IDFC Arbitrage Fund-Reg(M-IDCW)</t>
  </si>
  <si>
    <t>HDFC Gilt Fund(IDCW)</t>
  </si>
  <si>
    <t>Mahindra Manulife ELSS Kar Bachat Yojana-Reg(G)</t>
  </si>
  <si>
    <t>Mahindra Manulife ELSS Kar Bachat Yojana-Reg(IDCW)</t>
  </si>
  <si>
    <t>Canara Rob Ultra Short Term Fund-Reg(W-IDCW)</t>
  </si>
  <si>
    <t>DSP India T.I.G.E.R Fund-Reg(IDCW)</t>
  </si>
  <si>
    <t>Baroda BNP Paribas Arbitrage Fund-Reg(IDCW)</t>
  </si>
  <si>
    <t>Canara Rob Short Duration Fund-Reg(M-IDCW)</t>
  </si>
  <si>
    <t>ICICI Pru Regular Savings Fund(G)</t>
  </si>
  <si>
    <t>WOC Ultra Short Term Fund-Reg(G)</t>
  </si>
  <si>
    <t>Nippon India Arbitrage Fund(G)</t>
  </si>
  <si>
    <t>Franklin India Debt Hybrid Fund(G)</t>
  </si>
  <si>
    <t>Edelweiss Money Market Fund-Reg(IDCW)</t>
  </si>
  <si>
    <t>Edelweiss Money Market Fund-Reg(G)</t>
  </si>
  <si>
    <t>Sundaram Mid Cap Fund-Reg(G)</t>
  </si>
  <si>
    <t>Nifty Midcap 100 - TRI</t>
  </si>
  <si>
    <t>ICICI Pru Bond Fund(G)</t>
  </si>
  <si>
    <t>Bank of India Mfg &amp; Infra Fund-Reg(IDCW)</t>
  </si>
  <si>
    <t>HSBC Large Cap Fund(G)</t>
  </si>
  <si>
    <t>Sundaram Small Cap Fund(IDCW)</t>
  </si>
  <si>
    <t>WOC Ultra Short Term Fund-Reg(M-IDCW Payout)</t>
  </si>
  <si>
    <t>Nippon India Consumption Fund(G)</t>
  </si>
  <si>
    <t>Union Balanced Advantage Fund-Reg(IDCW)</t>
  </si>
  <si>
    <t>Union Balanced Advantage Fund-Reg(G)</t>
  </si>
  <si>
    <t>IDFC Large Cap Fund-Reg(IDCW)</t>
  </si>
  <si>
    <t>HDFC Focused 30 Fund(IDCW)</t>
  </si>
  <si>
    <t>Kotak Infra &amp; Eco Reform Fund(G)</t>
  </si>
  <si>
    <t>Bank of India Mfg &amp; Infra Fund-Reg(Q-IDCW)</t>
  </si>
  <si>
    <t>Nippon India Arbitrage Fund(IDCW)</t>
  </si>
  <si>
    <t>Baroda BNP Paribas Low Duration Fund(M-IDCW)</t>
  </si>
  <si>
    <t>Nippon India Balanced Advantage Fund(G)</t>
  </si>
  <si>
    <t>Nippon India Balanced Advantage Fund(B)</t>
  </si>
  <si>
    <t>ICICI Pru Bond Fund(H-IDCW Payout)</t>
  </si>
  <si>
    <t>ICICI Pru Bond Fund(M-IDCW)</t>
  </si>
  <si>
    <t>Invesco India Tax Plan(IDCW)</t>
  </si>
  <si>
    <t>WOC Ultra Short Term Fund-Reg(DD-IDCW)</t>
  </si>
  <si>
    <t>HSBC Large Cap Fund(IDCW)</t>
  </si>
  <si>
    <t>Franklin India Equity Hybrid Fund(G)</t>
  </si>
  <si>
    <t>IDBI Midcap Fund(IDCW)</t>
  </si>
  <si>
    <t>Templeton India Value Fund(G)</t>
  </si>
  <si>
    <t>Invesco India Tax Plan(G)</t>
  </si>
  <si>
    <t>Kotak Debt Hybrid Fund(M-IDCW)</t>
  </si>
  <si>
    <t>Nippon India Arbitrage Fund(M-IDCW)</t>
  </si>
  <si>
    <t>HSBC Aggressive Hybrid Fund-Reg(G)</t>
  </si>
  <si>
    <t>Nippon India Short Term Fund(G)</t>
  </si>
  <si>
    <t>DSP G-Sec Fund-Reg(IDCW)</t>
  </si>
  <si>
    <t>Canara Rob Short Duration Fund-Reg(Q-IDCW)</t>
  </si>
  <si>
    <t>UTI Core Equity Fund-Reg(G)</t>
  </si>
  <si>
    <t>UTI Core Equity Fund-Reg(IDCW)</t>
  </si>
  <si>
    <t>IDBI Flexi Cap Fund(G)</t>
  </si>
  <si>
    <t>ICICI Pru Bond Fund(Q-IDCW)</t>
  </si>
  <si>
    <t>ICICI Pru Regular Savings Fund(M-IDCW)</t>
  </si>
  <si>
    <t>DSP Ultra Short Fund-Reg(G)</t>
  </si>
  <si>
    <t>Axis Gilt Fund-Reg(IDCW)</t>
  </si>
  <si>
    <t>Franklin India Opportunities Fund(G)</t>
  </si>
  <si>
    <t>HSBC ELSS Fund-Reg(G)</t>
  </si>
  <si>
    <t>SBI Magnum Medium Duration Fund-Reg(IDCW)</t>
  </si>
  <si>
    <t>SBI Magnum Medium Duration Fund-Reg(G)</t>
  </si>
  <si>
    <t>Axis Triple Advantage Fund-Reg(G)</t>
  </si>
  <si>
    <t>Franklin India Equity Hybrid Fund(IDCW)</t>
  </si>
  <si>
    <t>Canara Rob Infrastructure Fund-Reg(G)</t>
  </si>
  <si>
    <t>Nippon India Short Term Fund(M-IDCW)</t>
  </si>
  <si>
    <t>IDBI Flexi Cap Fund(IDCW)</t>
  </si>
  <si>
    <t>Axis Triple Advantage Fund-Reg(IDCW)</t>
  </si>
  <si>
    <t>Nippon India Vision Fund(G)</t>
  </si>
  <si>
    <t>HSBC Aggressive Hybrid Fund-Reg(A-IDCW Payout)</t>
  </si>
  <si>
    <t>Sundaram Mid Cap Fund-Reg(IDCW)</t>
  </si>
  <si>
    <t>DSP Ultra Short Fund-Reg(W-IDCW)</t>
  </si>
  <si>
    <t>Taurus Ethical Fund-Reg(IDCW)</t>
  </si>
  <si>
    <t>S&amp;P BSE 500 Shariah - TRI</t>
  </si>
  <si>
    <t>JM Value Fund(IDCW)</t>
  </si>
  <si>
    <t>JM Value Fund(G)</t>
  </si>
  <si>
    <t>Tata Retirement Sav Fund - Prog Plan(G)</t>
  </si>
  <si>
    <t>DSP G-Sec Fund-Reg(G)</t>
  </si>
  <si>
    <t>Taurus Ethical Fund-Reg(G)</t>
  </si>
  <si>
    <t>Nippon India Short Term Fund(Q-IDCW)</t>
  </si>
  <si>
    <t>Nippon India Consumption Fund(IDCW)</t>
  </si>
  <si>
    <t>ICICI Pru All Seasons Bond Fund(G)</t>
  </si>
  <si>
    <t>NIFTY Composite Bond Index</t>
  </si>
  <si>
    <t>ICICI Pru All Seasons Bond Fund(Q-IDCW)</t>
  </si>
  <si>
    <t>ICICI Pru All Seasons Bond Fund(IDCW)</t>
  </si>
  <si>
    <t>Edelweiss Large Cap Fund-Reg(G)</t>
  </si>
  <si>
    <t>UTI CCF - Savings Plan</t>
  </si>
  <si>
    <t>Taurus Discovery (Midcap) Fund-Reg(G)</t>
  </si>
  <si>
    <t>Taurus Discovery (Midcap) Fund-Reg(IDCW)</t>
  </si>
  <si>
    <t>Nippon India Balanced Advantage Fund(IDCW)</t>
  </si>
  <si>
    <t>Kotak Low Duration Fund(G)</t>
  </si>
  <si>
    <t>Invesco India Largecap Fund(G)</t>
  </si>
  <si>
    <t>Aditya Birla SL Global Excellence Equity FoF(G)</t>
  </si>
  <si>
    <t>Canara Rob Conservative Hybrid Fund-Reg(G)</t>
  </si>
  <si>
    <t>Kotak Low Duration Fund(IDCW)</t>
  </si>
  <si>
    <t>Aditya Birla SL Low Duration Fund(G)</t>
  </si>
  <si>
    <t>Tata Young Citizen Fund</t>
  </si>
  <si>
    <t>JM Flexicap Fund-Reg(G)</t>
  </si>
  <si>
    <t>Baroda BNP Paribas Medium Duration Fund-Reg(H-IDCW)</t>
  </si>
  <si>
    <t>Baroda BNP Paribas Medium Duration Fund-Reg(A-IDCW)</t>
  </si>
  <si>
    <t>Baroda BNP Paribas Medium Duration Fund-Reg(G)</t>
  </si>
  <si>
    <t>Baroda BNP Paribas Medium Duration Fund-Reg(Q-IDCW)</t>
  </si>
  <si>
    <t>HSBC ELSS Fund-Reg(IDCW)</t>
  </si>
  <si>
    <t>Tata ST Bond Fund(G)</t>
  </si>
  <si>
    <t>DSP Regular Savings Fund-Reg(Q-IDCW)</t>
  </si>
  <si>
    <t>Kotak Bond Short Term Fund(G)</t>
  </si>
  <si>
    <t>ICICI Pru Regular Savings Fund(Q-IDCW)</t>
  </si>
  <si>
    <t>Tata ST Bond Fund(P-IDCW)</t>
  </si>
  <si>
    <t>HDFC Hybrid Debt Fund(G)</t>
  </si>
  <si>
    <t>JM Arbitrage Fund(IDCW)</t>
  </si>
  <si>
    <t>JM Arbitrage Fund(G)</t>
  </si>
  <si>
    <t>Aditya Birla SL Low Duration Fund(W-IDCW)</t>
  </si>
  <si>
    <t>Aditya Birla SL Low Duration Fund(DD-IDCW)</t>
  </si>
  <si>
    <t>Tata ST Bond Fund(M-IDCW)</t>
  </si>
  <si>
    <t>Canara Rob Infrastructure Fund-Reg(IDCW)</t>
  </si>
  <si>
    <t>Franklin India Opportunities Fund(IDCW)</t>
  </si>
  <si>
    <t>Baroda BNP Paribas Medium Duration Fund-Reg(M-IDCW)</t>
  </si>
  <si>
    <t>Mirae Asset Short Term Fund-Reg(IDCW)</t>
  </si>
  <si>
    <t>Mirae Asset Short Term Fund-Reg(G)</t>
  </si>
  <si>
    <t>Franklin India Feeder - Franklin U.S. Opportunities Fund(G)</t>
  </si>
  <si>
    <t>Russell 3000 Growth Index</t>
  </si>
  <si>
    <t>Franklin India Feeder - Franklin U.S. Opportunities Fund(IDCW)</t>
  </si>
  <si>
    <t>Templeton India Value Fund(IDCW)</t>
  </si>
  <si>
    <t>HDFC Retirement Savings Fund-Hybrid-Equity Plan-Reg(G)</t>
  </si>
  <si>
    <t>JM Flexicap Fund-Reg(IDCW)</t>
  </si>
  <si>
    <t>Sundaram Aggressive Hybrid Fund(M-IDCW)</t>
  </si>
  <si>
    <t>Franklin India G-Sec Fund(G)</t>
  </si>
  <si>
    <t>Nippon India Vision Fund(IDCW)</t>
  </si>
  <si>
    <t>Edelweiss Large Cap Fund-Reg(IDCW)</t>
  </si>
  <si>
    <t>ICICI Pru Dividend Yield Equity Fund(IDCW-Payout)</t>
  </si>
  <si>
    <t>Tata Ultra Short Term Fund-Reg(M-IDCW)</t>
  </si>
  <si>
    <t>Tata Resources &amp; Energy Fund-Reg(G)</t>
  </si>
  <si>
    <t>NIFTY COMMODITIES - TRI</t>
  </si>
  <si>
    <t>ICICI Pru Floating Interest Fund(G)</t>
  </si>
  <si>
    <t>DSP Strategic Bond Fund-Reg(G)</t>
  </si>
  <si>
    <t>Tata Ultra Short Term Fund-Reg(G)</t>
  </si>
  <si>
    <t>Mahindra Manulife Low Duration Fund-Reg(G)</t>
  </si>
  <si>
    <t>ICICI Pru Floating Interest Fund(W-IDCW)</t>
  </si>
  <si>
    <t>Tata Resources &amp; Energy Fund-Reg(IDCW)</t>
  </si>
  <si>
    <t>UTI Regular Savings Fund-Reg(G)</t>
  </si>
  <si>
    <t>Baroda BNP Paribas Credit Risk Fund-Reg(G)</t>
  </si>
  <si>
    <t>Debt - Credit Risk Fund</t>
  </si>
  <si>
    <t>CRISIL Short Term Credit Risk Fund</t>
  </si>
  <si>
    <t>Baroda BNP Paribas Credit Risk Fund-Reg(Q-IDCW)</t>
  </si>
  <si>
    <t>Mahindra Manulife Low Duration Fund-Reg(DD-IDCW)</t>
  </si>
  <si>
    <t>Edelweiss Government Securities Fund-Reg(G)</t>
  </si>
  <si>
    <t>Tata Ultra Short Term Fund-Reg(W-IDCW)</t>
  </si>
  <si>
    <t>Edelweiss Government Securities Fund-Reg(IDCW)</t>
  </si>
  <si>
    <t>ICICI Pru Floating Interest Fund(DD-IDCW)</t>
  </si>
  <si>
    <t>Mahindra Manulife Low Duration Fund-Reg(M-IDCW)</t>
  </si>
  <si>
    <t>Baroda BNP Paribas Credit Risk Fund-Reg(M-IDCW)</t>
  </si>
  <si>
    <t>Tata Retirement Sav Fund - Mod Plan(G)</t>
  </si>
  <si>
    <t>Mahindra Manulife Low Duration Fund-Reg(W-IDCW)</t>
  </si>
  <si>
    <t>ICICI Pru Medium Term Bond Fund(Q-IDCW)</t>
  </si>
  <si>
    <t>ICICI Pru Medium Term Bond Fund(G)</t>
  </si>
  <si>
    <t>Axis Ultra Short Term Fund-Reg(IDCW)</t>
  </si>
  <si>
    <t>Axis Ultra Short Term Fund-Reg(G)</t>
  </si>
  <si>
    <t>Axis Ultra Short Term Fund-Reg(M-IDCW)</t>
  </si>
  <si>
    <t>Axis Ultra Short Term Fund-Reg(DD-IDCW)</t>
  </si>
  <si>
    <t>Axis Ultra Short Term Fund-Reg(W-IDCW)</t>
  </si>
  <si>
    <t>ICICI Pru FMCG Fund(G)</t>
  </si>
  <si>
    <t>NIFTY FMCG - TRI</t>
  </si>
  <si>
    <t>Nippon India Banking &amp; Financial Services Fund(G)</t>
  </si>
  <si>
    <t>Franklin India Debt Hybrid Fund(Q-IDCW)</t>
  </si>
  <si>
    <t>Aditya Birla SL Regular Savings Fund(Payment)</t>
  </si>
  <si>
    <t>Aditya Birla SL Regular Savings Fund(G)</t>
  </si>
  <si>
    <t>Edelweiss Aggressive Hybrid Fund-Reg(G)</t>
  </si>
  <si>
    <t>Franklin India G-Sec Fund(IDCW)</t>
  </si>
  <si>
    <t>Edelweiss Government Securities Fund-Reg(M-IDCW)</t>
  </si>
  <si>
    <t>ICICI Pru FMCG Fund(IDCW)</t>
  </si>
  <si>
    <t>JM Medium to Long Duration Fund-Reg(Q-IDCW)</t>
  </si>
  <si>
    <t>JM Medium to Long Duration Fund-Reg(G)</t>
  </si>
  <si>
    <t>ICICI Pru Banking &amp; Fin Serv Fund(G)</t>
  </si>
  <si>
    <t>Invesco India Short Term Fund(G)</t>
  </si>
  <si>
    <t>UTI Regular Savings Fund-Reg(F-IDCW)</t>
  </si>
  <si>
    <t>Invesco India Short Term Fund(W-IDCW)</t>
  </si>
  <si>
    <t>ICICI Pru Credit Risk Fund(G)</t>
  </si>
  <si>
    <t>Nippon India Banking &amp; Financial Services Fund(IDCW)</t>
  </si>
  <si>
    <t>HDFC Medium Term Debt Fund(G)</t>
  </si>
  <si>
    <t>ICICI Pru Credit Risk Fund(Q-IDCW)</t>
  </si>
  <si>
    <t>Franklin India Debt Hybrid Fund(M-IDCW)</t>
  </si>
  <si>
    <t>Mirae Asset Dynamic Bond Fund-Reg(IDCW)</t>
  </si>
  <si>
    <t>Mirae Asset Dynamic Bond Fund-Reg(G)</t>
  </si>
  <si>
    <t>Baroda BNP Paribas ELSS Fund-Reg(G)</t>
  </si>
  <si>
    <t>Invesco India Short Term Fund(M-IDCW)</t>
  </si>
  <si>
    <t>Aditya Birla SL Dividend Yield Fund(G)</t>
  </si>
  <si>
    <t>HDFC Medium Term Debt Fund(FN-IDCW)</t>
  </si>
  <si>
    <t>Franklin India Technology Fund(G)</t>
  </si>
  <si>
    <t>Indiabulls Arbitrage Fund-Reg(G)</t>
  </si>
  <si>
    <t>DSP Strategic Bond Fund-Reg(IDCW)</t>
  </si>
  <si>
    <t>DSP Global Allocation Fund-Reg(IDCW)</t>
  </si>
  <si>
    <t>DSP Global Allocation Fund-Reg(G)</t>
  </si>
  <si>
    <t>Franklin India Technology Fund(IDCW)</t>
  </si>
  <si>
    <t>Edelweiss Long Term Equity Fund (Tax Savings)-Reg(G)</t>
  </si>
  <si>
    <t>IDBI Focused 30 Equity Fund-Reg(IDCW)</t>
  </si>
  <si>
    <t>IDBI Focused 30 Equity Fund-Reg(G)</t>
  </si>
  <si>
    <t>Baroda BNP Paribas ELSS Fund-Reg(IDCW)</t>
  </si>
  <si>
    <t>Nippon India Power &amp; Infra Fund(G)</t>
  </si>
  <si>
    <t>JM Large Cap Fund-Reg(G)</t>
  </si>
  <si>
    <t>Canara Rob Conservative Hybrid Fund-Reg(M-IDCW)</t>
  </si>
  <si>
    <t>UTI Regular Savings Fund-Reg(M-IDCW)</t>
  </si>
  <si>
    <t>Aditya Birla SL Equity Advantage Fund(G)</t>
  </si>
  <si>
    <t>IDFC Balanced Advantage Fund-Reg(G)</t>
  </si>
  <si>
    <t>PGIM India Short Duration Fund(G)</t>
  </si>
  <si>
    <t>Nippon India Tax Saver (ELSS) Fund(G)</t>
  </si>
  <si>
    <t>Aditya Birla SL Equity Advantage Fund(IDCW)</t>
  </si>
  <si>
    <t>IDFC G-Sec-Invest-Reg(G)</t>
  </si>
  <si>
    <t>HSBC Infrastructure Fund-Reg(IDCW)</t>
  </si>
  <si>
    <t>Edelweiss Aggressive Hybrid Fund-Reg(IDCW)</t>
  </si>
  <si>
    <t>HSBC Infrastructure Fund-Reg(G)</t>
  </si>
  <si>
    <t>Sundaram Low Duration Fund(G)</t>
  </si>
  <si>
    <t>Sundaram Low Duration Fund(M-IDCW)</t>
  </si>
  <si>
    <t>Sundaram Low Duration Fund(W-IDCW)</t>
  </si>
  <si>
    <t>Sundaram Low Duration Fund(DD-IDCW)</t>
  </si>
  <si>
    <t>PGIM India Short Duration Fund(M-IDCW)</t>
  </si>
  <si>
    <t>Motilal Oswal Focused Fund-Reg(G)</t>
  </si>
  <si>
    <t>HDFC Hybrid Debt Fund(M-IDCW)</t>
  </si>
  <si>
    <t>Edelweiss Long Term Equity Fund (Tax Savings)-Reg(IDCW)</t>
  </si>
  <si>
    <t>HDFC Hybrid Debt Fund(Q-IDCW)</t>
  </si>
  <si>
    <t>Aditya Birla SL Dividend Yield Fund(IDCW)</t>
  </si>
  <si>
    <t>ICICI Pru Banking &amp; Fin Serv Fund(IDCW)</t>
  </si>
  <si>
    <t>IDFC Balanced Advantage Fund-Reg(IDCW)</t>
  </si>
  <si>
    <t>Canara Rob Gilt Fund-Reg(G)</t>
  </si>
  <si>
    <t>Canara Rob Gilt Fund-Reg(IDCW)</t>
  </si>
  <si>
    <t>Indiabulls Arbitrage Fund-Reg(M-IDCW)</t>
  </si>
  <si>
    <t>Nippon India Tax Saver (ELSS) Fund(IDCW)</t>
  </si>
  <si>
    <t>HDFC Equity Savings Fund(G)</t>
  </si>
  <si>
    <t>IDFC G-Sec-Invest-Reg(Q-IDCW)</t>
  </si>
  <si>
    <t>DSP Dynamic Asset Allocation Fund-Reg(G)</t>
  </si>
  <si>
    <t>Sundaram Equity Savings Fund(G)</t>
  </si>
  <si>
    <t>DSP Top 100 Equity Fund-Reg(G)</t>
  </si>
  <si>
    <t>IDBI Credit Risk Fund(A-IDCW)</t>
  </si>
  <si>
    <t>NIFTY Credit Risk Bond Index</t>
  </si>
  <si>
    <t>Kotak Dynamic Bond Fund-Reg(G)</t>
  </si>
  <si>
    <t>IDBI Credit Risk Fund(G)</t>
  </si>
  <si>
    <t>IDBI Credit Risk Fund(Q-IDCW)</t>
  </si>
  <si>
    <t>Edelweiss Equity Savings Fund-Reg(G)</t>
  </si>
  <si>
    <t>DSP Focus Fund-Reg(G)</t>
  </si>
  <si>
    <t>Motilal Oswal Focused Fund-Reg(IDCW)</t>
  </si>
  <si>
    <t>Aditya Birla SL Regular Savings Fund(M-IDCW)</t>
  </si>
  <si>
    <t>Taurus Infrastructure Fund-Reg(G)</t>
  </si>
  <si>
    <t>UTI Healthcare Fund-Reg(IDCW)</t>
  </si>
  <si>
    <t>UTI Healthcare Fund-Reg(G)</t>
  </si>
  <si>
    <t>Sundaram Equity Savings Fund(Q-IDCW)</t>
  </si>
  <si>
    <t>Sundaram Equity Savings Fund(H-IDCW)</t>
  </si>
  <si>
    <t>DSP Focus Fund-Reg(IDCW)</t>
  </si>
  <si>
    <t>IDFC G-Sec-Invest-Reg(H-IDCW)</t>
  </si>
  <si>
    <t>Kotak Equity Savings Fund(G)</t>
  </si>
  <si>
    <t>Aditya Birla SL Banking &amp; Financial Services Fund-Reg(G)</t>
  </si>
  <si>
    <t>SBI Credit Risk Fund-Reg(IDCW)</t>
  </si>
  <si>
    <t>SBI Credit Risk Fund-Reg(G)</t>
  </si>
  <si>
    <t>HDFC Credit Risk Debt Fund-(G)</t>
  </si>
  <si>
    <t>HSBC Managed Solutions India-Conservative(IDCW)</t>
  </si>
  <si>
    <t>S&amp;P BSE 200</t>
  </si>
  <si>
    <t>HSBC Managed Solutions India-Conservative(G)</t>
  </si>
  <si>
    <t>Edelweiss Equity Savings Fund-Reg(IDCW)</t>
  </si>
  <si>
    <t>HDFC Equity Savings Fund(IDCW)</t>
  </si>
  <si>
    <t>Canara Rob Conservative Hybrid Fund-Reg(Q-IDCW)</t>
  </si>
  <si>
    <t>Nippon India Power &amp; Infra Fund(IDCW)</t>
  </si>
  <si>
    <t>HDFC Credit Risk Debt Fund-(Q-IDCW)</t>
  </si>
  <si>
    <t>Union Largecap Fund-Reg(G)</t>
  </si>
  <si>
    <t>Aditya Birla SL Tax Relief '96(G)</t>
  </si>
  <si>
    <t>UTI Infrastructure Fund-Reg(IDCW)</t>
  </si>
  <si>
    <t>UTI Infrastructure Fund-Reg(G)</t>
  </si>
  <si>
    <t>DSP Dynamic Asset Allocation Fund-Reg(M-IDCW)</t>
  </si>
  <si>
    <t>IDFC Hybrid Equity Fund-Reg(G)</t>
  </si>
  <si>
    <t>Kotak Equity Savings Fund(M-IDCW Payout)</t>
  </si>
  <si>
    <t>UTI MNC Fund-Reg(G)</t>
  </si>
  <si>
    <t>DSP Top 100 Equity Fund-Reg(IDCW)</t>
  </si>
  <si>
    <t>UTI MNC Fund-Reg(IDCW)</t>
  </si>
  <si>
    <t>Aditya Birla SL Banking &amp; Financial Services Fund-Reg(IDCW)</t>
  </si>
  <si>
    <t>IDFC Hybrid Equity Fund-Reg(IDCW)</t>
  </si>
  <si>
    <t>SBI Magnum Income Fund-Reg(G)</t>
  </si>
  <si>
    <t>SBI Magnum Income Fund-Reg(IDCW)</t>
  </si>
  <si>
    <t>LIC MF Large Cap Fund-Reg(G)</t>
  </si>
  <si>
    <t>UTI Multi Asset Fund-Reg(G)</t>
  </si>
  <si>
    <t>Invesco India Gilt Fund(G)</t>
  </si>
  <si>
    <t>Invesco India Gilt Fund(M-IDCW)</t>
  </si>
  <si>
    <t>Axis Children's Gift Fund-Compulsory Lock in-Reg(IDCW)</t>
  </si>
  <si>
    <t>Axis Children's Gift Fund-Compulsory Lock in-Reg(G)</t>
  </si>
  <si>
    <t>Franklin India Multi-Asset Solution FoF(IDCW)</t>
  </si>
  <si>
    <t>Franklin India Multi-Asset Solution FoF(G)</t>
  </si>
  <si>
    <t>LIC MF Large Cap Fund-Reg(IDCW)</t>
  </si>
  <si>
    <t>Aditya Birla SL Tax Relief '96(ELSS U/S 80C of IT ACT)(IDCW)</t>
  </si>
  <si>
    <t>Axis Focused 25 Fund-Reg(G)</t>
  </si>
  <si>
    <t>LIC MF Infra Fund-Reg(IDCW)</t>
  </si>
  <si>
    <t>LIC MF Infra Fund-Reg(G)</t>
  </si>
  <si>
    <t>Taurus Tax Shield Fund-Reg(G)</t>
  </si>
  <si>
    <t>Taurus Tax Shield Fund-Reg(IDCW)</t>
  </si>
  <si>
    <t>Baroda BNP Paribas Focused Fund-Reg(IDCW)</t>
  </si>
  <si>
    <t>Baroda BNP Paribas Focused Fund-Reg(G)</t>
  </si>
  <si>
    <t>Nippon India Retirement Fund-Wealth Creation(G)</t>
  </si>
  <si>
    <t>Sundaram Global Brand Fund(G)</t>
  </si>
  <si>
    <t>Sundaram Global Brand Fund(IDCW)</t>
  </si>
  <si>
    <t>Axis Focused 25 Fund-Reg(IDCW)</t>
  </si>
  <si>
    <t>Bank of India Large &amp; Mid Cap Equity Fund-Reg(G)</t>
  </si>
  <si>
    <t>IDFC G-Sec-Invest-Reg(A-IDCW)</t>
  </si>
  <si>
    <t>Bank of India Large &amp; Mid Cap Equity Fund-Reg(Q-IDCW)</t>
  </si>
  <si>
    <t>UTI Multi Asset Fund-Reg(IDCW)</t>
  </si>
  <si>
    <t>Invesco India Gilt Fund(Q-IDCW)</t>
  </si>
  <si>
    <t>HSBC Asia Pacific (Ex Japan) DYF-Reg(G)</t>
  </si>
  <si>
    <t>MSCI Asia (ex-Japan) Standard Index</t>
  </si>
  <si>
    <t>HSBC Asia Pacific (Ex Japan) DYF-Reg(IDCW-Payout)</t>
  </si>
  <si>
    <t>HSBC Medium Duration Fund-Reg(G)</t>
  </si>
  <si>
    <t>UTI CCF- Investment Plan(G)</t>
  </si>
  <si>
    <t>UTI CCF- Investment Plan(IDCW)</t>
  </si>
  <si>
    <t>PGIM India Large Cap Fund(G)</t>
  </si>
  <si>
    <t>Axis Balanced Advantage Fund-Reg(G)</t>
  </si>
  <si>
    <t>HSBC Medium Duration Fund-Reg(IDCW-Payout)</t>
  </si>
  <si>
    <t>Bank of India Large &amp; Mid Cap Equity Fund-Reg(IDCW)</t>
  </si>
  <si>
    <t>Axis Balanced Advantage Fund-Reg(IDCW)</t>
  </si>
  <si>
    <t>Aditya Birla SL Small Cap Fund(G)</t>
  </si>
  <si>
    <t>IDFC Focused Equity Fund-Reg(G)</t>
  </si>
  <si>
    <t>Nippon India Retirement Fund-Wealth Creation(IDCW)</t>
  </si>
  <si>
    <t>Kotak Gilt Fund-Reg(G)</t>
  </si>
  <si>
    <t>Sundaram Fin Serv Opp Fund(G)</t>
  </si>
  <si>
    <t>Axis Credit Risk Fund-Reg(G)</t>
  </si>
  <si>
    <t>IDBI Equity Advantage Fund-Reg(G)</t>
  </si>
  <si>
    <t>Invesco India Gilt Fund(A-IDCW)</t>
  </si>
  <si>
    <t>Taurus Banking &amp; Fin Serv Fund-Reg(IDCW)</t>
  </si>
  <si>
    <t>S&amp;P BSE BANKEX - TRI</t>
  </si>
  <si>
    <t>Axis Credit Risk Fund-Reg(W-IDCW)</t>
  </si>
  <si>
    <t>Aditya Birla SL Small Cap Fund(IDCW)</t>
  </si>
  <si>
    <t>Axis Credit Risk Fund-Reg(M-IDCW)</t>
  </si>
  <si>
    <t>ICICI Pru Child Care Fund-Gift Plan</t>
  </si>
  <si>
    <t>Taurus Banking &amp; Fin Serv Fund-Reg(G)</t>
  </si>
  <si>
    <t>PGIM India Large Cap Fund(IDCW)</t>
  </si>
  <si>
    <t>IDBI Equity Advantage Fund-Reg(IDCW)</t>
  </si>
  <si>
    <t>IDFC Focused Equity Fund-Reg(IDCW)</t>
  </si>
  <si>
    <t>Aditya Birla SL Infrastructure Fund(G)</t>
  </si>
  <si>
    <t>Aditya Birla SL Intl. Equity Fund-A(G)</t>
  </si>
  <si>
    <t>S&amp;P Global 1200</t>
  </si>
  <si>
    <t>IDFC Infrastructure Fund-Reg(IDCW)</t>
  </si>
  <si>
    <t>IDFC Infrastructure Fund-Reg(G)</t>
  </si>
  <si>
    <t>Kotak Gilt Fund-Reg(Q-IDCW)</t>
  </si>
  <si>
    <t>Axis Equity Saver Fund-Reg(G)</t>
  </si>
  <si>
    <t>Sundaram Ultra Short Duration Fund(G)</t>
  </si>
  <si>
    <t>Sundaram Fin Serv Opp Fund(IDCW)</t>
  </si>
  <si>
    <t>Invesco India PSU Equity Fund(G)</t>
  </si>
  <si>
    <t>S&amp;P BSE PSU - TRI</t>
  </si>
  <si>
    <t>PGIM India Gilt Fund(G)</t>
  </si>
  <si>
    <t>IDBI Midcap Fund(G)</t>
  </si>
  <si>
    <t>Sundaram Infra Advantage Fund(G)</t>
  </si>
  <si>
    <t>Sundaram Ultra Short Duration Fund(DD-IDCW)</t>
  </si>
  <si>
    <t>Sundaram Ultra Short Duration Fund(M-IDCW)</t>
  </si>
  <si>
    <t>Aditya Birla SL Infrastructure Fund(IDCW)</t>
  </si>
  <si>
    <t>HSBC Balanced Advantage Fund-Reg(G)</t>
  </si>
  <si>
    <t>LIC MF G-Sec Fund-Reg(IDCW)</t>
  </si>
  <si>
    <t>LIC MF G-Sec Fund-Reg(G)</t>
  </si>
  <si>
    <t>LIC MF ST Debt Fund-Reg(G)</t>
  </si>
  <si>
    <t>LIC MF ST Debt Fund-Reg(IDCW)</t>
  </si>
  <si>
    <t>Aditya Birla SL Intl. Equity Fund-B(G)</t>
  </si>
  <si>
    <t>LIC MF Tax Plan-Reg(G)</t>
  </si>
  <si>
    <t>Invesco India Credit Risk Fund(M-IDCW)</t>
  </si>
  <si>
    <t>Axis Equity Saver Fund-Reg(Q-IDCW)</t>
  </si>
  <si>
    <t>IDFC G-Sec-Invest-Reg(IDCW)</t>
  </si>
  <si>
    <t>Shriram Hybrid Equity Fund-Reg(G)</t>
  </si>
  <si>
    <t>Shriram Hybrid Equity Fund-Reg(IDCW-Payout)</t>
  </si>
  <si>
    <t>PGIM India Gilt Fund(Q-IDCW)</t>
  </si>
  <si>
    <t>JM Large Cap Fund-Reg(IDCW)</t>
  </si>
  <si>
    <t>Axis Equity Saver Fund-Reg(M-IDCW)</t>
  </si>
  <si>
    <t>Invesco India PSU Equity Fund(IDCW)</t>
  </si>
  <si>
    <t>Motilal Oswal Flexi Cap Fund-Reg(G)</t>
  </si>
  <si>
    <t>LIC MF Tax Plan-Reg(IDCW)</t>
  </si>
  <si>
    <t>Invesco India Credit Risk Fund(IDCW)</t>
  </si>
  <si>
    <t>Invesco India Credit Risk Fund(G)</t>
  </si>
  <si>
    <t>IDFC Bond Fund - Medium Term Plan-Reg(DD-IDCW)</t>
  </si>
  <si>
    <t>Motilal Oswal Flexi Cap Fund-Reg(IDCW)</t>
  </si>
  <si>
    <t>Kotak Medium Term Fund(G)</t>
  </si>
  <si>
    <t>Aditya Birla SL Intl. Equity Fund-B(IDCW)</t>
  </si>
  <si>
    <t>Sundaram Infra Advantage Fund(IDCW)</t>
  </si>
  <si>
    <t>Aditya Birla SL Intl. Equity Fund-A(IDCW)</t>
  </si>
  <si>
    <t>IDFC Bond Fund - Medium Term Plan-Reg(G)</t>
  </si>
  <si>
    <t>Nippon India US Equity Opp Fund(IDCW)</t>
  </si>
  <si>
    <t>S&amp;P 500 - TRI</t>
  </si>
  <si>
    <t>Nippon India US Equity Opp Fund(G)</t>
  </si>
  <si>
    <t>HSBC Balanced Advantage Fund-Reg(IDCW)</t>
  </si>
  <si>
    <t>Indiabulls Tax Savings Fund-Reg(IDCW)</t>
  </si>
  <si>
    <t>Indiabulls Tax Savings Fund-Reg(G)</t>
  </si>
  <si>
    <t>Indiabulls Blue Chip Fund-Reg(IDCW)</t>
  </si>
  <si>
    <t>IDFC Bond Fund - Medium Term Plan-Reg(BM-IDCW)</t>
  </si>
  <si>
    <t>Indiabulls Blue Chip Fund-Reg(G)</t>
  </si>
  <si>
    <t>IDFC Bond Fund - Medium Term Plan-Reg(FN-IDCW)</t>
  </si>
  <si>
    <t>IDFC Bond Fund - Medium Term Plan-Reg(M-IDCW)</t>
  </si>
  <si>
    <t>Edelweiss Eur Dynamic Equity Off-shr Fund-Reg(G)</t>
  </si>
  <si>
    <t>PGIM India Hybrid Equity Fund(G)</t>
  </si>
  <si>
    <t>UTI India Consumer Fund-Reg(G)</t>
  </si>
  <si>
    <t>UTI India Consumer Fund-Reg(IDCW)</t>
  </si>
  <si>
    <t>Sundaram Consumption Fund(G)</t>
  </si>
  <si>
    <t>HSBC Dynamic Bond Fund-Reg(G)</t>
  </si>
  <si>
    <t>Aditya Birla SL Income Fund(DAP)</t>
  </si>
  <si>
    <t>IDFC Credit Risk Fund-Reg(G)</t>
  </si>
  <si>
    <t>SBI Dynamic Bond Fund-Reg(G)</t>
  </si>
  <si>
    <t>SBI Dynamic Bond Fund-Reg(IDCW)</t>
  </si>
  <si>
    <t>IDFC Credit Risk Fund-Reg(Q-IDCW)</t>
  </si>
  <si>
    <t>HSBC Dynamic Bond Fund-Reg(M-IDCW)</t>
  </si>
  <si>
    <t>HDFC Housing Opp Fund-Reg(G)</t>
  </si>
  <si>
    <t>Nifty Housing - TRI</t>
  </si>
  <si>
    <t>IDBI Equity Savings Fund(Q-IDCW)</t>
  </si>
  <si>
    <t>IDBI Equity Savings Fund(G)</t>
  </si>
  <si>
    <t>IDBI Equity Savings Fund(M-IDCW)</t>
  </si>
  <si>
    <t>Indiabulls Short Term Fund-Reg(G)</t>
  </si>
  <si>
    <t>Indiabulls Short Term Fund-Reg(M-IDCW)</t>
  </si>
  <si>
    <t>Indiabulls Short Term Fund-Reg(W-IDCW)</t>
  </si>
  <si>
    <t>IDFC Credit Risk Fund-Reg(H-IDCW)</t>
  </si>
  <si>
    <t>PGIM India Hybrid Equity Fund(IDCW)</t>
  </si>
  <si>
    <t>Indiabulls Short Term Fund-Reg(FN-IDCW)</t>
  </si>
  <si>
    <t>HSBC Business Cycles Fund-Reg(G)</t>
  </si>
  <si>
    <t>Kotak Medium Term Fund(IDCW)</t>
  </si>
  <si>
    <t>Union Dynamic Bond(G)</t>
  </si>
  <si>
    <t>Union Dynamic Bond(IDCW-Payout)</t>
  </si>
  <si>
    <t>Mahindra Manulife Equity Savings Fund-Reg(G)</t>
  </si>
  <si>
    <t>Sundaram Consumption Fund(IDCW)</t>
  </si>
  <si>
    <t>Mahindra Manulife Equity Savings Fund-Reg(IDCW)</t>
  </si>
  <si>
    <t>HSBC Credit Risk Fund-Reg(G)</t>
  </si>
  <si>
    <t>Nippon India Gilt Securities Fund(G)</t>
  </si>
  <si>
    <t>Axis Regular Saver Fund-Reg(G)</t>
  </si>
  <si>
    <t>Sundaram Balanced Advantage Fund(G)</t>
  </si>
  <si>
    <t>Invesco India Financial Services Fund(G)</t>
  </si>
  <si>
    <t>HSBC Credit Risk Fund-Reg(M-IDCW)</t>
  </si>
  <si>
    <t>IDFC Credit Risk Fund-Reg(A-IDCW)</t>
  </si>
  <si>
    <t>Nippon India Equity Hybrid Fund(G)</t>
  </si>
  <si>
    <t>HSBC Business Cycles Fund-Reg(IDCW-Payout)</t>
  </si>
  <si>
    <t>HDFC Retirement Savings Fund-Hybrid-Debt Plan-Reg(G)</t>
  </si>
  <si>
    <t>Nippon India Gilt Securities Fund(M-IDCW)</t>
  </si>
  <si>
    <t>Invesco India Financial Services Fund(IDCW)</t>
  </si>
  <si>
    <t>PGIM India Dynamic Bond Fund(G)</t>
  </si>
  <si>
    <t>DSP World Energy Fund-Reg(IDCW)</t>
  </si>
  <si>
    <t>DSP World Energy Fund-Reg(G)</t>
  </si>
  <si>
    <t>Aditya Birla SL Mfg. Equity Fund-Reg(G)</t>
  </si>
  <si>
    <t>S&amp;P BSE India Manufacturing Index - TRI</t>
  </si>
  <si>
    <t>HSBC Conservative Hybrid Fund(G)</t>
  </si>
  <si>
    <t>Nippon India Credit Risk Fund(G)</t>
  </si>
  <si>
    <t>Nippon India Credit Risk Fund(Q-IDCW)</t>
  </si>
  <si>
    <t>IDFC Dynamic Bond Fund-Reg(G)</t>
  </si>
  <si>
    <t>Nippon India Equity Hybrid Fund(Q-IDCW)</t>
  </si>
  <si>
    <t>Nippon India Equity Hybrid Fund(IDCW)</t>
  </si>
  <si>
    <t>HDFC Dynamic Debt Fund(G)</t>
  </si>
  <si>
    <t>HSBC Conservative Hybrid Fund(Q-IDCW)</t>
  </si>
  <si>
    <t>HSBC Gilt Fund-Reg(G)</t>
  </si>
  <si>
    <t>SBI Magnum Comma Fund-Reg(G)</t>
  </si>
  <si>
    <t>SBI Magnum Comma Fund-Reg(IDCW)</t>
  </si>
  <si>
    <t>Aditya Birla SL Equity Savings Fund-Reg(G)</t>
  </si>
  <si>
    <t>Tata Gilt Securities Fund-Reg(IDCW)</t>
  </si>
  <si>
    <t>Aditya Birla SL Equity Savings Fund-Reg(IDCW)</t>
  </si>
  <si>
    <t>Indiabulls Value Fund-Reg(G)</t>
  </si>
  <si>
    <t>Indiabulls Value Fund-Reg(IDCW)</t>
  </si>
  <si>
    <t>IDFC Dynamic Bond Fund-Reg(Q-IDCW)</t>
  </si>
  <si>
    <t>HDFC Dynamic Debt Fund(Q-IDCW)</t>
  </si>
  <si>
    <t>Nippon India Retirement Fund-Income Generation(IDCW)</t>
  </si>
  <si>
    <t>Nippon India Retirement Fund-Income Generation(G)</t>
  </si>
  <si>
    <t>Aditya Birla SL Mfg. Equity Fund-Reg(IDCW)</t>
  </si>
  <si>
    <t>HSBC Credit Risk Fund-Reg(A-IDCW)</t>
  </si>
  <si>
    <t>HSBC Gilt Fund-Reg(Q-IDCW)</t>
  </si>
  <si>
    <t>Tata Retirement Sav Fund - Cons Plan(G)</t>
  </si>
  <si>
    <t>Baroda BNP Paribas Dynamic Bond Fund(DD-IDCW)</t>
  </si>
  <si>
    <t>LIC MF Flexi Cap Fund-Reg(IDCW)</t>
  </si>
  <si>
    <t>LIC MF Flexi Cap Fund-Reg(G)</t>
  </si>
  <si>
    <t>HDFC Dynamic Debt Fund(H-IDCW)</t>
  </si>
  <si>
    <t>IDBI Hybrid Equity Fund(IDCW)</t>
  </si>
  <si>
    <t>IDBI Hybrid Equity Fund(G)</t>
  </si>
  <si>
    <t>Sundaram Debt Oriented Hybrid Fund(G)</t>
  </si>
  <si>
    <t>Baroda BNP Paribas Dynamic Bond Fund(G)</t>
  </si>
  <si>
    <t>HDFC Dynamic Debt Fund(A-IDCW)</t>
  </si>
  <si>
    <t>Aditya Birla SL Pure Value Fund(G)</t>
  </si>
  <si>
    <t>Aditya Birla SL Pure Value Fund(IDCW)</t>
  </si>
  <si>
    <t>Tata Gilt Securities Fund-Reg(G)</t>
  </si>
  <si>
    <t>LIC MF Children's Gift Fund(G)</t>
  </si>
  <si>
    <t>Baroda BNP Paribas Dynamic Bond Fund(W-IDCW)</t>
  </si>
  <si>
    <t>Baroda BNP Paribas Dynamic Bond Fund(Q-IDCW)</t>
  </si>
  <si>
    <t>Baroda BNP Paribas Dynamic Bond Fund(H-IDCW)</t>
  </si>
  <si>
    <t>Canara Rob Dynamic Bond Fund-Reg(G)</t>
  </si>
  <si>
    <t>IDFC Credit Risk Fund-Reg(IDCW)</t>
  </si>
  <si>
    <t>Canara Rob Dynamic Bond Fund-Reg(IDCW)</t>
  </si>
  <si>
    <t>IDFC Regular Savings Fund-Reg(G)</t>
  </si>
  <si>
    <t>Sundaram Balanced Advantage Fund(M-IDCW)</t>
  </si>
  <si>
    <t>Nippon India Income Fund(G)</t>
  </si>
  <si>
    <t>Kotak Bond Fund-Reg(IDCW Payout)</t>
  </si>
  <si>
    <t>Kotak Bond Fund-Reg(G)</t>
  </si>
  <si>
    <t>HSBC Conservative Hybrid Fund(M-IDCW)</t>
  </si>
  <si>
    <t>UTI Medium Term Fund-Reg(G)</t>
  </si>
  <si>
    <t>UTI Medium Term Fund-Reg(Q-IDCW)</t>
  </si>
  <si>
    <t>UTI Medium Term Fund-Reg(F-IDCW)</t>
  </si>
  <si>
    <t>UTI Medium Term Fund-Reg(A-IDCW)</t>
  </si>
  <si>
    <t>Taurus Largecap Equity Fund-Reg(IDCW)</t>
  </si>
  <si>
    <t>Taurus Largecap Equity Fund-Reg(G)</t>
  </si>
  <si>
    <t>Baroda BNP Paribas Dynamic Bond Fund(M-IDCW)</t>
  </si>
  <si>
    <t>Invesco India Dynamic Equity Fund(G)</t>
  </si>
  <si>
    <t>LIC MF Equity Hybrid Fund(G)</t>
  </si>
  <si>
    <t>DSP World Gold Fund-Reg(IDCW)</t>
  </si>
  <si>
    <t>FTSE Gold Mines</t>
  </si>
  <si>
    <t>DSP World Gold Fund-Reg(G)</t>
  </si>
  <si>
    <t>Sundaram Debt Oriented Hybrid Fund(Q-IDCW)</t>
  </si>
  <si>
    <t>Nippon India Income Fund(M-IDCW)</t>
  </si>
  <si>
    <t>Axis Regular Saver Fund-Reg(A-IDCW)</t>
  </si>
  <si>
    <t>LIC MF Debt Hybrid Fund(G)</t>
  </si>
  <si>
    <t>Nippon India Income Fund(Q-IDCW)</t>
  </si>
  <si>
    <t>Mahindra Manulife Dynamic Bond Yojana-Reg(G)</t>
  </si>
  <si>
    <t>DSP World Agriculture Fund-Reg(G)</t>
  </si>
  <si>
    <t>Sundaram Debt Oriented Hybrid Fund(M-IDCW)</t>
  </si>
  <si>
    <t>LIC MF Equity Hybrid Fund(IDCW)</t>
  </si>
  <si>
    <t>Aditya Birla SL MNC Fund-Reg(G)</t>
  </si>
  <si>
    <t>Kotak Credit Risk Fund(G)</t>
  </si>
  <si>
    <t>Nippon India Income Fund(H-IDCW)</t>
  </si>
  <si>
    <t>Invesco India Dynamic Equity Fund(IDCW)</t>
  </si>
  <si>
    <t>JM Focused Fund-Reg(G)</t>
  </si>
  <si>
    <t>JM Focused Fund-Reg(IDCW)</t>
  </si>
  <si>
    <t>LIC MF Debt Hybrid Fund(Q-IDCW)</t>
  </si>
  <si>
    <t>LIC MF Debt Hybrid Fund(M-IDCW)</t>
  </si>
  <si>
    <t>Mahindra Manulife Dynamic Bond Yojana-Reg(Q-IDCW)</t>
  </si>
  <si>
    <t>DSP World Agriculture Fund-Reg(IDCW)</t>
  </si>
  <si>
    <t>IDFC Regular Savings Fund-Reg(IDCW)</t>
  </si>
  <si>
    <t>Aditya Birla SL MNC Fund-Reg(IDCW)</t>
  </si>
  <si>
    <t>LIC MF Debt Hybrid Fund(A-IDCW)</t>
  </si>
  <si>
    <t>UTI Transportation &amp; Logistics Fund-Reg(G)</t>
  </si>
  <si>
    <t>Equity - Sectoral Fund - Auto</t>
  </si>
  <si>
    <t>Nifty Transportation &amp; Logistics - TRI</t>
  </si>
  <si>
    <t>UTI Transportation &amp; Logistics Fund-Reg(IDCW)</t>
  </si>
  <si>
    <t>IDFC Dynamic Bond Fund-Reg(IDCW)</t>
  </si>
  <si>
    <t>Mahindra Manulife Dynamic Bond Yojana-Reg(IDCW)</t>
  </si>
  <si>
    <t>Navi Regular Savings Fund-Reg(G)</t>
  </si>
  <si>
    <t>PGIM India Global Equity Opp Fund(G)</t>
  </si>
  <si>
    <t>Navi Regular Savings Fund-Reg(Q-IDCW)</t>
  </si>
  <si>
    <t>Nippon India Income Fund(A-IDCW)</t>
  </si>
  <si>
    <t>Canara Rob Income Fund-Reg(G)</t>
  </si>
  <si>
    <t>Franklin India Pension Plan(G)</t>
  </si>
  <si>
    <t>NIFTY 500</t>
  </si>
  <si>
    <t>Baroda BNP Paribas Gilt Fund-Reg(G)</t>
  </si>
  <si>
    <t>Kotak Credit Risk Fund(IDCW)</t>
  </si>
  <si>
    <t>Baroda BNP Paribas Gilt Fund-Reg(IDCW)</t>
  </si>
  <si>
    <t>Baroda BNP Paribas Conservative Hybrid Fund-Reg(G)</t>
  </si>
  <si>
    <t>Canara Rob Income Fund-Reg(Q-IDCW)</t>
  </si>
  <si>
    <t>HSBC Global Emerging Markets Fund(G)</t>
  </si>
  <si>
    <t>MSCI Emerging Market Index</t>
  </si>
  <si>
    <t>HSBC Global Emerging Markets Fund(IDCW)</t>
  </si>
  <si>
    <t>Taurus Flexi Cap Fund-Reg(G)</t>
  </si>
  <si>
    <t>Baroda BNP Paribas Banking and Fin Serv Fund-Reg(G)</t>
  </si>
  <si>
    <t>NIFTY BANK - TRI</t>
  </si>
  <si>
    <t>Baroda BNP Paribas Banking and Fin Serv Fund-Reg(IDCW)</t>
  </si>
  <si>
    <t>Navi Regular Savings Fund-Reg(M-IDCW)</t>
  </si>
  <si>
    <t>Baroda BNP Paribas Conservative Hybrid Fund-Reg(Q-IDCW)</t>
  </si>
  <si>
    <t>UTI Credit Risk Fund-Reg(IDCW)</t>
  </si>
  <si>
    <t>UTI Credit Risk Fund-Reg(G)</t>
  </si>
  <si>
    <t>Motilal Oswal Balance Advantage Fund-Reg(G)</t>
  </si>
  <si>
    <t>Motilal Oswal Balance Advantage Fund-Reg(A-IDCW)</t>
  </si>
  <si>
    <t>Franklin India Pension Plan(IDCW)</t>
  </si>
  <si>
    <t>Motilal Oswal Balance Advantage Fund-Reg(Q-IDCW)</t>
  </si>
  <si>
    <t>Nippon India Japan Equity Fund(IDCW)</t>
  </si>
  <si>
    <t>S&amp;P BSE 500 Japan - TRI</t>
  </si>
  <si>
    <t>Nippon India Japan Equity Fund(G)</t>
  </si>
  <si>
    <t>Nippon India Japan Equity Fund(B)</t>
  </si>
  <si>
    <t>Baroda BNP Paribas Conservative Hybrid Fund-Reg(M-IDCW)</t>
  </si>
  <si>
    <t>Taurus Flexi Cap Fund-Reg(IDCW)</t>
  </si>
  <si>
    <t>IDFC Bond Fund - Income Plan-Reg(G)</t>
  </si>
  <si>
    <t>Bank of India Conservative Hybrid Fund-Reg(G)</t>
  </si>
  <si>
    <t>IDFC Bond Fund - Income Plan-Reg(Q-IDCW)</t>
  </si>
  <si>
    <t>Nippon India Hybrid Bond Fund(G)</t>
  </si>
  <si>
    <t>Nippon India Equity Savings Fund(G)</t>
  </si>
  <si>
    <t>Nippon India Equity Savings Fund(B)</t>
  </si>
  <si>
    <t>Franklin India Feeder - Templeton European Opportunities Fund(IDCW)</t>
  </si>
  <si>
    <t>Franklin India Feeder - Templeton European Opportunities Fund(G)</t>
  </si>
  <si>
    <t>Bank of India Conservative Hybrid Fund-Reg(Q-IDCW)</t>
  </si>
  <si>
    <t>Bank of India Conservative Hybrid Fund-Reg(A-IDCW)</t>
  </si>
  <si>
    <t>IDFC Bond Fund - Income Plan-Reg(H-IDCW)</t>
  </si>
  <si>
    <t>Nippon India Equity Savings Fund(Q-IDCW)</t>
  </si>
  <si>
    <t>Nippon India Equity Savings Fund(M-IDCW)</t>
  </si>
  <si>
    <t>Nippon India Equity Savings Fund(IDCW)</t>
  </si>
  <si>
    <t>ICICI Pru Long Term Bond Fund(G)</t>
  </si>
  <si>
    <t>NIFTY Long Duration Debt Index</t>
  </si>
  <si>
    <t>ICICI Pru Long Term Bond Fund(Q-IDCW)</t>
  </si>
  <si>
    <t>Bank of India Conservative Hybrid Fund-Reg(M-IDCW)</t>
  </si>
  <si>
    <t>HDFC Income Fund(G)</t>
  </si>
  <si>
    <t>HSBC Medium to Long Duration Fund Fund(G)</t>
  </si>
  <si>
    <t>SBI PSU Fund-Reg(G)</t>
  </si>
  <si>
    <t>SBI PSU Fund-Reg(IDCW)</t>
  </si>
  <si>
    <t>HDFC Income Fund(Q-IDCW)</t>
  </si>
  <si>
    <t>IDFC Bond Fund - Income Plan-Reg(A-IDCW)</t>
  </si>
  <si>
    <t>HSBC Medium to Long Duration Fund Fund(IDCW)</t>
  </si>
  <si>
    <t>Nippon India Hybrid Bond Fund(Q-IDCW)</t>
  </si>
  <si>
    <t>Nippon India Hybrid Bond Fund(M-IDCW)</t>
  </si>
  <si>
    <t>LIC MF Banking &amp; Financial Services Fund-Reg(G)</t>
  </si>
  <si>
    <t>LIC MF Banking &amp; Financial Services Fund-Reg(IDCW)</t>
  </si>
  <si>
    <t>Franklin Asian Equity Fund(G)</t>
  </si>
  <si>
    <t>UTI Banking and Financial Services Fund-Reg(G)</t>
  </si>
  <si>
    <t>UTI Banking and Financial Services Fund-Reg(IDCW)</t>
  </si>
  <si>
    <t>Franklin Asian Equity Fund(IDCW)</t>
  </si>
  <si>
    <t>Sundaram Medium Term Bond Fund(B)</t>
  </si>
  <si>
    <t>Sundaram Medium Term Bond Fund(G)</t>
  </si>
  <si>
    <t>Sundaram Medium Term Bond Fund(Q-IDCW)</t>
  </si>
  <si>
    <t>Sundaram Medium Term Bond Fund(H-IDCW)</t>
  </si>
  <si>
    <t>Sundaram Medium Term Bond Fund(A-IDCW)</t>
  </si>
  <si>
    <t>Bank of India Balanced Advantage Fund-Reg(G)</t>
  </si>
  <si>
    <t>Bank of India Balanced Advantage Fund-Reg(IDCW)</t>
  </si>
  <si>
    <t>HDFC Infrastructure Fund(G)</t>
  </si>
  <si>
    <t>HDFC Infrastructure Fund(IDCW)</t>
  </si>
  <si>
    <t>Nippon India Strategic Debt Fund(G)</t>
  </si>
  <si>
    <t>Nippon India Strategic Debt Fund(IDCW)</t>
  </si>
  <si>
    <t>Nippon India Strategic Debt Fund(Q-IDCW)</t>
  </si>
  <si>
    <t>PGIM India Emerging Markets Equity Fund(G)</t>
  </si>
  <si>
    <t>MSCI EMU Index</t>
  </si>
  <si>
    <t>HSBC Brazil Fund(G)</t>
  </si>
  <si>
    <t>MSCI Brazil 10/40 Index</t>
  </si>
  <si>
    <t>HSBC Brazil Fund(IDCW)</t>
  </si>
  <si>
    <t>Mutual Fund Analytics &amp; Screening Dashboard</t>
  </si>
  <si>
    <t>Total Funds</t>
  </si>
  <si>
    <t>Average 3Y CAGR</t>
  </si>
  <si>
    <t>Average Expense Ratio</t>
  </si>
  <si>
    <t>Top Overall Score</t>
  </si>
  <si>
    <t>Row Labels</t>
  </si>
  <si>
    <t>Grand Total</t>
  </si>
  <si>
    <t>Average of CAGR% 3 Year</t>
  </si>
  <si>
    <t>Top 10 Funds by Overall Score</t>
  </si>
  <si>
    <t>Overall Score</t>
  </si>
  <si>
    <t>Performance Score</t>
  </si>
  <si>
    <t>Cost Score</t>
  </si>
  <si>
    <t>Consistency Score</t>
  </si>
  <si>
    <t>CAGR_3Y</t>
  </si>
  <si>
    <t>Expense_Ratio</t>
  </si>
  <si>
    <t>Average_3Y_CAGR</t>
  </si>
  <si>
    <t>HELPER — TOP 10 CATEGORIES</t>
  </si>
  <si>
    <t>HELPER — SELECTED CATEGORY</t>
  </si>
  <si>
    <t>HELPER — CATEGORY CHART DATA</t>
  </si>
  <si>
    <t>NAV</t>
  </si>
  <si>
    <t>Minimum Investment</t>
  </si>
  <si>
    <t>SIP Minimum Investment</t>
  </si>
  <si>
    <t>Expense Ratio</t>
  </si>
  <si>
    <t>6M CAGR</t>
  </si>
  <si>
    <t>1Y CAGR</t>
  </si>
  <si>
    <t>3Y CAGR</t>
  </si>
  <si>
    <t>Overall Rank</t>
  </si>
  <si>
    <t>Category Rank</t>
  </si>
  <si>
    <t>3Y vs Category Average</t>
  </si>
  <si>
    <t>Mutual Fund Explorer</t>
  </si>
  <si>
    <t>FUND PROFILE</t>
  </si>
  <si>
    <t>PERFORMANCE &amp; SCORE</t>
  </si>
  <si>
    <t>Historical performance and scores are based on the available dataset; they are not predictions of future returns.</t>
  </si>
  <si>
    <t>RANKING &amp; CATEGORY COMPARISON</t>
  </si>
  <si>
    <t>Select Fund:</t>
  </si>
  <si>
    <t>Fund A</t>
  </si>
  <si>
    <t>Fund B</t>
  </si>
  <si>
    <t>Metric</t>
  </si>
  <si>
    <t>MUTUAL FUND COMPARISON</t>
  </si>
  <si>
    <t>Historical performance and scores are based on the dataset and should not be interpreted as future return predictions.</t>
  </si>
  <si>
    <t>HELPER — TOP 15 FUNDS SCATTER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</si>
</sst>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quot;"/>
    <numFmt numFmtId="165" formatCode="&quot;₹&quot;\ #,##0.00"/>
    <numFmt numFmtId="166" formatCode="&quot;₹&quot;#,##0"/>
  </numFmts>
  <fonts count="16" x14ac:knownFonts="1">
    <font>
      <sz val="11"/>
      <color theme="1"/>
      <name val="Aptos Narrow"/>
      <family val="2"/>
      <scheme val="minor"/>
    </font>
    <font>
      <b/>
      <sz val="20"/>
      <color theme="1"/>
      <name val="Aptos Narrow"/>
      <family val="2"/>
      <scheme val="minor"/>
    </font>
    <font>
      <b/>
      <sz val="11"/>
      <color theme="1"/>
      <name val="Aptos Narrow"/>
      <family val="2"/>
      <scheme val="minor"/>
    </font>
    <font>
      <b/>
      <sz val="11"/>
      <color theme="0"/>
      <name val="Aptos Narrow"/>
      <family val="2"/>
      <scheme val="minor"/>
    </font>
    <font>
      <b/>
      <sz val="10"/>
      <color theme="1"/>
      <name val="Aptos Narrow"/>
      <family val="2"/>
      <scheme val="minor"/>
    </font>
    <font>
      <b/>
      <sz val="16"/>
      <color theme="1"/>
      <name val="Aptos Narrow"/>
      <family val="2"/>
      <scheme val="minor"/>
    </font>
    <font>
      <sz val="11"/>
      <color theme="1"/>
      <name val="Times New Roman"/>
      <family val="1"/>
    </font>
    <font>
      <b/>
      <sz val="18"/>
      <color theme="1"/>
      <name val="Times New Roman"/>
      <family val="1"/>
    </font>
    <font>
      <b/>
      <sz val="11"/>
      <color theme="1"/>
      <name val="Times New Roman"/>
      <family val="1"/>
    </font>
    <font>
      <b/>
      <sz val="14"/>
      <color theme="1"/>
      <name val="Times New Roman"/>
      <family val="1"/>
    </font>
    <font>
      <sz val="9"/>
      <color theme="1" tint="0.499984740745262"/>
      <name val="Times New Roman"/>
      <family val="1"/>
    </font>
    <font>
      <sz val="11"/>
      <color theme="1" tint="0.499984740745262"/>
      <name val="Times New Roman"/>
      <family val="1"/>
    </font>
    <font>
      <b/>
      <sz val="14"/>
      <color theme="1"/>
      <name val="Aptos Narrow"/>
      <family val="2"/>
      <scheme val="minor"/>
    </font>
    <font>
      <i/>
      <sz val="9"/>
      <color theme="1" tint="0.499984740745262"/>
      <name val="Times New Roman"/>
      <family val="1"/>
    </font>
    <font>
      <b/>
      <sz val="16"/>
      <color theme="1"/>
      <name val="Times New Roman"/>
      <family val="1"/>
    </font>
    <font>
      <sz val="13"/>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89999084444715716"/>
        <bgColor indexed="64"/>
      </patternFill>
    </fill>
  </fills>
  <borders count="19">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6">
    <xf numFmtId="0" fontId="0" fillId="0" borderId="0" xfId="0"/>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3" fillId="3" borderId="3" xfId="0" applyFont="1" applyFill="1" applyBorder="1"/>
    <xf numFmtId="0" fontId="3"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6" fillId="0" borderId="0" xfId="0" applyFont="1"/>
    <xf numFmtId="2" fontId="9" fillId="0" borderId="5" xfId="0" applyNumberFormat="1" applyFont="1" applyBorder="1" applyAlignment="1">
      <alignment horizontal="left"/>
    </xf>
    <xf numFmtId="0" fontId="6" fillId="0" borderId="10" xfId="0" applyFont="1" applyBorder="1"/>
    <xf numFmtId="0" fontId="6" fillId="0" borderId="11" xfId="0" applyFont="1" applyBorder="1"/>
    <xf numFmtId="0" fontId="6" fillId="0" borderId="10" xfId="0" applyFont="1" applyBorder="1" applyAlignment="1">
      <alignment vertical="center" wrapText="1"/>
    </xf>
    <xf numFmtId="2" fontId="6" fillId="0" borderId="11" xfId="0" applyNumberFormat="1" applyFont="1" applyBorder="1" applyAlignment="1">
      <alignment horizontal="left"/>
    </xf>
    <xf numFmtId="165" fontId="6" fillId="0" borderId="11" xfId="0" applyNumberFormat="1" applyFont="1" applyBorder="1" applyAlignment="1">
      <alignment horizontal="left"/>
    </xf>
    <xf numFmtId="0" fontId="6" fillId="0" borderId="8" xfId="0" applyFont="1" applyBorder="1"/>
    <xf numFmtId="164" fontId="6" fillId="0" borderId="9" xfId="0" applyNumberFormat="1" applyFont="1" applyBorder="1" applyAlignment="1">
      <alignment horizontal="left"/>
    </xf>
    <xf numFmtId="0" fontId="8" fillId="6" borderId="5" xfId="0" applyFont="1" applyFill="1" applyBorder="1"/>
    <xf numFmtId="164" fontId="6" fillId="0" borderId="11" xfId="0" applyNumberFormat="1" applyFont="1" applyBorder="1" applyAlignment="1">
      <alignment horizontal="left"/>
    </xf>
    <xf numFmtId="0" fontId="6" fillId="0" borderId="11" xfId="0" applyFont="1" applyBorder="1" applyAlignment="1">
      <alignment horizontal="left"/>
    </xf>
    <xf numFmtId="0" fontId="8" fillId="6" borderId="12" xfId="0" applyFont="1" applyFill="1" applyBorder="1"/>
    <xf numFmtId="0" fontId="0" fillId="0" borderId="10" xfId="0" applyBorder="1"/>
    <xf numFmtId="0" fontId="11" fillId="0" borderId="8" xfId="0" applyFont="1" applyBorder="1"/>
    <xf numFmtId="0" fontId="6" fillId="0" borderId="6" xfId="0" applyFont="1" applyBorder="1"/>
    <xf numFmtId="1" fontId="8" fillId="0" borderId="7" xfId="0" applyNumberFormat="1" applyFont="1" applyBorder="1" applyAlignment="1">
      <alignment horizontal="left"/>
    </xf>
    <xf numFmtId="1" fontId="8" fillId="0" borderId="11" xfId="0" applyNumberFormat="1" applyFont="1" applyBorder="1" applyAlignment="1">
      <alignment horizontal="left"/>
    </xf>
    <xf numFmtId="0" fontId="8" fillId="0" borderId="13" xfId="0" applyFont="1" applyBorder="1"/>
    <xf numFmtId="0" fontId="8" fillId="5" borderId="14" xfId="0" applyFont="1" applyFill="1" applyBorder="1"/>
    <xf numFmtId="0" fontId="12" fillId="0" borderId="0" xfId="0" applyFont="1"/>
    <xf numFmtId="0" fontId="10" fillId="0" borderId="0" xfId="0" applyFont="1"/>
    <xf numFmtId="0" fontId="8" fillId="5"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15" xfId="0" applyFont="1" applyFill="1" applyBorder="1" applyAlignment="1">
      <alignment horizontal="center" vertical="center"/>
    </xf>
    <xf numFmtId="0" fontId="8" fillId="6" borderId="5" xfId="0" applyFont="1" applyFill="1" applyBorder="1" applyAlignment="1">
      <alignment horizontal="center" vertical="center" wrapText="1"/>
    </xf>
    <xf numFmtId="0" fontId="8" fillId="6" borderId="15" xfId="0" applyFont="1" applyFill="1" applyBorder="1" applyAlignment="1">
      <alignment horizontal="center" vertical="center"/>
    </xf>
    <xf numFmtId="0" fontId="6" fillId="0" borderId="16" xfId="0" applyFont="1" applyBorder="1" applyAlignment="1">
      <alignment horizontal="left" vertical="top"/>
    </xf>
    <xf numFmtId="0" fontId="6" fillId="0" borderId="11" xfId="0" applyFont="1" applyBorder="1" applyAlignment="1">
      <alignment horizontal="center" vertical="center"/>
    </xf>
    <xf numFmtId="0" fontId="6" fillId="0" borderId="17" xfId="0" applyFont="1" applyBorder="1" applyAlignment="1">
      <alignment horizontal="left" vertical="top"/>
    </xf>
    <xf numFmtId="164" fontId="6" fillId="0" borderId="11" xfId="0" applyNumberFormat="1" applyFont="1" applyBorder="1" applyAlignment="1">
      <alignment horizontal="center" vertical="center"/>
    </xf>
    <xf numFmtId="166" fontId="6" fillId="0" borderId="11" xfId="0" applyNumberFormat="1" applyFont="1" applyBorder="1" applyAlignment="1">
      <alignment horizontal="center" vertical="center"/>
    </xf>
    <xf numFmtId="2" fontId="6" fillId="0" borderId="11" xfId="0" applyNumberFormat="1" applyFont="1" applyBorder="1" applyAlignment="1">
      <alignment horizontal="center" vertical="center"/>
    </xf>
    <xf numFmtId="0" fontId="8" fillId="0" borderId="5" xfId="0" applyFont="1" applyBorder="1" applyAlignment="1">
      <alignment horizontal="left" vertical="top"/>
    </xf>
    <xf numFmtId="2" fontId="8" fillId="0" borderId="15" xfId="0" applyNumberFormat="1" applyFont="1" applyBorder="1" applyAlignment="1">
      <alignment horizontal="center" vertical="center"/>
    </xf>
    <xf numFmtId="1" fontId="8" fillId="0" borderId="11" xfId="0" applyNumberFormat="1" applyFont="1" applyBorder="1" applyAlignment="1">
      <alignment horizontal="center" vertical="center"/>
    </xf>
    <xf numFmtId="0" fontId="6" fillId="0" borderId="18" xfId="0" applyFont="1" applyBorder="1" applyAlignment="1">
      <alignment horizontal="left" vertical="top"/>
    </xf>
    <xf numFmtId="164" fontId="6" fillId="0" borderId="9" xfId="0" applyNumberFormat="1" applyFont="1" applyBorder="1" applyAlignment="1">
      <alignment horizontal="center" vertical="center"/>
    </xf>
    <xf numFmtId="0" fontId="15" fillId="4" borderId="0" xfId="0" applyFont="1" applyFill="1" applyAlignment="1">
      <alignment horizontal="center" vertical="center"/>
    </xf>
    <xf numFmtId="0" fontId="15" fillId="0" borderId="0" xfId="0" applyFont="1" applyAlignment="1">
      <alignment horizontal="center" vertical="center"/>
    </xf>
    <xf numFmtId="2" fontId="15" fillId="0" borderId="0" xfId="0" applyNumberFormat="1"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2" fontId="5" fillId="6" borderId="8" xfId="0" applyNumberFormat="1" applyFont="1" applyFill="1" applyBorder="1" applyAlignment="1">
      <alignment horizontal="center"/>
    </xf>
    <xf numFmtId="2" fontId="5" fillId="6" borderId="9" xfId="0" applyNumberFormat="1" applyFont="1" applyFill="1" applyBorder="1" applyAlignment="1">
      <alignment horizontal="center"/>
    </xf>
    <xf numFmtId="164" fontId="5" fillId="5" borderId="8" xfId="0" applyNumberFormat="1" applyFont="1" applyFill="1" applyBorder="1" applyAlignment="1">
      <alignment horizontal="center"/>
    </xf>
    <xf numFmtId="164" fontId="5" fillId="5" borderId="9" xfId="0" applyNumberFormat="1" applyFont="1" applyFill="1" applyBorder="1" applyAlignment="1">
      <alignment horizontal="center"/>
    </xf>
    <xf numFmtId="0" fontId="5" fillId="5" borderId="8"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1" fillId="0" borderId="0" xfId="0" applyFont="1" applyAlignment="1">
      <alignment horizontal="center" vertical="center"/>
    </xf>
    <xf numFmtId="0" fontId="4" fillId="6" borderId="6" xfId="0" applyFont="1" applyFill="1" applyBorder="1" applyAlignment="1">
      <alignment horizontal="center"/>
    </xf>
    <xf numFmtId="0" fontId="4" fillId="6" borderId="7" xfId="0" applyFont="1" applyFill="1" applyBorder="1" applyAlignment="1">
      <alignment horizont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6" borderId="6"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164" fontId="5" fillId="6" borderId="8" xfId="0" applyNumberFormat="1" applyFont="1" applyFill="1" applyBorder="1" applyAlignment="1">
      <alignment horizontal="center" vertical="center" wrapText="1"/>
    </xf>
    <xf numFmtId="164" fontId="5" fillId="6" borderId="9" xfId="0" applyNumberFormat="1" applyFont="1" applyFill="1" applyBorder="1" applyAlignment="1">
      <alignment horizontal="center" vertical="center" wrapText="1"/>
    </xf>
    <xf numFmtId="0" fontId="7" fillId="0" borderId="0" xfId="0" applyFont="1" applyAlignment="1">
      <alignment horizontal="center" vertical="center"/>
    </xf>
    <xf numFmtId="0" fontId="13" fillId="0" borderId="0" xfId="0" applyFont="1" applyAlignment="1">
      <alignment horizontal="center"/>
    </xf>
    <xf numFmtId="0" fontId="14" fillId="0" borderId="0" xfId="0" applyFont="1" applyAlignment="1">
      <alignment horizontal="center"/>
    </xf>
    <xf numFmtId="0" fontId="13" fillId="0" borderId="0" xfId="0" applyFont="1" applyAlignment="1">
      <alignment horizontal="left"/>
    </xf>
  </cellXfs>
  <cellStyles count="1">
    <cellStyle name="Normal" xfId="0" builtinId="0"/>
  </cellStyles>
  <dxfs count="82">
    <dxf>
      <font>
        <b/>
        <i val="0"/>
      </font>
      <fill>
        <patternFill>
          <bgColor theme="6" tint="0.79998168889431442"/>
        </patternFill>
      </fill>
    </dxf>
    <dxf>
      <font>
        <b/>
        <i val="0"/>
      </font>
      <fill>
        <patternFill>
          <bgColor theme="6" tint="0.79998168889431442"/>
        </patternFill>
      </fill>
    </dxf>
    <dxf>
      <font>
        <b/>
        <i val="0"/>
      </font>
      <fill>
        <patternFill>
          <bgColor theme="6" tint="0.79998168889431442"/>
        </patternFill>
      </fill>
    </dxf>
    <dxf>
      <font>
        <b/>
        <i val="0"/>
      </font>
      <fill>
        <patternFill>
          <bgColor theme="6" tint="0.79998168889431442"/>
        </patternFill>
      </fill>
    </dxf>
    <dxf>
      <font>
        <b/>
        <i val="0"/>
      </font>
      <fill>
        <patternFill>
          <bgColor theme="6" tint="0.79998168889431442"/>
        </patternFill>
      </fill>
    </dxf>
    <dxf>
      <fill>
        <patternFill>
          <bgColor theme="2"/>
        </patternFill>
      </fill>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C2424"/>
      <color rgb="FFFF5050"/>
      <color rgb="FFFF3300"/>
      <color rgb="FFFC5001"/>
      <color rgb="FFFE3E02"/>
      <color rgb="FFFF4A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10 Categories by Average 3Y CAGR</a:t>
            </a:r>
          </a:p>
        </c:rich>
      </c:tx>
      <c:layout>
        <c:manualLayout>
          <c:xMode val="edge"/>
          <c:yMode val="edge"/>
          <c:x val="0.33483821211851772"/>
          <c:y val="0.13356070507006865"/>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931064651401329"/>
          <c:y val="0.29665898570190463"/>
          <c:w val="0.4237161734093583"/>
          <c:h val="0.58274493857281928"/>
        </c:manualLayout>
      </c:layout>
      <c:barChart>
        <c:barDir val="bar"/>
        <c:grouping val="clustered"/>
        <c:varyColors val="0"/>
        <c:ser>
          <c:idx val="0"/>
          <c:order val="0"/>
          <c:tx>
            <c:v>Total</c:v>
          </c:tx>
          <c:spPr>
            <a:solidFill>
              <a:schemeClr val="accent1">
                <a:lumMod val="60000"/>
                <a:lumOff val="40000"/>
              </a:schemeClr>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[0]!Chart_Categories</c:f>
              <c:strCache>
                <c:ptCount val="10"/>
                <c:pt idx="0">
                  <c:v>Equity - Sectoral Fund - Technology</c:v>
                </c:pt>
                <c:pt idx="1">
                  <c:v>Index Funds - Sensex</c:v>
                </c:pt>
                <c:pt idx="2">
                  <c:v>Equity - Contra Fund</c:v>
                </c:pt>
                <c:pt idx="3">
                  <c:v>Equity - Sectoral Fund - Pharma &amp; Health Care</c:v>
                </c:pt>
                <c:pt idx="4">
                  <c:v>Equity - Small cap Fund</c:v>
                </c:pt>
                <c:pt idx="5">
                  <c:v>Equity - Multi Cap Fund</c:v>
                </c:pt>
                <c:pt idx="6">
                  <c:v>Index Funds - Nifty</c:v>
                </c:pt>
                <c:pt idx="7">
                  <c:v>Equity - Mid Cap Fund</c:v>
                </c:pt>
                <c:pt idx="8">
                  <c:v>FoFs (Domestic / Overseas ) - Gold</c:v>
                </c:pt>
                <c:pt idx="9">
                  <c:v>Equity - Sectoral Fund - Consumption</c:v>
                </c:pt>
              </c:strCache>
            </c:strRef>
          </c:cat>
          <c:val>
            <c:numRef>
              <c:f>[0]!Chart_CAGR</c:f>
              <c:numCache>
                <c:formatCode>General</c:formatCode>
                <c:ptCount val="10"/>
                <c:pt idx="0">
                  <c:v>20.878999999999998</c:v>
                </c:pt>
                <c:pt idx="1">
                  <c:v>12.6</c:v>
                </c:pt>
                <c:pt idx="2">
                  <c:v>12.436666666666666</c:v>
                </c:pt>
                <c:pt idx="3">
                  <c:v>12.223750000000003</c:v>
                </c:pt>
                <c:pt idx="4">
                  <c:v>12.127586206896556</c:v>
                </c:pt>
                <c:pt idx="5">
                  <c:v>12.057857142857145</c:v>
                </c:pt>
                <c:pt idx="6">
                  <c:v>11.520799999999999</c:v>
                </c:pt>
                <c:pt idx="7">
                  <c:v>11.362272727272732</c:v>
                </c:pt>
                <c:pt idx="8">
                  <c:v>11.126842105263156</c:v>
                </c:pt>
                <c:pt idx="9">
                  <c:v>11.035555555555554</c:v>
                </c:pt>
              </c:numCache>
            </c:numRef>
          </c:val>
          <c:extLst>
            <c:ext xmlns:c16="http://schemas.microsoft.com/office/drawing/2014/chart" uri="{C3380CC4-5D6E-409C-BE32-E72D297353CC}">
              <c16:uniqueId val="{00000000-9C99-4941-BDCF-51D9827FD6ED}"/>
            </c:ext>
          </c:extLst>
        </c:ser>
        <c:dLbls>
          <c:dLblPos val="outEnd"/>
          <c:showLegendKey val="0"/>
          <c:showVal val="1"/>
          <c:showCatName val="0"/>
          <c:showSerName val="0"/>
          <c:showPercent val="0"/>
          <c:showBubbleSize val="0"/>
        </c:dLbls>
        <c:gapWidth val="50"/>
        <c:axId val="1549310063"/>
        <c:axId val="1410252303"/>
      </c:barChart>
      <c:catAx>
        <c:axId val="1549310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10252303"/>
        <c:crosses val="autoZero"/>
        <c:auto val="1"/>
        <c:lblAlgn val="ctr"/>
        <c:lblOffset val="100"/>
        <c:noMultiLvlLbl val="0"/>
      </c:catAx>
      <c:valAx>
        <c:axId val="141025230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i="0" u="none" strike="noStrike" baseline="0"/>
              <a:t>3Y Return vs Expense Ratio — Top 15 Funds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Top 15 Funds</c:v>
          </c:tx>
          <c:spPr>
            <a:ln w="25400" cap="rnd">
              <a:noFill/>
              <a:round/>
            </a:ln>
            <a:effectLst/>
          </c:spPr>
          <c:marker>
            <c:symbol val="circle"/>
            <c:size val="5"/>
            <c:spPr>
              <a:solidFill>
                <a:schemeClr val="accent1"/>
              </a:solidFill>
              <a:ln w="9525">
                <a:solidFill>
                  <a:schemeClr val="accent1"/>
                </a:solidFill>
              </a:ln>
              <a:effectLst/>
            </c:spPr>
          </c:marker>
          <c:xVal>
            <c:numRef>
              <c:f>Data!$AA$5:$AA$19</c:f>
              <c:numCache>
                <c:formatCode>General</c:formatCode>
                <c:ptCount val="15"/>
                <c:pt idx="0">
                  <c:v>0.27</c:v>
                </c:pt>
                <c:pt idx="1">
                  <c:v>0.27</c:v>
                </c:pt>
                <c:pt idx="2">
                  <c:v>0.3</c:v>
                </c:pt>
                <c:pt idx="3">
                  <c:v>0.3</c:v>
                </c:pt>
                <c:pt idx="4">
                  <c:v>0.35</c:v>
                </c:pt>
                <c:pt idx="5">
                  <c:v>0.4</c:v>
                </c:pt>
                <c:pt idx="6">
                  <c:v>0.4</c:v>
                </c:pt>
                <c:pt idx="7">
                  <c:v>0.37</c:v>
                </c:pt>
                <c:pt idx="8">
                  <c:v>0.37</c:v>
                </c:pt>
                <c:pt idx="9">
                  <c:v>0.5</c:v>
                </c:pt>
                <c:pt idx="10">
                  <c:v>0.5</c:v>
                </c:pt>
                <c:pt idx="11">
                  <c:v>0.52</c:v>
                </c:pt>
                <c:pt idx="12">
                  <c:v>0.6</c:v>
                </c:pt>
                <c:pt idx="13">
                  <c:v>0.57999999999999996</c:v>
                </c:pt>
                <c:pt idx="14">
                  <c:v>0.98</c:v>
                </c:pt>
              </c:numCache>
            </c:numRef>
          </c:xVal>
          <c:yVal>
            <c:numRef>
              <c:f>Data!$Z$5:$Z$19</c:f>
              <c:numCache>
                <c:formatCode>General</c:formatCode>
                <c:ptCount val="15"/>
                <c:pt idx="0">
                  <c:v>13.02</c:v>
                </c:pt>
                <c:pt idx="1">
                  <c:v>13.02</c:v>
                </c:pt>
                <c:pt idx="2">
                  <c:v>12.3</c:v>
                </c:pt>
                <c:pt idx="3">
                  <c:v>12.3</c:v>
                </c:pt>
                <c:pt idx="4">
                  <c:v>11.89</c:v>
                </c:pt>
                <c:pt idx="5">
                  <c:v>13.02</c:v>
                </c:pt>
                <c:pt idx="6">
                  <c:v>12.11</c:v>
                </c:pt>
                <c:pt idx="7">
                  <c:v>11.05</c:v>
                </c:pt>
                <c:pt idx="8">
                  <c:v>11.04</c:v>
                </c:pt>
                <c:pt idx="9">
                  <c:v>11.77</c:v>
                </c:pt>
                <c:pt idx="10">
                  <c:v>11.74</c:v>
                </c:pt>
                <c:pt idx="11">
                  <c:v>11.91</c:v>
                </c:pt>
                <c:pt idx="12">
                  <c:v>12.21</c:v>
                </c:pt>
                <c:pt idx="13">
                  <c:v>12.63</c:v>
                </c:pt>
                <c:pt idx="14">
                  <c:v>14.93</c:v>
                </c:pt>
              </c:numCache>
            </c:numRef>
          </c:yVal>
          <c:smooth val="0"/>
          <c:extLst>
            <c:ext xmlns:c16="http://schemas.microsoft.com/office/drawing/2014/chart" uri="{C3380CC4-5D6E-409C-BE32-E72D297353CC}">
              <c16:uniqueId val="{00000000-F226-434E-AD54-F324E6226CC2}"/>
            </c:ext>
          </c:extLst>
        </c:ser>
        <c:dLbls>
          <c:showLegendKey val="0"/>
          <c:showVal val="0"/>
          <c:showCatName val="0"/>
          <c:showSerName val="0"/>
          <c:showPercent val="0"/>
          <c:showBubbleSize val="0"/>
        </c:dLbls>
        <c:axId val="1088708335"/>
        <c:axId val="1821686160"/>
      </c:scatterChart>
      <c:valAx>
        <c:axId val="1088708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Expense Ratio (%)</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686160"/>
        <c:crosses val="autoZero"/>
        <c:crossBetween val="midCat"/>
      </c:valAx>
      <c:valAx>
        <c:axId val="182168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3Y CAGR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08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1721224</xdr:colOff>
      <xdr:row>6</xdr:row>
      <xdr:rowOff>62753</xdr:rowOff>
    </xdr:from>
    <xdr:to>
      <xdr:col>5</xdr:col>
      <xdr:colOff>609600</xdr:colOff>
      <xdr:row>40</xdr:row>
      <xdr:rowOff>89647</xdr:rowOff>
    </xdr:to>
    <xdr:graphicFrame macro="">
      <xdr:nvGraphicFramePr>
        <xdr:cNvPr id="3" name="Chart 2">
          <a:extLst>
            <a:ext uri="{FF2B5EF4-FFF2-40B4-BE49-F238E27FC236}">
              <a16:creationId xmlns:a16="http://schemas.microsoft.com/office/drawing/2014/main" id="{046A2296-E1BC-494F-B6E3-3883BC010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71716</xdr:colOff>
      <xdr:row>24</xdr:row>
      <xdr:rowOff>77235</xdr:rowOff>
    </xdr:from>
    <xdr:to>
      <xdr:col>9</xdr:col>
      <xdr:colOff>80681</xdr:colOff>
      <xdr:row>40</xdr:row>
      <xdr:rowOff>77236</xdr:rowOff>
    </xdr:to>
    <xdr:graphicFrame macro="">
      <xdr:nvGraphicFramePr>
        <xdr:cNvPr id="2" name="Chart 1">
          <a:extLst>
            <a:ext uri="{FF2B5EF4-FFF2-40B4-BE49-F238E27FC236}">
              <a16:creationId xmlns:a16="http://schemas.microsoft.com/office/drawing/2014/main" id="{58AA701F-42EF-C94F-868E-C48B03BFB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69853</xdr:colOff>
      <xdr:row>6</xdr:row>
      <xdr:rowOff>89647</xdr:rowOff>
    </xdr:from>
    <xdr:to>
      <xdr:col>9</xdr:col>
      <xdr:colOff>83653</xdr:colOff>
      <xdr:row>22</xdr:row>
      <xdr:rowOff>80391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8B40BBF-7CA7-4909-DC35-5B53514668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70935" y="1515035"/>
              <a:ext cx="5007142" cy="285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3.083427777776" createdVersion="8" refreshedVersion="8" minRefreshableVersion="3" recordCount="1608" xr:uid="{B28DE43D-443B-4614-8F35-8CD0081B804A}">
  <cacheSource type="worksheet">
    <worksheetSource name="FundData"/>
  </cacheSource>
  <cacheFields count="22">
    <cacheField name="Scheme" numFmtId="0">
      <sharedItems count="1608">
        <s v="ICICI Pru S&amp;P BSE Sensex Index Fund(IDCW)"/>
        <s v="ICICI Pru S&amp;P BSE Sensex Index Fund(G)"/>
        <s v="UTI Nifty 50 Index Fund-Reg(IDCW)"/>
        <s v="UTI Nifty 50 Index Fund-Reg(G)"/>
        <s v="ICICI Pru Nifty 50 Index Fund(G)"/>
        <s v="HDFC Index Fund-S&amp;P BSE Sensex(G)"/>
        <s v="HDFC Index Fund-NIFTY 50 Plan(G)"/>
        <s v="ICICI Pru Passive Strategy Fund(FOF)(IDCW)"/>
        <s v="ICICI Pru Passive Strategy Fund(FOF)(G)"/>
        <s v="SBI Nifty Index Fund-Reg(IDCW)"/>
        <s v="SBI Nifty Index Fund-Reg(G)"/>
        <s v="Tata NIFTY 50 Index Fund-Reg(G)"/>
        <s v="IDFC Nifty 50 Index Fund-Reg(G)"/>
        <s v="Tata S&amp;P BSE Sensex Index Fund-Reg(G)"/>
        <s v="Kotak Multi Asset Allocator FoF-Dynamic(IDCW)"/>
        <s v="Kotak Multi Asset Allocator FoF-Dynamic(G)"/>
        <s v="IDFC Nifty 50 Index Fund-Reg(IDCW)"/>
        <s v="Aditya Birla SL Nifty 50 Index Fund-Reg(G)"/>
        <s v="Aditya Birla SL Nifty 50 Index Fund-Reg(IDCW-Reinv)"/>
        <s v="Nippon India Small Cap Fund(IDCW)"/>
        <s v="Nippon India Index Fund-Nifty 50 Plan(G)"/>
        <s v="Nippon India Small Cap Fund(G)"/>
        <s v="Franklin India NSE Nifty 50 Index Fund(G)"/>
        <s v="Franklin India NSE Nifty 50 Index Fund(IDCW)"/>
        <s v="Quantum Gold Saving Fund-Reg(G)"/>
        <s v="Nippon India Index Fund-Nifty 50 Plan(Q-IDCW)"/>
        <s v="Nippon India Index Fund-Nifty 50 Plan(H-IDCW)"/>
        <s v="Nippon India Index Fund-Nifty 50 Plan(A-IDCW)"/>
        <s v="Nippon India Index Fund-S&amp;P BSE Sensex Plan(G)"/>
        <s v="DSP Nifty 50 Equal Weight Index Fund-Reg(IDCW)"/>
        <s v="DSP Nifty 50 Equal Weight Index Fund-Reg(G)"/>
        <s v="Nippon India Index Fund-S&amp;P BSE Sensex Plan(H-IDCW)"/>
        <s v="Nippon India Index Fund-S&amp;P BSE Sensex Plan(Q-IDCW)"/>
        <s v="Nippon India Index Fund-S&amp;P BSE Sensex Plan(A-IDCW)"/>
        <s v="ICICI Pru Thematic Advantage Fund(FOF)(G)"/>
        <s v="Nippon India Gold Savings Fund(IDCW)"/>
        <s v="Nippon India Gold Savings Fund(G)"/>
        <s v="SBI Gold-Reg(IDCW)"/>
        <s v="SBI Gold-Reg(G)"/>
        <s v="ICICI Pru Value Discovery Fund(G)"/>
        <s v="Invesco India Gold Fund(G)"/>
        <s v="Invesco India Gold Fund(IDCW)"/>
        <s v="Taurus Nifty 50 Index Fund-Reg(G)"/>
        <s v="Taurus Nifty 50 Index Fund-Reg(IDCW)"/>
        <s v="IDBI Nifty Index Fund(IDCW)"/>
        <s v="IDBI Nifty Index Fund(G)"/>
        <s v="Nippon India Quant Fund(G)"/>
        <s v="Nippon India Quant Fund(IDCW)"/>
        <s v="Kotak Gold Fund(G)"/>
        <s v="Kotak Gold Fund(IDCW)"/>
        <s v="Quantum Equity FoF-Reg(IDCW)"/>
        <s v="Quantum Equity FoF-Reg(G)"/>
        <s v="ICICI Pru Value Discovery Fund(IDCW)"/>
        <s v="ICICI Pru Regular Gold Savings Fund(FOF)(IDCW)"/>
        <s v="ICICI Pru Regular Gold Savings Fund(FOF)(G)"/>
        <s v="Aditya Birla SL Gold Fund(IDCW)"/>
        <s v="Aditya Birla SL Gold Fund(G)"/>
        <s v="Axis Gold Fund-Reg(IDCW)"/>
        <s v="Axis Gold Fund-Reg(G)"/>
        <s v="LIC MF Nifty 50 Index Fund(IDCW)"/>
        <s v="LIC MF Nifty 50 Index Fund(G)"/>
        <s v="LIC MF S&amp;P BSE Sensex Index Fund(IDCW)"/>
        <s v="LIC MF S&amp;P BSE Sensex Index Fund(G)"/>
        <s v="Quant Small Cap Fund(IDCW)"/>
        <s v="SBI Contra Fund-Reg(G)"/>
        <s v="SBI Contra Fund-Reg(IDCW)"/>
        <s v="Quant Small Cap Fund(G)"/>
        <s v="HDFC Gold Fund(G)"/>
        <s v="Aditya Birla SL Financial Planning FOF Moderate Plan(G)"/>
        <s v="Aditya Birla SL Financial Planning FOF Moderate Plan(IDCW-Payout)"/>
        <s v="Sundaram Nifty 100 Equal Weight Fund(G)"/>
        <s v="Sundaram Nifty 100 Equal Weight Fund(IDCW)"/>
        <s v="IDBI Gold Fund(G)"/>
        <s v="SBI Small Cap Fund-Reg(IDCW-Payout)"/>
        <s v="SBI Small Cap Fund-Reg(G)"/>
        <s v="Quant Multi Asset Fund(IDCW)"/>
        <s v="Quant Multi Asset Fund(G)"/>
        <s v="Kotak Emerging Equity Fund(G)"/>
        <s v="Kotak Emerging Equity Fund(IDCW)"/>
        <s v="SBI Magnum Midcap Fund-Reg(IDCW)"/>
        <s v="SBI Magnum Midcap Fund-Reg(G)"/>
        <s v="Quant Mid Cap Fund(IDCW)"/>
        <s v="Aditya Birla SL Financial Planning FOF Aggressive Plan(G)"/>
        <s v="Aditya Birla SL Financial Planning FOF Aggressive Plan(IDCW-Payout)"/>
        <s v="PGIM India Midcap Opp Fund-Reg(G)"/>
        <s v="Quant Absolute Fund(IDCW)"/>
        <s v="Aditya Birla SL Financial Planning FOF Conservative Plan(G)"/>
        <s v="Quant Absolute Fund(G)"/>
        <s v="Aditya Birla SL Financial Planning FOF Conservative Plan(IDCW-Payout)"/>
        <s v="PGIM India Midcap Opp Fund-Reg(IDCW)"/>
        <s v="Quantum Multi Asset FOFs-Reg(G)"/>
        <s v="Quant Mid Cap Fund(G)"/>
        <s v="Parag Parikh Flexi Cap Fund-Reg(G)"/>
        <s v="Axis Small Cap Fund-Reg(G)"/>
        <s v="ICICI Pru Nifty Next 50 Index Fund(G)"/>
        <s v="ICICI Pru Nifty Next 50 Index Fund(IDCW)"/>
        <s v="Bank of India Short Term Income Fund-Reg(M-IDCW)"/>
        <s v="Bank of India Short Term Income Fund-Reg(G)"/>
        <s v="Bank of India Short Term Income Fund-Reg(Q-IDCW)"/>
        <s v="ICICI Pru Equity &amp; Debt Fund(G)"/>
        <s v="Axis Small Cap Fund-Reg(IDCW)"/>
        <s v="UTI Banking &amp; PSU Debt Fund-Reg(IDCW)"/>
        <s v="UTI Banking &amp; PSU Debt Fund-Reg(G)"/>
        <s v="ICICI Pru Equity &amp; Debt Fund(A-IDCW)"/>
        <s v="SBI Technology Opp Fund-Reg(IDCW)"/>
        <s v="SBI Technology Opp Fund-Reg(G)"/>
        <s v="DSP World Mining Fund-Reg(IDCW)"/>
        <s v="DSP World Mining Fund-Reg(G)"/>
        <s v="Kotak Small Cap Fund(G)"/>
        <s v="HSBC Small Cap Fund-Reg(G)"/>
        <s v="HDFC Dynamic PE Ratio FOF-Reg(G)"/>
        <s v="HDFC Dynamic PE Ratio FOF-Reg(IDCW)"/>
        <s v="Kotak Small Cap Fund(IDCW)"/>
        <s v="Quant Flexi Cap Fund(G)"/>
        <s v="Nippon India Growth Fund(G)"/>
        <s v="ICICI Pru Smallcap Fund(G)"/>
        <s v="Quant Flexi Cap Fund(IDCW)"/>
        <s v="ICICI Pru Smallcap Fund(IDCW)"/>
        <s v="Quant Infrastructure Fund(G)"/>
        <s v="Quant Infrastructure Fund(IDCW)"/>
        <s v="HSBC Small Cap Fund-Reg(IDCW)"/>
        <s v="DSP Small Cap Fund-Reg(G)"/>
        <s v="HDFC Small Cap Fund-Reg(G)"/>
        <s v="IDBI Liquid Fund(G)"/>
        <s v="Nippon India Growth Fund(IDCW)"/>
        <s v="Mirae Asset Emerging Bluechip-Reg(G)"/>
        <s v="Mirae Asset Emerging Bluechip-Reg(IDCW)"/>
        <s v="ICICI Pru Focused Equity Fund(G)"/>
        <s v="HDFC Small Cap Fund-Reg(IDCW)"/>
        <s v="Mirae Asset Tax Saver Fund-Reg(G)"/>
        <s v="Mirae Asset Tax Saver Fund-Reg(IDCW)"/>
        <s v="Aditya Birla SL Global Emerging Opp Fund(G)"/>
        <s v="Aditya Birla SL Global Emerging Opp Fund(IDCW)"/>
        <s v="HDFC Mid-Cap Opportunities Fund(G)"/>
        <s v="Franklin India Liquid Fund-Super Inst(G)"/>
        <s v="Canara Rob Liquid Fund-Reg(G)"/>
        <s v="DSP Small Cap Fund-Reg(IDCW-Reinv)"/>
        <s v="DSP Small Cap Fund-Reg(IDCW)"/>
        <s v="Axis Liquid Fund-Reg(G)"/>
        <s v="ICICI Pru Focused Equity Fund(IDCW)"/>
        <s v="UTI Overnight Fund-Reg(G)"/>
        <s v="Navi Liquid Fund-Reg(G)"/>
        <s v="ICICI Pru Multi-Asset Fund(G)"/>
        <s v="IDFC All Seasons Bond Fund-Reg(G)"/>
        <s v="Bank of India Liquid Fund-Reg(G)"/>
        <s v="HSBC Liquid Fund(G)"/>
        <s v="Invesco India Liquid Fund(G)"/>
        <s v="UTI Liquid Cash Plan-Reg(G)"/>
        <s v="Motilal Oswal Midcap Fund-Reg(G)"/>
        <s v="ICICI Pru Large &amp; Mid Cap Fund(G)"/>
        <s v="UTI Treasury Advantage Fund-Reg(M-IDCW)"/>
        <s v="UTI Treasury Advantage Fund-Reg(DD-IDCW)"/>
        <s v="UTI Treasury Advantage Fund-Reg(G)"/>
        <s v="UTI Treasury Advantage Fund-Reg(W-IDCW)"/>
        <s v="IDFC Sterling Value Fund-Reg(G)"/>
        <s v="Mahindra Manulife Liquid Fund-Reg(G)"/>
        <s v="IDBI Liquid Fund(W-IDCW)"/>
        <s v="IDBI Liquid Fund(M-IDCW)"/>
        <s v="IDBI Liquid Fund(DD-IDCW)"/>
        <s v="Motilal Oswal Midcap Fund-Reg(IDCW)"/>
        <s v="IDBI Nifty Junior Index Fund(IDCW)"/>
        <s v="IDBI Nifty Junior Index Fund(G)"/>
        <s v="JM Liquid Fund(Q-IDCW)"/>
        <s v="JM Liquid Fund(G)"/>
        <s v="ICICI Pru Asset Allocator Fund(FOF)(G)"/>
        <s v="Union Liquid Fund(G)"/>
        <s v="ICICI Pru Large &amp; Mid Cap Fund(IDCW)"/>
        <s v="IDFC Tax Advt(ELSS) Fund-Reg(G)"/>
        <s v="IDFC Cash Fund-Reg(G)"/>
        <s v="PGIM India Liquid Fund(G)"/>
        <s v="HDFC Flexi Cap Fund(G)"/>
        <s v="Mirae Asset Cash Management-Reg(G)"/>
        <s v="JM Low Duration Fund(DD-IDCW)"/>
        <s v="JM Low Duration Fund(FN-IDCW)"/>
        <s v="JM Low Duration Fund(G)"/>
        <s v="HDFC Mid-Cap Opportunities Fund(IDCW)"/>
        <s v="JM Low Duration Fund(W-IDCW)"/>
        <s v="DSP Liquidity Fund-Reg(G)"/>
        <s v="Franklin India Flexi Cap Fund(G)"/>
        <s v="SBI Overnight Fund-Reg(G)"/>
        <s v="Quant Tax Plan(IDCW)"/>
        <s v="UTI Money Market Fund-Reg(W-IDCW)"/>
        <s v="UTI Money Market Fund-Reg(G)"/>
        <s v="IDFC Tax Advt(ELSS) Fund-Reg(IDCW)"/>
        <s v="IDFC Sterling Value Fund-Reg(IDCW)"/>
        <s v="UTI Overnight Fund-Reg(DD-IDCW)"/>
        <s v="SBI Large &amp; Midcap Fund-Reg(IDCW)"/>
        <s v="SBI Large &amp; Midcap Fund-Reg(G)"/>
        <s v="SBI Liquid Fund-Reg(G)"/>
        <s v="ICICI Pru Bluechip Fund(G)"/>
        <s v="UTI Money Market Fund-Reg(M-IDCW)"/>
        <s v="ICICI Pru Liquid Fund(G)"/>
        <s v="UTI Money Market Fund-Reg(DD-IDCW)"/>
        <s v="Franklin India Focused Equity Fund(G)"/>
        <s v="Quant Tax Plan(G)"/>
        <s v="UTI Overnight Fund-Reg(IDCW)"/>
        <s v="LIC MF Liquid Fund-Reg(G)"/>
        <s v="HDFC Overnight Fund(G)"/>
        <s v="ICICI Pru Multi-Asset Fund(IDCW)"/>
        <s v="Canara Rob Liquid Fund-Reg(DD-IDCW)"/>
        <s v="HDFC Liquid Fund(G)"/>
        <s v="Quant Large &amp; Mid Cap Fund(IDCW)"/>
        <s v="Canara Rob Liquid Fund-Reg(W-IDCW)"/>
        <s v="Tata Liquid Fund-Reg(G)"/>
        <s v="Axis Liquid Fund-Reg(M-IDCW)"/>
        <s v="Quantum Liquid Fund-Reg(G)"/>
        <s v="SBI BlueChip Fund-Reg(G)"/>
        <s v="SBI BlueChip Fund-Reg(IDCW)"/>
        <s v="Axis Liquid Fund-Reg(DD-IDCW)"/>
        <s v="Aditya Birla SL Money Manager Fund(G)"/>
        <s v="IIFL Liquid Fund-Reg(G)"/>
        <s v="Franklin India Liquid Fund-Super Inst(DD-IDCW)"/>
        <s v="Quant Large &amp; Mid Cap Fund(G)"/>
        <s v="ICICI Pru Bluechip Fund(IDCW)"/>
        <s v="Bank of India Liquid Fund-Reg(W-IDCW)"/>
        <s v="Navi Liquid Fund-Reg(W-IDCW)"/>
        <s v="ICICI Pru Money Market Fund(G)"/>
        <s v="Franklin India Liquid Fund-Super Inst(W-IDCW)"/>
        <s v="Bank of India Liquid Fund-Reg(DD-IDCW)"/>
        <s v="IDFC All Seasons Bond Fund-Reg(Q-IDCW)"/>
        <s v="Franklin India Focused Equity Fund(IDCW)"/>
        <s v="Kotak Liquid Fund-Reg(G)"/>
        <s v="Aditya Birla SL Money Manager Fund(W-IDCW)"/>
        <s v="UTI Liquid Cash Plan-Reg(M-IDCW)"/>
        <s v="Franklin India Flexi Cap Fund(IDCW)"/>
        <s v="Navi Liquid Fund-Reg(DD-IDCW)"/>
        <s v="Invesco India Liquid Fund(DD-IDCW)"/>
        <s v="Invesco India Liquid Fund(W-IDCW)"/>
        <s v="HSBC Liquid Fund(DD-IDCW)"/>
        <s v="UTI Liquid Cash Plan-Reg(DD-IDCW)"/>
        <s v="Aditya Birla SL Money Manager Fund(DD-IDCW)"/>
        <s v="Aditya Birla SL Liquid Fund(G)"/>
        <s v="Franklin India Savings Fund(G)"/>
        <s v="Invesco India Liquid Fund(M-IDCW)"/>
        <s v="Mirae Asset Large Cap Fund-Reg(G)"/>
        <s v="Nippon India Liquid Fund(G)"/>
        <s v="ICICI Pru Money Market Fund(DD-IDCW)"/>
        <s v="ICICI Pru Money Market Fund(W-IDCW)"/>
        <s v="Indiabulls Liquid Fund-Reg(G)"/>
        <s v="UTI Liquid Cash Plan-Reg(W-IDCW)"/>
        <s v="HSBC Liquid Fund(W-IDCW)"/>
        <s v="Templeton India Equity Income Fund(G)"/>
        <s v="IDFC All Seasons Bond Fund-Reg(A-IDCW)"/>
        <s v="Union Liquid Fund(W-IDCW)"/>
        <s v="Union Liquid Fund(DD-IDCW)"/>
        <s v="Union Liquid Fund(FN-IDCW Reinv)"/>
        <s v="Union Liquid Fund(FN-IDCW Payout)"/>
        <s v="Nippon India Money Market Fund(G)"/>
        <s v="IIFL Focused Equity Fund-Reg(IDCW)"/>
        <s v="IIFL Focused Equity Fund-Reg(G)"/>
        <s v="IDFC All Seasons Bond Fund-Reg(H-IDCW)"/>
        <s v="Axis Midcap Fund-Reg(G)"/>
        <s v="Nippon India Money Market Fund(M-IDCW)"/>
        <s v="Nippon India Money Market Fund(W-IDCW)"/>
        <s v="Navi Liquid Fund-Reg(M-IDCW)"/>
        <s v="Canara Rob Emerg Equities Fund-Reg(G)"/>
        <s v="Nippon India Money Market Fund(DD-IDCW)"/>
        <s v="PGIM India Liquid Fund(M-IDCW)"/>
        <s v="Kotak Equity Opp Fund(G)"/>
        <s v="Mahindra Manulife Liquid Fund-Reg(DD-IDCW)"/>
        <s v="Mahindra Manulife Liquid Fund-Reg(W-IDCW)"/>
        <s v="Union Liquid Fund(M-IDCW)"/>
        <s v="Union Liquid Fund(M-IDCW Reinv)"/>
        <s v="Mirae Asset Large Cap Fund-Reg(IDCW)"/>
        <s v="Nippon India Money Market Fund(Q-IDCW)"/>
        <s v="JM Liquid Fund(DD-IDCW)"/>
        <s v="Canara Rob Emerg Equities Fund-Reg(IDCW)"/>
        <s v="JM Liquid Fund(W-IDCW)"/>
        <s v="Aditya Birla SL Corp Bond Fund(G)"/>
        <s v="IDFC Cash Fund-Reg(DD-IDCW)"/>
        <s v="DSP Tax Saver Fund-Reg(G)"/>
        <s v="PGIM India Liquid Fund(W-IDCW)"/>
        <s v="IDFC Cash Fund-Reg(W-IDCW)"/>
        <s v="PGIM India Liquid Fund(DD-IDCW)"/>
        <s v="Edelweiss Mid Cap Fund-Reg(G)"/>
        <s v="IDFC Cash Fund-Reg(M-IDCW)"/>
        <s v="Franklin India Savings Fund(DD-IDCW)"/>
        <s v="Mirae Asset Cash Management-Reg(W-IDCW)"/>
        <s v="Axis Money Market Fund-Reg(A-IDCW)"/>
        <s v="Axis Money Market Fund-Reg(G)"/>
        <s v="Aditya Birla SL Active Debt Multi-Mgr FoF(IDCW)"/>
        <s v="Aditya Birla SL Active Debt Multi-Mgr FoF(IDCW-Payout)"/>
        <s v="Aditya Birla SL Active Debt Multi-Mgr FoF(G)"/>
        <s v="Aditya Birla SL Corp Bond Fund(M-IDCW)"/>
        <s v="Mirae Asset Cash Management-Reg(DD-IDCW)"/>
        <s v="Axis Midcap Fund-Reg(IDCW)"/>
        <s v="Axis Money Market Fund-Reg(M-IDCW)"/>
        <s v="DSP Liquidity Fund-Reg(W-IDCW)"/>
        <s v="HDFC Flexi Cap Fund(IDCW)"/>
        <s v="Axis Money Market Fund-Reg(Q-IDCW)"/>
        <s v="Templeton India Equity Income Fund(IDCW)"/>
        <s v="Tata Equity Savings Fund-Reg(G)"/>
        <s v="SBI Liquid Fund-Reg(FN-IDCW)"/>
        <s v="Sundaram Money Market Fund-Reg(M-IDCW)"/>
        <s v="Tata Ethical Fund-Reg(G)"/>
        <s v="Tata Equity Savings Fund-Reg(P-IDCW)"/>
        <s v="Sundaram Money Market Fund-Reg(G)"/>
        <s v="Axis Money Market Fund-Reg(DD-IDCW)"/>
        <s v="SBI Liquid Fund-Reg(W-IDCW)"/>
        <s v="SBI Liquid Fund-Reg(DD-IDCW)"/>
        <s v="Aditya Birla SL Floating Rate Fund(G)"/>
        <s v="Sundaram Money Market Fund-Reg(W-IDCW)"/>
        <s v="Tata Ethical Fund-Reg(IDCW)"/>
        <s v="ICICI Pru Liquid Fund(W-IDCW)"/>
        <s v="Sundaram Money Market Fund-Reg(Q-IDCW)"/>
        <s v="Franklin India Savings Fund(Q-IDCW)"/>
        <s v="ICICI Pru Liquid Fund(DD-IDCW)"/>
        <s v="Edelweiss Liquid Fund-Reg(G)"/>
        <s v="Sundaram Money Market Fund-Reg(DD-IDCW)"/>
        <s v="Quant Active Fund(G)"/>
        <s v="Kotak Equity Opp Fund(IDCW)"/>
        <s v="Aditya Birla SL Floating Rate Fund(W-IDCW)"/>
        <s v="Baroda BNP Paribas Ultra Short Duration Fund-Reg(G)"/>
        <s v="LIC MF Liquid Fund-Reg(DD-IDCW)"/>
        <s v="Aditya Birla SL Floating Rate Fund(DD-IDCW)"/>
        <s v="DSP Tax Saver Fund-Reg(IDCW)"/>
        <s v="Nippon India Value Fund(G)"/>
        <s v="HDFC Money Market Fund(G)"/>
        <s v="Tata Mid Cap Growth Fund-Reg(G)"/>
        <s v="Quant Active Fund(IDCW)"/>
        <s v="HDFC Liquid Fund(M-IDCW)"/>
        <s v="Baroda BNP Paribas Ultra Short Duration Fund-Reg(DD-IDCW)"/>
        <s v="HDFC Liquid Fund(W-IDCW)"/>
        <s v="Nippon India Focused Equity Fund(G)"/>
        <s v="HDFC Balanced Advantage Fund(G)"/>
        <s v="HDFC Liquid Fund(DD-IDCW)"/>
        <s v="Tata Money Market Fund-Reg(G)"/>
        <s v="HDFC Floating Rate Debt Fund(G)"/>
        <s v="IIFL Liquid Fund-Reg(DD-IDCW)"/>
        <s v="Quantum Liquid Fund-Reg(DD-IDCW)"/>
        <s v="Quantum Liquid Fund-Reg(M-IDCW)"/>
        <s v="IIFL Liquid Fund-Reg(W-IDCW)"/>
        <s v="IIFL Liquid Fund-Reg(W-IDCW Reinv)"/>
        <s v="Tata Liquid Fund-Reg(DD-IDCW)"/>
        <s v="HDFC Floating Rate Debt Fund(DD-IDCW)"/>
        <s v="HDFC Floating Rate Debt Fund(M-IDCW)"/>
        <s v="Invesco India Contra Fund(G)"/>
        <s v="Kotak Liquid Fund-Reg(DD-IDCW)"/>
        <s v="Tata Mid Cap Growth Fund-Reg(IDCW)"/>
        <s v="SBI Magnum Children's Benefit Fund-Savings Plan"/>
        <s v="SBI Conservative Hybrid Fund-Reg(G)"/>
        <s v="Tata Money Market Fund-Reg(DD-IDCW)"/>
        <s v="Indiabulls Liquid Fund-Reg(M-IDCW)"/>
        <s v="Nippon India Liquid Fund(W-IDCW)"/>
        <s v="Aditya Birla SL Liquid Fund(W-IDCW)"/>
        <s v="Aditya Birla SL Liquid Fund(DD-IDCW)"/>
        <s v="Indiabulls Liquid Fund-Reg(DD-IDCW)"/>
        <s v="ICICI Pru LT Equity Fund (Tax Saving)(G)"/>
        <s v="Nippon India Liquid Fund(DD-IDCW)"/>
        <s v="Indiabulls Liquid Fund-Reg(W-IDCW)"/>
        <s v="HDFC Floating Rate Debt Fund(W-IDCW)"/>
        <s v="ICICI Pru Corp Bond Fund(G)"/>
        <s v="Indiabulls Liquid Fund-Reg(FN-IDCW)"/>
        <s v="Canara Rob Bluechip Equity Fund-Reg(G)"/>
        <s v="Nippon India Liquid Fund(Q-IDCW)"/>
        <s v="Invesco India Midcap Fund(G)"/>
        <s v="Invesco India Contra Fund(IDCW)"/>
        <s v="ICICI Pru Corp Bond Fund(Q-IDCW)"/>
        <s v="Edelweiss Mid Cap Fund-Reg(IDCW)"/>
        <s v="PGIM India Banking &amp; PSU Debt Fund(G)"/>
        <s v="ICICI Pru Corp Bond Fund(M-IDCW)"/>
        <s v="Canara Rob Bluechip Equity Fund-Reg(IDCW)"/>
        <s v="Tata Equity Savings Fund-Reg(M-IDCW)"/>
        <s v="HDFC Large and Mid Cap Fund-Reg(G)"/>
        <s v="Invesco India Midcap Fund(IDCW)"/>
        <s v="SBI Long Term Equity Fund-Reg(G)"/>
        <s v="Nippon India Value Fund(IDCW)"/>
        <s v="Quant Liquid Plan(G)"/>
        <s v="SBI Equity Hybrid Fund-Reg(G)"/>
        <s v="Canara Rob Flexi Cap Fund-Reg(G)"/>
        <s v="ICICI Pru LT Equity Fund (Tax Saving)(IDCW)"/>
        <s v="UTI Value Opp Fund-Reg(G)"/>
        <s v="Kotak Flexicap Fund(G)"/>
        <s v="UTI Mid Cap Fund-Reg(G)"/>
        <s v="UTI Mid Cap Fund-Reg(IDCW)"/>
        <s v="SBI Equity Hybrid Fund-Reg(IDCW)"/>
        <s v="Nippon India Liquid Fund(M-IDCW)"/>
        <s v="ICICI Pru Savings Fund(G)"/>
        <s v="Franklin India Smaller Cos Fund(G)"/>
        <s v="ICICI Pru Debt Mgmt Fund(FOF)(G)"/>
        <s v="ICICI Pru Debt Mgmt Fund(FOF)(IDCW)"/>
        <s v="Nippon India Focused Equity Fund(IDCW)"/>
        <s v="ICICI Pru Savings Fund(W-IDCW)"/>
        <s v="ICICI Pru Savings Fund(DD-IDCW)"/>
        <s v="Canara Rob Equity Tax Saver Fund-Reg(G)"/>
        <s v="ICICI Pru Savings Fund(FN-IDCW)"/>
        <s v="SBI Conservative Hybrid Fund-Reg(M-IDCW)"/>
        <s v="HDFC Retirement Savings Fund-Equity Plan-Reg(G)"/>
        <s v="UTI Value Opp Fund-Reg(IDCW)"/>
        <s v="Edelweiss Liquid Fund-Reg(M-IDCW)"/>
        <s v="Edelweiss Liquid Fund-Reg(DD-IDCW)"/>
        <s v="Aditya Birla SL Savings Fund-Reg(G)"/>
        <s v="ICICI Pru Savings Fund(M-IDCW)"/>
        <s v="Nippon India Multi Cap Fund(G)"/>
        <s v="Kotak Flexicap Fund(IDCW)"/>
        <s v="Canara Rob Equity Tax Saver Fund-Reg(IDCW)"/>
        <s v="SBI Conservative Hybrid Fund-Reg(A-IDCW)"/>
        <s v="SBI Conservative Hybrid Fund-Reg(Q-IDCW)"/>
        <s v="Edelweiss Liquid Fund-Reg(W-IDCW)"/>
        <s v="HDFC Balanced Advantage Fund(IDCW)"/>
        <s v="IDFC Ultra Short Term Fund-Reg(G)"/>
        <s v="Aditya Birla SL Savings Fund-Reg(DD-IDCW)"/>
        <s v="IDBI Ultra ST(G)"/>
        <s v="Aditya Birla SL Savings Fund-Reg(W-IDCW)"/>
        <s v="HSBC Value Fund-Reg(G)"/>
        <s v="IDBI Ultra ST(M-IDCW)"/>
        <s v="IDFC Ultra Short Term Fund-Reg(W-IDCW)"/>
        <s v="IDBI Ultra ST(W-IDCW)"/>
        <s v="IDFC Ultra Short Term Fund-Reg(M-IDCW)"/>
        <s v="IDBI Ultra ST(DD-IDCW)"/>
        <s v="Sundaram Corp Bond Fund(G)"/>
        <s v="IIFL Dynamic Bond Fund-Reg(H-IDCW)"/>
        <s v="IIFL Dynamic Bond Fund-Reg(G)"/>
        <s v="IIFL Dynamic Bond Fund-Reg(Q-IDCW)"/>
        <s v="IDFC Ultra Short Term Fund-Reg(Q-IDCW)"/>
        <s v="IDFC Ultra Short Term Fund-Reg(DD-IDCW)"/>
        <s v="LIC MF Ultra Short Term Fund-Reg(DD-IDCW)"/>
        <s v="Sundaram Corp Bond Fund(M-IDCW)"/>
        <s v="Nippon India Multi Cap Fund(IDCW)"/>
        <s v="IDBI ST Bond(G)"/>
        <s v="IDBI ST Bond(M-IDCW)"/>
        <s v="IDBI ST Bond(W-IDCW)"/>
        <s v="IIFL Dynamic Bond Fund-Reg(M-IDCW)"/>
        <s v="Canara Rob Flexi Cap Fund-Reg(IDCW)"/>
        <s v="Sundaram Banking &amp; PSU Debt Fund(W-IDCW)"/>
        <s v="HSBC Managed Solutions India-Growth(G)"/>
        <s v="HSBC Managed Solutions India-Growth(IDCW)"/>
        <s v="Sundaram Corp Bond Fund(Q-IDCW)"/>
        <s v="HSBC Value Fund-Reg(IDCW)"/>
        <s v="SBI Flexicap Fund-Reg(IDCW)"/>
        <s v="Sundaram Banking &amp; PSU Debt Fund(G)"/>
        <s v="SBI Flexicap Fund-Reg(G)"/>
        <s v="Aditya Birla SL Frontline Equity Fund(G)"/>
        <s v="Nippon India Floating Rate Fund(G)"/>
        <s v="Sundaram Corp Bond Fund(H-IDCW)"/>
        <s v="PGIM India Flexi Cap Fund-Reg(G)"/>
        <s v="SBI Long Term Equity Fund-Reg(IDCW)"/>
        <s v="PGIM India Flexi Cap Fund-Reg(IDCW)"/>
        <s v="Sundaram Liquid Fund(G)"/>
        <s v="ICICI Pru Constant Maturity Gilt Fund(G)"/>
        <s v="Sundaram Banking &amp; PSU Debt Fund(M-IDCW)"/>
        <s v="LIC MF Ultra Short Term Fund-Reg(W-IDCW)"/>
        <s v="Sundaram Banking &amp; PSU Debt Fund(DD-IDCW)"/>
        <s v="Nippon India Floating Rate Fund(DD-IDCW)"/>
        <s v="LIC MF Ultra Short Term Fund-Reg(M-IDCW)"/>
        <s v="LIC MF Ultra Short Term Fund-Reg(G)"/>
        <s v="HSBC Ultra Short Duration Fund-Reg(G)"/>
        <s v="HDFC Large and Mid Cap Fund-Reg(IDCW)"/>
        <s v="Franklin India Smaller Cos Fund(IDCW)"/>
        <s v="Nippon India Floating Rate Fund(W-IDCW)"/>
        <s v="SBI Magnum Ultra Short Duration Fund-Reg(G)"/>
        <s v="HSBC Ultra Short Duration Fund-Reg(M-IDCW)"/>
        <s v="HSBC Ultra Short Duration Fund-Reg(DD-IDCW)"/>
        <s v="Nippon India Floating Rate Fund(M-IDCW)"/>
        <s v="SBI Magnum Ultra Short Duration Fund-Reg(W-IDCW)"/>
        <s v="SBI Magnum Ultra Short Duration Fund-Reg(DD-IDCW)"/>
        <s v="HSBC Ultra Short Duration Fund-Reg(W-IDCW)"/>
        <s v="Baroda BNP Paribas Money Market Fund-Reg(W-IDCW)"/>
        <s v="Baroda BNP Paribas Money Market Fund-Reg(G)"/>
        <s v="Sundaram Corp Bond Fund(A-IDCW)"/>
        <s v="Aditya Birla SL Frontline Equity Fund(IDCW)"/>
        <s v="Baroda BNP Paribas Money Market Fund-Reg(M-IDCW)"/>
        <s v="UTI Corporate Bond Fund-Reg(G)"/>
        <s v="Kotak Floating Rate Fund-Reg(G)"/>
        <s v="HDFC Corp Bond Fund(G)"/>
        <s v="HDFC Corp Bond Fund(IDCW)"/>
        <s v="UTI Corporate Bond Fund-Reg(Q-IDCW)"/>
        <s v="Kotak Floating Rate Fund-Reg(IDCW)"/>
        <s v="Sundaram Liquid Fund(W-IDCW)"/>
        <s v="Sundaram Liquid Fund(DD-IDCW)"/>
        <s v="Edelweiss Balanced Advantage Fund-Reg(G)"/>
        <s v="Baroda BNP Paribas Money Market Fund-Reg(DD-IDCW)"/>
        <s v="Sundaram Liquid Fund(M-IDCW)"/>
        <s v="Kotak Bluechip Fund(G)"/>
        <s v="DSP Banking &amp; PSU Debt Fund-Reg(G)"/>
        <s v="HDFC Corp Bond Fund(Q-IDCW)"/>
        <s v="SBI Healthcare Opp Fund-Reg(IDCW)"/>
        <s v="SBI Healthcare Opp Fund-Reg(G)"/>
        <s v="Nippon India Pharma Fund(G)"/>
        <s v="Franklin India Taxshield(G)"/>
        <s v="Invesco India - Invesco Pan European Equity FoF-Reg(IDCW)"/>
        <s v="Invesco India - Invesco Pan European Equity FoF-Reg(G)"/>
        <s v="DSP Savings Fund-Reg(G)"/>
        <s v="Canara Rob Equity Hybrid Fund-Reg(G)"/>
        <s v="HSBC Managed Solutions India-Moderate(G)"/>
        <s v="HSBC Managed Solutions India-Moderate(IDCW)"/>
        <s v="Tata Treasury Advantage Fund-Reg(DD-IDCW)"/>
        <s v="Aditya Birla SL Asset Allocator FoF(IDCW)"/>
        <s v="Aditya Birla SL Asset Allocator FoF(G)"/>
        <s v="Aditya Birla SL Asset Allocator FoF(IDCW-Payout)"/>
        <s v="IDFC Asset Alloc FoF-Mod-Reg(G)"/>
        <s v="Tata Treasury Advantage Fund-Reg(G)"/>
        <s v="SBI Equity Savings Fund-Reg(G)"/>
        <s v="IDFC Asset Alloc FoF-Cons-Reg(G)"/>
        <s v="Franklin India Banking &amp; PSU Debt Fund(G)"/>
        <s v="ICICI Pru Constant Maturity Gilt Fund(Q-IDCW Payout)"/>
        <s v="SBI Equity Savings Fund-Reg(M-IDCW Payout)"/>
        <s v="Kotak Bluechip Fund(IDCW)"/>
        <s v="Edelweiss Balanced Advantage Fund-Reg(Q-IDCW)"/>
        <s v="Nippon India Large Cap Fund(G)"/>
        <s v="SBI Equity Savings Fund-Reg(Q-IDCW Payout)"/>
        <s v="IDFC Banking &amp; PSU Debt Fund-Reg(G)"/>
        <s v="UTI Corporate Bond Fund-Reg(A-IDCW)"/>
        <s v="UTI Corporate Bond Fund-Reg(F-IDCW)"/>
        <s v="Nippon India Corp Bond Fund(DD-IDCW)"/>
        <s v="HDFC Hybrid Equity Fund(G)"/>
        <s v="HDFC Hybrid Equity Fund(IDCW)"/>
        <s v="UTI Corporate Bond Fund-Reg(H-IDCW)"/>
        <s v="HDFC Top 100 Fund(G)"/>
        <s v="Nippon India Pharma Fund(IDCW)"/>
        <s v="Nippon India Corp Bond Fund(G)"/>
        <s v="Tata Large &amp; Mid Cap Fund(IDCW)"/>
        <s v="Invesco India - Invesco Global Equity Income FoF-Reg(G)"/>
        <s v="Tata Treasury Advantage Fund-Reg(W-IDCW)"/>
        <s v="Invesco India - Invesco Global Equity Income FoF-Reg(IDCW)"/>
        <s v="Baroda BNP Paribas Mid Cap Fund-Reg(G)"/>
        <s v="ICICI Pru Multicap Fund(G)"/>
        <s v="Nippon India Corp Bond Fund(W-IDCW)"/>
        <s v="Axis Banking &amp; PSU Debt Fund-Reg(G)"/>
        <s v="IDFC Low Duration Fund-Reg(G)"/>
        <s v="Axis Banking &amp; PSU Debt Fund-Reg(W-IDCW)"/>
        <s v="Tata Large &amp; Mid Cap Fund(G)"/>
        <s v="Tata Digital India Fund-Reg(G)"/>
        <s v="Tata Digital India Fund-Reg(IDCW)"/>
        <s v="Nippon India Corp Bond Fund(M-IDCW)"/>
        <s v="Axis Banking &amp; PSU Debt Fund-Reg(DD-IDCW)"/>
        <s v="ICICI Pru Equity Savings Fund(G)"/>
        <s v="Kotak Tax Saver Fund(G)"/>
        <s v="IDFC Low Duration Fund-Reg(DD-IDCW)"/>
        <s v="Mirae Asset Hybrid Equity Fund-Reg(G)"/>
        <s v="Axis Treasury Advantage Fund-Reg(G)"/>
        <s v="DSP Equity Opportunities Fund-Reg(G)"/>
        <s v="SBI Magnum Global Fund-Reg(G)"/>
        <s v="SBI Magnum Global Fund-Reg(IDCW)"/>
        <s v="IDFC Low Duration Fund-Reg(W-IDCW)"/>
        <s v="Axis Banking &amp; PSU Debt Fund-Reg(M-IDCW)"/>
        <s v="IDFC Corp Bond Fund-Reg(G)"/>
        <s v="Axis Treasury Advantage Fund-Reg(DD-IDCW)"/>
        <s v="Canara Rob Equity Hybrid Fund-Reg(M-IDCW)"/>
        <s v="IDFC Low Duration Fund-Reg(M-IDCW)"/>
        <s v="Axis Treasury Advantage Fund-Reg(W-IDCW)"/>
        <s v="Axis Treasury Advantage Fund-Reg(M-IDCW)"/>
        <s v="ICICI Pru Infrastructure Fund(G)"/>
        <s v="Franklin India Taxshield(IDCW)"/>
        <s v="Nippon India Corp Bond Fund(Q-IDCW)"/>
        <s v="IDFC Ultra Short Term Fund-Reg(P-IDCW)"/>
        <s v="Mirae Asset Hybrid Equity Fund-Reg(IDCW)"/>
        <s v="Invesco India Money Market Fund(G)"/>
        <s v="Aditya Birla SL Flexi Cap Fund(G)"/>
        <s v="Kotak Equity Hybrid Fund(G)"/>
        <s v="ICICI Pru Multicap Fund(IDCW)"/>
        <s v="Baroda BNP Paribas Mid Cap Fund-Reg(IDCW)"/>
        <s v="HDFC Children's Gift Fund(Lock in)"/>
        <s v="IDFC Asset Alloc FoF-Mod-Reg(IDCW)"/>
        <s v="Edelweiss Banking and PSU Debt Fund-Reg(G)"/>
        <s v="Edelweiss Banking and PSU Debt Fund-Reg(IDCW)"/>
        <s v="Nippon India Large Cap Fund(IDCW)"/>
        <s v="Invesco India Money Market Fund(DD-IDCW)"/>
        <s v="Franklin India Banking &amp; PSU Debt Fund(IDCW)"/>
        <s v="ICICI Pru Equity Savings Fund(Q-IDCW Payout)"/>
        <s v="Invesco India Money Market Fund(M-IDCW)"/>
        <s v="Kotak Tax Saver Fund(IDCW)"/>
        <s v="ICICI Pru Income Optimizer Fund(FOF)(IDCW)"/>
        <s v="ICICI Pru Income Optimizer Fund(FOF)(G)"/>
        <s v="IDFC Asset Alloc FoF-Cons-Reg(IDCW)"/>
        <s v="DSP Banking &amp; PSU Debt Fund-Reg(IDCW)"/>
        <s v="DSP Low Duration Fund-Reg(G)"/>
        <s v="UTI Dividend Yield Fund-Reg(G)"/>
        <s v="Kotak Corporate Bond Fund(G)"/>
        <s v="ICICI Pru Midcap Fund(G)"/>
        <s v="Kotak Corporate Bond Fund(M-IDCW)"/>
        <s v="Baroda BNP Paribas Multi Cap Fund-Reg(G)"/>
        <s v="DSP Corp Bond Fund-Reg(G)"/>
        <s v="Bank of India Ultra Short Duration Fund-Reg(G)"/>
        <s v="ICICI Pru Balanced Advantage Fund(G)"/>
        <s v="Aditya Birla SL Flexi Cap Fund(IDCW)"/>
        <s v="Canara Rob Savings Fund-Reg(IDCW)"/>
        <s v="Canara Rob Savings Fund-Reg(G)"/>
        <s v="Kotak Equity Hybrid Fund(IDCW)"/>
        <s v="ICICI Pru Infrastructure Fund(IDCW)"/>
        <s v="Canara Rob Savings Fund-Reg(W-IDCW)"/>
        <s v="DSP Low Duration Fund-Reg(W-IDCW)"/>
        <s v="Bank of India Ultra Short Duration Fund-Reg(W-IDCW)"/>
        <s v="DSP Equity Opportunities Fund-Reg(IDCW)"/>
        <s v="Canara Rob Savings Fund-Reg(DD-IDCW)"/>
        <s v="ICICI Pru Balanced Advantage Fund(IDCW)"/>
        <s v="Aditya Birla SL Banking &amp; PSU Debt(G)"/>
        <s v="UTI Dynamic Bond Fund-Reg(G)"/>
        <s v="UTI Dynamic Bond Fund-Reg(Q-IDCW)"/>
        <s v="UTI Dividend Yield Fund-Reg(IDCW)"/>
        <s v="ICICI Pru Technology Fund(G)"/>
        <s v="DSP Flexi Cap Fund-Reg(G)"/>
        <s v="UTI Mastershare-Reg(G)"/>
        <s v="Edelweiss Balanced Advantage Fund-Reg(M-IDCW)"/>
        <s v="SBI Focused Equity Fund-Reg(IDCW)"/>
        <s v="SBI Focused Equity Fund-Reg(G)"/>
        <s v="Invesco India Treasury Advantage Fund(G)"/>
        <s v="Invesco India Treasury Advantage Fund(W-IDCW)"/>
        <s v="Aditya Birla SL Digital India Fund(G)"/>
        <s v="ICICI Pru Technology Fund(IDCW)"/>
        <s v="Invesco India Treasury Advantage Fund(M-IDCW)"/>
        <s v="ICICI Pru US Bluechip Equity Fund(IDCW)"/>
        <s v="ICICI Pru US Bluechip Equity Fund(G)"/>
        <s v="Invesco India Treasury Advantage Fund(DD-IDCW)"/>
        <s v="UTI Mastershare-Reg(IDCW)"/>
        <s v="Aditya Birla SL Digital India Fund(IDCW)"/>
        <s v="Aditya Birla SL Banking &amp; PSU Debt(Q-IDCW)"/>
        <s v="Union Small Cap Fund-Reg(G)"/>
        <s v="Union Small Cap Fund-Reg(IDCW)"/>
        <s v="HDFC Ultra Short Term Fund-Reg(G)"/>
        <s v="Mahindra Manulife Mid Cap Unnati Yojana-Reg(G)"/>
        <s v="Mahindra Manulife Mid Cap Unnati Yojana-Reg(IDCW)"/>
        <s v="HSBC Corporate Bond Fund-Reg(G)"/>
        <s v="Sundaram Large and Mid Cap Fund(G)"/>
        <s v="HDFC Top 100 Fund(IDCW)"/>
        <s v="HDFC Ultra Short Term Fund-Reg(M-IDCW)"/>
        <s v="Franklin India Dynamic Asset Allocation FOFs(G)"/>
        <s v="HDFC Ultra Short Term Fund-Reg(DD-IDCW)"/>
        <s v="ICICI Pru Banking &amp; PSU Debt Fund(G)"/>
        <s v="ICICI Pru Banking &amp; PSU Debt Fund(Q-IDCW)"/>
        <s v="ICICI Pru Midcap Fund(IDCW)"/>
        <s v="Baroda BNP Paribas Multi Cap Fund-Reg(IDCW)"/>
        <s v="DSP Midcap Fund-Reg(G)"/>
        <s v="Invesco India Corporate Bond Fund(M-IDCW)"/>
        <s v="Invesco India Corporate Bond Fund(G)"/>
        <s v="Sundaram Large and Mid Cap Fund(IDCW)"/>
        <s v="Mahindra Manulife Multi Cap Badhat Yojana-Reg(IDCW)"/>
        <s v="Mirae Asset Great Consumer Fund-Reg(G)"/>
        <s v="Kotak India EQ Contra Fund(G)"/>
        <s v="Aditya Birla SL Banking &amp; PSU Debt(M-IDCW)"/>
        <s v="HDFC Ultra Short Term Fund-Reg(W-IDCW)"/>
        <s v="Mahindra Manulife Multi Cap Badhat Yojana-Reg(G)"/>
        <s v="SBI Magnum Equity ESG Fund-Reg(G)"/>
        <s v="SBI Magnum Equity ESG Fund-Reg(IDCW)"/>
        <s v="Sundaram Multi Cap Fund(G)"/>
        <s v="Sundaram Multi Cap Fund(H-IDCW)"/>
        <s v="ICICI Pru Global Stable Equity Fund(FOF)(G)"/>
        <s v="ICICI Pru Global Stable Equity Fund(FOF)(IDCW)"/>
        <s v="HDFC Short Term Debt Fund(G)"/>
        <s v="Edelweiss Large &amp; Mid Cap Fund-Reg(G)"/>
        <s v="Nippon India Nivesh Lakshya Fund(G)"/>
        <s v="Nippon India Nivesh Lakshya Fund(IDCW)"/>
        <s v="ICICI Pru Dividend Yield Equity Fund(G)"/>
        <s v="HDFC Short Term Debt Fund(FN-IDCW)"/>
        <s v="DSP Corp Bond Fund-Reg(IDCW)"/>
        <s v="DSP Flexi Cap Fund-Reg(IDCW)"/>
        <s v="Invesco India Corporate Bond Fund(Q-IDCW)"/>
        <s v="Kotak India EQ Contra Fund(IDCW)"/>
        <s v="Franklin India Bluechip Fund(G)"/>
        <s v="Aditya Birla SL Banking &amp; PSU Debt(IDCW)"/>
        <s v="UTI ST Income Fund-Reg(G)"/>
        <s v="UTI ST Income Fund-Reg(Q-IDCW)"/>
        <s v="Quantum Dynamic Bond Fund-Reg(G)"/>
        <s v="Axis Dynamic Bond Fund-Reg(G)"/>
        <s v="Mirae Asset Great Consumer Fund-Reg(IDCW)"/>
        <s v="Nippon India Nivesh Lakshya Fund(M-IDCW)"/>
        <s v="Nippon India Nivesh Lakshya Fund(Q-IDCW)"/>
        <s v="Tata Banking &amp; PSU Debt Fund-Reg(IDCW)"/>
        <s v="Tata Banking &amp; PSU Debt Fund-Reg(G)"/>
        <s v="Axis Bluechip Fund-Reg(G)"/>
        <s v="DSP Midcap Fund-Reg(IDCW)"/>
        <s v="Quantum Dynamic Bond Fund-Reg(M-IDCW)"/>
        <s v="Axis Dynamic Bond Fund-Reg(Q-IDCW)"/>
        <s v="Tata India Tax Savings Fund-Reg(G)"/>
        <s v="Nippon India Nivesh Lakshya Fund(H-IDCW)"/>
        <s v="Union Flexi Cap Fund-Reg(G)"/>
        <s v="IDFC Asset Alloc FoF-Aggr-Reg(G)"/>
        <s v="Franklin India Bluechip Fund(IDCW)"/>
        <s v="UTI LT Equity Fund (Tax Saving)-Reg(G)"/>
        <s v="Union Flexi Cap Fund-Reg(IDCW)"/>
        <s v="UTI Flexi Cap Fund-Reg(G)"/>
        <s v="UTI Flexi Cap Fund-Reg(IDCW)"/>
        <s v="UTI LT Equity Fund (Tax Saving)-Reg(IDCW)"/>
        <s v="Invesco India Corporate Bond Fund(A-IDCW)"/>
        <s v="Quantum Tax Saving Fund-Reg(G)"/>
        <s v="Quantum Tax Saving Fund-Reg(IDCW)"/>
        <s v="Franklin India Prima Fund(G)"/>
        <s v="Axis Bluechip Fund-Reg(IDCW)"/>
        <s v="Union Corporate Bond Fund-Reg(IDCW)"/>
        <s v="Union Corporate Bond Fund-Reg(G)"/>
        <s v="PGIM India Equity Savings Fund(G)"/>
        <s v="HSBC Banking and PSU Debt Fund-Reg(G)"/>
        <s v="Kotak Banking and PSU Debt Fund(G)"/>
        <s v="Edelweiss Large &amp; Mid Cap Fund-Reg(IDCW)"/>
        <s v="Kotak Banking and PSU Debt Fund(M-IDCW)"/>
        <s v="HSBC Banking and PSU Debt Fund-Reg(DD-IDCW)"/>
        <s v="HDFC Banking and PSU Debt Fund-Reg(G)"/>
        <s v="Axis Dynamic Bond Fund-Reg(H-IDCW)"/>
        <s v="Quantum Long Term Equity Value Fund-Reg(G)"/>
        <s v="HSBC Banking and PSU Debt Fund-Reg(W-IDCW)"/>
        <s v="SBI Savings Fund-Reg(G)"/>
        <s v="HSBC Banking and PSU Debt Fund-Reg(M-IDCW)"/>
        <s v="Quantum Long Term Equity Value Fund-Reg(IDCW)"/>
        <s v="SBI Savings Fund-Reg(IDCW)"/>
        <s v="HDFC Banking and PSU Debt Fund-Reg(IDCW)"/>
        <s v="IDBI Small Cap Fund(IDCW)"/>
        <s v="IDBI Small Cap Fund(G)"/>
        <s v="Mahindra Manulife Ultra Short Term Fund-Reg(DD-IDCW)"/>
        <s v="SBI Savings Fund-Reg(W-IDCW)"/>
        <s v="Franklin India Prima Fund(IDCW)"/>
        <s v="IDFC Core Equity Fund-Reg(G)"/>
        <s v="Mahindra Manulife Ultra Short Term Fund-Reg(G)"/>
        <s v="Invesco India Multicap Fund(G)"/>
        <s v="Invesco India Multicap Fund(IDCW)"/>
        <s v="Bank of India Tax Advantage Fund-Reg(IDCW)"/>
        <s v="Bank of India Tax Advantage Fund-Reg(G)"/>
        <s v="Nippon India Nivesh Lakshya Fund(A-IDCW)"/>
        <s v="SBI Arbitrage Opportunities Fund-Reg(G)"/>
        <s v="SBI Corp Bond Fund-Reg(G)"/>
        <s v="SBI Corp Bond Fund-Reg(Q-IDCW)"/>
        <s v="IDFC Banking &amp; PSU Debt Fund-Reg(IDCW)"/>
        <s v="ICICI Pru Ultra Short Term Fund Fund(G)"/>
        <s v="SBI Magnum Constant Maturity Fund-Reg(G)"/>
        <s v="Nippon India Banking &amp; PSU Debt Fund(IDCW)"/>
        <s v="Nippon India Banking &amp; PSU Debt Fund(G)"/>
        <s v="SBI Corp Bond Fund-Reg(M-IDCW)"/>
        <s v="Nippon India Dynamic Bond(G)"/>
        <s v="Nippon India Dynamic Bond(IDCW)"/>
        <s v="LIC MF Savings Fund(DD-IDCW)"/>
        <s v="SBI Magnum Constant Maturity Fund-Reg(IDCW)"/>
        <s v="Aditya Birla SL India GenNext Fund(G)"/>
        <s v="ICICI Pru Ultra Short Term Fund Fund(W-IDCW)"/>
        <s v="IDFC Bond Fund - Short Term Plan-Reg(G)"/>
        <s v="IDFC Asset Alloc FoF-Aggr-Reg(IDCW)"/>
        <s v="PGIM India Equity Savings Fund(M-IDCW)"/>
        <s v="ICICI Pru Ultra Short Term Fund Fund(M-IDCW)"/>
        <s v="ICICI Pru Ultra Short Term Fund Fund(Q-IDCW)"/>
        <s v="ICICI Pru Ultra Short Term Fund Fund(DD-IDCW)"/>
        <s v="Tata Equity P/E Fund(G)"/>
        <s v="HSBC Short Duration Fund-Reg(G)"/>
        <s v="PGIM India ELSS Tax Saver Fund-Reg(G)"/>
        <s v="Mahindra Manulife Ultra Short Term Fund-Reg(W-IDCW)"/>
        <s v="Nippon India Banking &amp; PSU Debt Fund(W-IDCW)"/>
        <s v="HSBC Money Market Fund-Reg(G)"/>
        <s v="Aditya Birla SL Focused Equity Fund(G)"/>
        <s v="Franklin India Corp Debt Fund-A(G)"/>
        <s v="Tata Equity P/E Fund(Div Trig Opt B-10%)"/>
        <s v="Aditya Birla SL India GenNext Fund(IDCW)"/>
        <s v="IDFC Bond Fund - Short Term Plan-Reg(FN-IDCW)"/>
        <s v="PGIM India Equity Savings Fund(A-IDCW)"/>
        <s v="Quant Focused Fund(IDCW)"/>
        <s v="IDFC Bond Fund - Short Term Plan-Reg(M-IDCW)"/>
        <s v="Nippon India Banking &amp; PSU Debt Fund(M-IDCW)"/>
        <s v="PGIM India ELSS Tax Saver Fund-Reg(IDCW)"/>
        <s v="DSP Natural Res &amp; New Energy Fund-Reg(G)"/>
        <s v="HSBC Money Market Fund-Reg(DD-IDCW)"/>
        <s v="DSP Equity &amp; Bond Fund-Reg(G)"/>
        <s v="HSBC Short Duration Fund-Reg(IDCW)"/>
        <s v="Canara Rob Consumer Trends Fund-Reg(G)"/>
        <s v="Invesco India Infrastructure Fund(G)"/>
        <s v="Axis Corp Debt Fund-Reg(G)"/>
        <s v="Axis Corp Debt Fund-Reg(IDCW)"/>
        <s v="UTI Hybrid Equity Fund-Reg(G)"/>
        <s v="Quant Focused Fund(G)"/>
        <s v="Kotak Savings Fund(G)"/>
        <s v="Invesco India Infrastructure Fund(IDCW)"/>
        <s v="HSBC Money Market Fund-Reg(M-IDCW)"/>
        <s v="Tata India Tax Savings Fund-Reg(IDCW-Payout)"/>
        <s v="Tata Equity P/E Fund(Div Trig Opt A-5%)"/>
        <s v="Nippon India Banking &amp; PSU Debt Fund(Q-IDCW)"/>
        <s v="Invesco India Growth Opp Fund(IDCW)"/>
        <s v="SBI Arbitrage Opportunities Fund-Reg(IDCW)"/>
        <s v="Aditya Birla SL Focused Equity Fund(IDCW)"/>
        <s v="Invesco India Growth Opp Fund(G)"/>
        <s v="LIC MF Savings Fund(W-IDCW)"/>
        <s v="LIC MF Savings Fund(G)"/>
        <s v="Kotak Savings Fund(M-IDCW)"/>
        <s v="Axis Corp Debt Fund-Reg(DD-IDCW)"/>
        <s v="Axis Corp Debt Fund-Reg(W-IDCW)"/>
        <s v="HSBC Money Market Fund-Reg(W-IDCW)"/>
        <s v="Franklin India Dynamic Asset Allocation FOFs(IDCW)"/>
        <s v="LIC MF Savings Fund(M-IDCW)"/>
        <s v="Canara Rob Consumer Trends Fund-Reg(IDCW)"/>
        <s v="Axis Corp Debt Fund-Reg(M-IDCW)"/>
        <s v="DSP 10Y G-Sec Fund-Reg(G)"/>
        <s v="Baroda BNP Paribas Corp Bond Fund(G)"/>
        <s v="Tata Infrastructure Fund-Reg(G)"/>
        <s v="Baroda BNP Paribas Corp Bond Fund(Q-IDCW)"/>
        <s v="Baroda BNP Paribas Corp Bond Fund(A-IDCW)"/>
        <s v="Tata Infrastructure Fund-Reg(IDCW)"/>
        <s v="DSP Bond Fund-Reg(G)"/>
        <s v="DSP Bond Fund-Reg(IDCW)"/>
        <s v="SBI Consumption Opp Fund-Reg(G)"/>
        <s v="SBI Consumption Opp Fund-Reg(IDCW)"/>
        <s v="Franklin Build India Fund(G)"/>
        <s v="IDFC Corp Bond Fund-Reg(IDCW)"/>
        <s v="SBI Short Term Debt Fund-Reg(G)"/>
        <s v="IDFC G-Sec-Constant Maturity Plan-Reg(G)"/>
        <s v="SBI Short Term Debt Fund-Reg(M-IDCW)"/>
        <s v="SBI Short Term Debt Fund-Reg(FN-IDCW)"/>
        <s v="SBI Short Term Debt Fund-Reg(W-IDCW)"/>
        <s v="IDFC Core Equity Fund-Reg(IDCW)"/>
        <s v="Franklin India Corp Debt Fund-A(M-IDCW)"/>
        <s v="UTI Floater Fund-Reg(G)"/>
        <s v="UTI Floater Fund-Reg(A-IDCW)"/>
        <s v="DSP Equity &amp; Bond Fund-Reg(IDCW)"/>
        <s v="PGIM India Ultra Short Duration Fund(G)"/>
        <s v="SBI Banking and PSU Fund-Reg(G)"/>
        <s v="Franklin India Corp Debt Fund-A(Q-IDCW)"/>
        <s v="UTI Ultra Short Term Fund-Reg(G)"/>
        <s v="Indiabulls Dynamic Bond Fund-Reg(G)"/>
        <s v="UTI Floater Fund-Reg(Q-IDCW)"/>
        <s v="HDFC Capital Builder Value Fund(G)"/>
        <s v="UTI Ultra Short Term Fund-Reg(W-IDCW)"/>
        <s v="PGIM India Ultra Short Duration Fund(W-IDCW)"/>
        <s v="Baroda BNP Paribas Corp Bond Fund(M-IDCW)"/>
        <s v="PGIM India Ultra Short Duration Fund(DD-IDCW)"/>
        <s v="DSP Natural Res &amp; New Energy Fund-Reg(IDCW)"/>
        <s v="UTI Ultra Short Term Fund-Reg(DD-IDCW)"/>
        <s v="SBI Banking and PSU Fund-Reg(DD-IDCW)"/>
        <s v="Aditya Birla SL Dynamic Bond Fund-Reg(Q-IDCW)"/>
        <s v="Aditya Birla SL Dynamic Bond Fund-Reg(M-IDCW)"/>
        <s v="Aditya Birla SL Dynamic Bond Fund-Reg(G)"/>
        <s v="UTI Hybrid Equity Fund-Reg(IDCW)"/>
        <s v="Indiabulls Dynamic Bond Fund-Reg(DD-IDCW)"/>
        <s v="Franklin India Equity Advantage Fund(G)"/>
        <s v="Indiabulls Dynamic Bond Fund-Reg(M-IDCW)"/>
        <s v="Franklin India Corp Debt Fund-A(H-IDCW)"/>
        <s v="HSBC Flexi Cap Fund-Reg(G)"/>
        <s v="UTI Arbitrage Fund-Reg(G)"/>
        <s v="IDFC G-Sec-Constant Maturity Plan-Reg(Q-IDCW)"/>
        <s v="PGIM India Ultra Short Duration Fund(M-IDCW)"/>
        <s v="Aditya Birla SL Income Fund(G)"/>
        <s v="UTI Bond Fund-Reg(G)"/>
        <s v="UTI Bond Fund-Reg(Q-IDCW)"/>
        <s v="IDFC G-Sec-Constant Maturity Plan-Reg(M-IDCW)"/>
        <s v="Indiabulls Dynamic Bond Fund-Reg(FN-IDCW)"/>
        <s v="Indiabulls Dynamic Bond Fund-Reg(W-IDCW)"/>
        <s v="Mirae Asset Savings Fund-Reg Savings Plan(Q-IDCW)"/>
        <s v="Union Long Term Equity Fund(G)"/>
        <s v="SBI Magnum Gilt Fund-Reg(IDCW)"/>
        <s v="Baroda BNP Paribas Large Cap Fund-Reg(G)"/>
        <s v="SBI Magnum Gilt Fund-Reg(G)"/>
        <s v="Edelweiss Flexi Cap Fund-Reg(IDCW)"/>
        <s v="Edelweiss Flexi Cap Fund-Reg(G)"/>
        <s v="UTI Floater Fund-Reg(F-IDCW)"/>
        <s v="LIC MF Banking &amp; PSU Debt Fund(DD-IDCW)"/>
        <s v="DSP US Flexible Equity Fund-Reg(G)"/>
        <s v="Union Long Term Equity Fund(IDCW)"/>
        <s v="Franklin Build India Fund(IDCW)"/>
        <s v="LIC MF Banking &amp; PSU Debt Fund(G)"/>
        <s v="Aditya Birla SL Income Fund(Q-IDCW)"/>
        <s v="Franklin India Equity Advantage Fund(IDCW)"/>
        <s v="LIC MF Banking &amp; PSU Debt Fund(W-IDCW)"/>
        <s v="SBI Infrastructure Fund-Reg(G)"/>
        <s v="SBI Infrastructure Fund-Reg(IDCW)"/>
        <s v="LIC MF Bond Fund-Reg(IDCW)"/>
        <s v="LIC MF Bond Fund-Reg(G)"/>
        <s v="UTI Floater Fund-Reg(H-IDCW)"/>
        <s v="LIC MF Banking &amp; PSU Debt Fund(M-IDCW)"/>
        <s v="Invesco India Banking &amp; PSU Debt Fund(DD-IDCW)"/>
        <s v="Sundaram Short Duration Fund(M-IDCW)"/>
        <s v="Sundaram Short Duration Fund(G)"/>
        <s v="ICICI Pru Short Term Fund(G)"/>
        <s v="Sundaram Arbitrage Fund(G)"/>
        <s v="Aditya Birla SL Equity Hybrid '95 Fund(G)"/>
        <s v="Invesco India Banking &amp; PSU Debt Fund(G)"/>
        <s v="Tata India Pharma &amp; Healthcare Fund-Reg(G)"/>
        <s v="Tata India Pharma &amp; Healthcare Fund-Reg(IDCW)"/>
        <s v="UTI Arbitrage Fund-Reg(IDCW)"/>
        <s v="ICICI Pru Short Term Fund(M-IDCW)"/>
        <s v="Axis Flexi Cap Fund-Reg(G)"/>
        <s v="Franklin India Corp Debt Fund-A(A-IDCW)"/>
        <s v="Axis Short Term Fund-Reg(G)"/>
        <s v="Aditya Birla SL Midcap Fund(G)"/>
        <s v="Aditya Birla SL Short Term Fund(G)"/>
        <s v="HSBC Low Duration Fund-Reg(G)"/>
        <s v="Aditya Birla SL Short Term Fund(IDCW)"/>
        <s v="Invesco India Banking &amp; PSU Debt Fund(M-IDCW)"/>
        <s v="Tata Banking &amp; Financial Services Fund-Reg(IDCW)"/>
        <s v="Tata Hybrid Equity Fund-Reg(G)"/>
        <s v="Tata Banking &amp; Financial Services Fund-Reg(G)"/>
        <s v="Axis Short Term Fund-Reg(M-IDCW)"/>
        <s v="Sundaram Arbitrage Fund(M-IDCW)"/>
        <s v="HSBC Low Duration Fund-Reg(IDCW)"/>
        <s v="ICICI Pru Equity-Arbitrage Fund(G)"/>
        <s v="Axis Flexi Cap Fund-Reg(IDCW)"/>
        <s v="Aditya Birla SL Equity Hybrid '95 Fund(IDCW-Reinv)"/>
        <s v="Kotak Equity Arbitrage Fund(G)"/>
        <s v="DSP US Flexible Equity Fund-Reg(IDCW)"/>
        <s v="Axis Strategic Bond Fund-Reg(G)"/>
        <s v="Aditya Birla SL Balanced Advantage Fund(G)"/>
        <s v="Tata Large Cap Fund-Reg(G)"/>
        <s v="HDFC Arbitrage-WP(G)"/>
        <s v="Tata Large Cap Fund-Reg(IDCW)"/>
        <s v="Mirae Asset Savings Fund-Reg Savings Plan(G)"/>
        <s v="ICICI Pru Exports &amp; Services Fund(G)"/>
        <s v="Quant Liquid Plan(M-IDCW)"/>
        <s v="HDFC TaxSaver(G)"/>
        <s v="HSBC Midcap Fund-Reg(G)"/>
        <s v="Mirae Asset Savings Fund-Reg Savings Plan(W-IDCW)"/>
        <s v="Invesco India Ultra Short Term Fund(G)"/>
        <s v="PGIM India Corp Bond Fund(G)"/>
        <s v="Quant Liquid Plan(W-IDCW)"/>
        <s v="Mirae Asset Savings Fund-Reg Savings Plan(DD-IDCW)"/>
        <s v="Mirae Asset Savings Fund-Reg Savings Plan(M-IDCW)"/>
        <s v="DSP 10Y G-Sec Fund-Reg(IDCW)"/>
        <s v="Invesco India Ultra Short Term Fund(Q-IDCW)"/>
        <s v="Invesco India Ultra Short Term Fund(M-IDCW)"/>
        <s v="HDFC Capital Builder Value Fund(IDCW)"/>
        <s v="Sundaram Ultra Short Duration Fund(W-IDCW)"/>
        <s v="PGIM India Corp Bond Fund(M-IDCW)"/>
        <s v="HSBC Arbitrage Fund-Reg(G)"/>
        <s v="Baroda BNP Paribas Large Cap Fund-Reg(IDCW)"/>
        <s v="DSP Arbitrage Fund-Reg(G)"/>
        <s v="Axis Strategic Bond Fund-Reg(Q-IDCW)"/>
        <s v="LIC MF Large &amp; Midcap Fund-Reg(G)"/>
        <s v="SBI Multi Asset Allocation Fund-Reg(G)"/>
        <s v="ICICI Pru Exports &amp; Services Fund(IDCW)"/>
        <s v="LIC MF Large &amp; Midcap Fund-Reg(IDCW)"/>
        <s v="ICICI Pru Equity-Arbitrage Fund(IDCW)"/>
        <s v="SBI Magnum Low Duration Fund-Reg(G)"/>
        <s v="PGIM India Corp Bond Fund(Q-IDCW)"/>
        <s v="Axis Strategic Bond Fund-Reg(H-IDCW)"/>
        <s v="Bank of India Mid &amp; Small Cap Equity &amp; Debt Fund-Reg(G)"/>
        <s v="IDFC Equity Savings Fund-Reg(G)"/>
        <s v="SBI Magnum Low Duration Fund-Reg(FN-IDCW)"/>
        <s v="Navi Large &amp; Midcap Fund-Reg(IDCW)"/>
        <s v="Navi Large &amp; Midcap Fund-Reg(G)"/>
        <s v="Bank of India Mid &amp; Small Cap Equity &amp; Debt Fund-Reg(IDCW)"/>
        <s v="SBI Magnum Low Duration Fund-Reg(M-IDCW)"/>
        <s v="Kotak Equity Arbitrage Fund(M-IDCW)"/>
        <s v="HDFC Low Duration Fund(G)"/>
        <s v="Nippon India Low Duration Fund(G)"/>
        <s v="SBI Magnum Low Duration Fund-Reg(DD-IDCW)"/>
        <s v="SBI Magnum Low Duration Fund-Reg(W-IDCW)"/>
        <s v="Aditya Birla SL Midcap Fund(IDCW)"/>
        <s v="HDFC Arbitrage-WP(M-IDCW)"/>
        <s v="DSP Equity Savings Fund-Reg(G)"/>
        <s v="Axis Long Term Equity Fund-Reg(G)"/>
        <s v="HDFC Arbitrage-WP(IDCW)"/>
        <s v="Axis Long Term Equity Fund-Reg(IDCW)"/>
        <s v="HDFC Low Duration Fund(DD-IDCW)"/>
        <s v="HDFC Low Duration Fund(M-IDCW)"/>
        <s v="IDFC Equity Savings Fund-Reg(M-IDCW)"/>
        <s v="Kotak Debt Hybrid Fund(G)"/>
        <s v="Nippon India Low Duration Fund(DD-IDCW)"/>
        <s v="Nippon India Low Duration Fund(Q-IDCW)"/>
        <s v="Nippon India Low Duration Fund(M-IDCW)"/>
        <s v="UTI Regular Savings Fund-Reg(MP)"/>
        <s v="Nippon India Low Duration Fund(W-IDCW)"/>
        <s v="Sundaram Tax Savings Fund-Reg(G)"/>
        <s v="Sundaram Tax Savings Fund-Reg(H-IDCW)"/>
        <s v="HDFC Low Duration Fund(W-IDCW)"/>
        <s v="Aditya Birla SL Balanced Advantage Fund(IDCW-Payout)"/>
        <s v="Tata Hybrid Equity Fund-Reg(IDCW)"/>
        <s v="DSP Short Term Fund-Reg(G)"/>
        <s v="DSP India T.I.G.E.R Fund-Reg(G)"/>
        <s v="Axis Gilt Fund-Reg(G)"/>
        <s v="HSBC Equity Savings Fund-Reg(G)"/>
        <s v="Bank of India Mfg &amp; Infra Fund-Reg(G)"/>
        <s v="Aditya Birla SL G-Sec Fund(G)"/>
        <s v="DSP Equity Savings Fund-Reg(IDCW)"/>
        <s v="JM Dynamic Bond Fund-Reg(IDCW)"/>
        <s v="JM Dynamic Bond Fund-Reg(G)"/>
        <s v="SBI Banking &amp; Financial Services Fund-Reg(IDCW-Payout)"/>
        <s v="HSBC Arbitrage Fund-Reg(Q-IDCW Payout)"/>
        <s v="HSBC Arbitrage Fund-Reg(M-IDCW Payout)"/>
        <s v="SBI Banking &amp; Financial Services Fund-Reg(G)"/>
        <s v="Tata Hybrid Equity Fund-Reg(M-IDCW)"/>
        <s v="IDFC Money Manager Fund-Reg(G)"/>
        <s v="Aditya Birla SL Arbitrage Fund(G)"/>
        <s v="HDFC Focused 30 Fund(G)"/>
        <s v="ICICI Pru Gilt Fund(IDCW)"/>
        <s v="ICICI Pru Gilt Fund(G)"/>
        <s v="Invesco India Arbitrage Fund(G)"/>
        <s v="UTI Retirement Benefit Pension"/>
        <s v="IDFC Money Manager Fund-Reg(W-IDCW)"/>
        <s v="HDFC Multi-Asset Fund(G)"/>
        <s v="Sundaram Aggressive Hybrid Fund(G)"/>
        <s v="Aditya Birla SL G-Sec Fund(Q-IDCW)"/>
        <s v="IDFC Flexi Cap Fund-Reg(G)"/>
        <s v="HSBC Midcap Fund-Reg(IDCW)"/>
        <s v="Edelweiss Arbitrage Fund-Reg(G)"/>
        <s v="Axis Arbitrage Fund-Reg(G)"/>
        <s v="DSP Arbitrage Fund-Reg(M-IDCW)"/>
        <s v="IDFC Money Manager Fund-Reg(M-IDCW)"/>
        <s v="IDFC Money Manager Fund-Reg(DD-IDCW)"/>
        <s v="HSBC Equity Savings Fund-Reg(Q-IDCW)"/>
        <s v="UTI Gilt Fund-Reg(IDCW)"/>
        <s v="UTI Gilt Fund-Reg(G)"/>
        <s v="DSP Regular Savings Fund-Reg(G)"/>
        <s v="PGIM India Corp Bond Fund(A-IDCW)"/>
        <s v="SBI Multi Asset Allocation Fund-Reg(M-IDCW)"/>
        <s v="Franklin India Floating Rate Fund(G)"/>
        <s v="SBI Multi Asset Allocation Fund-Reg(Q-IDCW)"/>
        <s v="Tata India Consumer Fund-Reg(IDCW)"/>
        <s v="IDFC Arbitrage Fund-Reg(G)"/>
        <s v="PGIM India Arbitrage Fund-Reg(G)"/>
        <s v="SBI Multi Asset Allocation Fund-Reg(A-IDCW)"/>
        <s v="HSBC Equity Savings Fund-Reg(M-IDCW)"/>
        <s v="JM Tax Gain Fund(IDCW)"/>
        <s v="JM Tax Gain Fund(G)"/>
        <s v="Nippon India Ultra Short Duration Fund(DD-IDCW)"/>
        <s v="Sundaram Small Cap Fund(G)"/>
        <s v="Baroda BNP Paribas Low Duration Fund(G)"/>
        <s v="Nippon India Ultra Short Duration Fund(M-IDCW)"/>
        <s v="Nippon India Ultra Short Duration Fund(G)"/>
        <s v="Nippon India Ultra Short Duration Fund(W-IDCW)"/>
        <s v="Aditya Birla SL Arbitrage Fund(IDCW)"/>
        <s v="Tata India Consumer Fund-Reg(G)"/>
        <s v="Motilal Oswal Long Term Equity Fund-Reg(G)"/>
        <s v="Invesco India Arbitrage Fund(IDCW)"/>
        <s v="Quant Liquid Plan(DD-IDCW)"/>
        <s v="IDBI India Top 100 Equity Fund(G)"/>
        <s v="Sundaram Dividend Yield Fund(G)"/>
        <s v="Baroda BNP Paribas Arbitrage Fund-Reg(G)"/>
        <s v="Axis Gilt Fund-Reg(H-IDCW)"/>
        <s v="Sundaram Dividend Yield Fund(H-IDCW)"/>
        <s v="Motilal Oswal Long Term Equity Fund-Reg(IDCW)"/>
        <s v="Edelweiss Arbitrage Fund-Reg(IDCW)"/>
        <s v="JM Equity Hybrid Fund(G)"/>
        <s v="JM Equity Hybrid Fund(IDCW)"/>
        <s v="JM Equity Hybrid Fund(M-IDCW)"/>
        <s v="Baroda BNP Paribas Aggressive Hybrid Fund-Reg(G)"/>
        <s v="Invesco India Ultra Short Term Fund(A-IDCW)"/>
        <s v="HDFC Gilt Fund(G)"/>
        <s v="Sundaram Focused Fund(G)"/>
        <s v="IDBI India Top 100 Equity Fund(IDCW)"/>
        <s v="Axis Arbitrage Fund-Reg(IDCW)"/>
        <s v="Baroda BNP Paribas Aggressive Hybrid Fund-Reg(IDCW)"/>
        <s v="IDFC Large Cap Fund-Reg(G)"/>
        <s v="Canara Rob Corp Bond Fund-Reg(IDCW)"/>
        <s v="Canara Rob Corp Bond Fund-Reg(G)"/>
        <s v="DSP Short Term Fund-Reg(IDCW)"/>
        <s v="Baroda BNP Paribas Low Duration Fund(W-IDCW)"/>
        <s v="IDFC Flexi Cap Fund-Reg(IDCW)"/>
        <s v="HDFC TaxSaver(IDCW)"/>
        <s v="Edelweiss Arbitrage Fund-Reg(M-IDCW)"/>
        <s v="Baroda BNP Paribas Low Duration Fund(DD-IDCW)"/>
        <s v="HDFC Multi-Asset Fund(IDCW)"/>
        <s v="PGIM India Arbitrage Fund-Reg(IDCW)"/>
        <s v="Canara Rob Ultra Short Term Fund-Reg(G)"/>
        <s v="Franklin India Floating Rate Fund(IDCW)"/>
        <s v="Canara Rob Ultra Short Term Fund-Reg(DD-IDCW)"/>
        <s v="Canara Rob Short Duration Fund-Reg(G)"/>
        <s v="IDFC Arbitrage Fund-Reg(M-IDCW)"/>
        <s v="HDFC Gilt Fund(IDCW)"/>
        <s v="Mahindra Manulife ELSS Kar Bachat Yojana-Reg(G)"/>
        <s v="Mahindra Manulife ELSS Kar Bachat Yojana-Reg(IDCW)"/>
        <s v="Canara Rob Ultra Short Term Fund-Reg(W-IDCW)"/>
        <s v="DSP India T.I.G.E.R Fund-Reg(IDCW)"/>
        <s v="Baroda BNP Paribas Arbitrage Fund-Reg(IDCW)"/>
        <s v="Canara Rob Short Duration Fund-Reg(M-IDCW)"/>
        <s v="ICICI Pru Regular Savings Fund(G)"/>
        <s v="WOC Ultra Short Term Fund-Reg(G)"/>
        <s v="Nippon India Arbitrage Fund(G)"/>
        <s v="Franklin India Debt Hybrid Fund(G)"/>
        <s v="Edelweiss Money Market Fund-Reg(IDCW)"/>
        <s v="Edelweiss Money Market Fund-Reg(G)"/>
        <s v="Sundaram Mid Cap Fund-Reg(G)"/>
        <s v="ICICI Pru Bond Fund(G)"/>
        <s v="Bank of India Mfg &amp; Infra Fund-Reg(IDCW)"/>
        <s v="HSBC Large Cap Fund(G)"/>
        <s v="Sundaram Small Cap Fund(IDCW)"/>
        <s v="WOC Ultra Short Term Fund-Reg(M-IDCW Payout)"/>
        <s v="Nippon India Consumption Fund(G)"/>
        <s v="Union Balanced Advantage Fund-Reg(IDCW)"/>
        <s v="Union Balanced Advantage Fund-Reg(G)"/>
        <s v="IDFC Large Cap Fund-Reg(IDCW)"/>
        <s v="HDFC Focused 30 Fund(IDCW)"/>
        <s v="Kotak Infra &amp; Eco Reform Fund(G)"/>
        <s v="Bank of India Mfg &amp; Infra Fund-Reg(Q-IDCW)"/>
        <s v="Nippon India Arbitrage Fund(IDCW)"/>
        <s v="Baroda BNP Paribas Low Duration Fund(M-IDCW)"/>
        <s v="Nippon India Balanced Advantage Fund(G)"/>
        <s v="Nippon India Balanced Advantage Fund(B)"/>
        <s v="ICICI Pru Bond Fund(H-IDCW Payout)"/>
        <s v="ICICI Pru Bond Fund(M-IDCW)"/>
        <s v="Invesco India Tax Plan(IDCW)"/>
        <s v="WOC Ultra Short Term Fund-Reg(DD-IDCW)"/>
        <s v="HSBC Large Cap Fund(IDCW)"/>
        <s v="Franklin India Equity Hybrid Fund(G)"/>
        <s v="IDBI Midcap Fund(IDCW)"/>
        <s v="Templeton India Value Fund(G)"/>
        <s v="Invesco India Tax Plan(G)"/>
        <s v="Kotak Debt Hybrid Fund(M-IDCW)"/>
        <s v="Nippon India Arbitrage Fund(M-IDCW)"/>
        <s v="HSBC Aggressive Hybrid Fund-Reg(G)"/>
        <s v="Nippon India Short Term Fund(G)"/>
        <s v="DSP G-Sec Fund-Reg(IDCW)"/>
        <s v="Canara Rob Short Duration Fund-Reg(Q-IDCW)"/>
        <s v="UTI Core Equity Fund-Reg(G)"/>
        <s v="UTI Core Equity Fund-Reg(IDCW)"/>
        <s v="IDBI Flexi Cap Fund(G)"/>
        <s v="ICICI Pru Bond Fund(Q-IDCW)"/>
        <s v="ICICI Pru Regular Savings Fund(M-IDCW)"/>
        <s v="DSP Ultra Short Fund-Reg(G)"/>
        <s v="Axis Gilt Fund-Reg(IDCW)"/>
        <s v="Franklin India Opportunities Fund(G)"/>
        <s v="HSBC ELSS Fund-Reg(G)"/>
        <s v="SBI Magnum Medium Duration Fund-Reg(IDCW)"/>
        <s v="SBI Magnum Medium Duration Fund-Reg(G)"/>
        <s v="Axis Triple Advantage Fund-Reg(G)"/>
        <s v="Franklin India Equity Hybrid Fund(IDCW)"/>
        <s v="Canara Rob Infrastructure Fund-Reg(G)"/>
        <s v="Nippon India Short Term Fund(M-IDCW)"/>
        <s v="IDBI Flexi Cap Fund(IDCW)"/>
        <s v="Axis Triple Advantage Fund-Reg(IDCW)"/>
        <s v="Nippon India Vision Fund(G)"/>
        <s v="HSBC Aggressive Hybrid Fund-Reg(A-IDCW Payout)"/>
        <s v="Sundaram Mid Cap Fund-Reg(IDCW)"/>
        <s v="DSP Ultra Short Fund-Reg(W-IDCW)"/>
        <s v="Taurus Ethical Fund-Reg(IDCW)"/>
        <s v="JM Value Fund(IDCW)"/>
        <s v="JM Value Fund(G)"/>
        <s v="Tata Retirement Sav Fund - Prog Plan(G)"/>
        <s v="DSP G-Sec Fund-Reg(G)"/>
        <s v="Taurus Ethical Fund-Reg(G)"/>
        <s v="Nippon India Short Term Fund(Q-IDCW)"/>
        <s v="Nippon India Consumption Fund(IDCW)"/>
        <s v="ICICI Pru All Seasons Bond Fund(G)"/>
        <s v="ICICI Pru All Seasons Bond Fund(Q-IDCW)"/>
        <s v="ICICI Pru All Seasons Bond Fund(IDCW)"/>
        <s v="Edelweiss Large Cap Fund-Reg(G)"/>
        <s v="UTI CCF - Savings Plan"/>
        <s v="Taurus Discovery (Midcap) Fund-Reg(G)"/>
        <s v="Taurus Discovery (Midcap) Fund-Reg(IDCW)"/>
        <s v="Nippon India Balanced Advantage Fund(IDCW)"/>
        <s v="Kotak Low Duration Fund(G)"/>
        <s v="Invesco India Largecap Fund(G)"/>
        <s v="Aditya Birla SL Global Excellence Equity FoF(G)"/>
        <s v="Canara Rob Conservative Hybrid Fund-Reg(G)"/>
        <s v="Kotak Low Duration Fund(IDCW)"/>
        <s v="Aditya Birla SL Low Duration Fund(G)"/>
        <s v="Tata Young Citizen Fund"/>
        <s v="JM Flexicap Fund-Reg(G)"/>
        <s v="Baroda BNP Paribas Medium Duration Fund-Reg(H-IDCW)"/>
        <s v="Baroda BNP Paribas Medium Duration Fund-Reg(A-IDCW)"/>
        <s v="Baroda BNP Paribas Medium Duration Fund-Reg(G)"/>
        <s v="Baroda BNP Paribas Medium Duration Fund-Reg(Q-IDCW)"/>
        <s v="HSBC ELSS Fund-Reg(IDCW)"/>
        <s v="Tata ST Bond Fund(G)"/>
        <s v="DSP Regular Savings Fund-Reg(Q-IDCW)"/>
        <s v="Kotak Bond Short Term Fund(G)"/>
        <s v="ICICI Pru Regular Savings Fund(Q-IDCW)"/>
        <s v="Tata ST Bond Fund(P-IDCW)"/>
        <s v="HDFC Hybrid Debt Fund(G)"/>
        <s v="JM Arbitrage Fund(IDCW)"/>
        <s v="JM Arbitrage Fund(G)"/>
        <s v="Aditya Birla SL Low Duration Fund(W-IDCW)"/>
        <s v="Aditya Birla SL Low Duration Fund(DD-IDCW)"/>
        <s v="Tata ST Bond Fund(M-IDCW)"/>
        <s v="Canara Rob Infrastructure Fund-Reg(IDCW)"/>
        <s v="Franklin India Opportunities Fund(IDCW)"/>
        <s v="Baroda BNP Paribas Medium Duration Fund-Reg(M-IDCW)"/>
        <s v="Mirae Asset Short Term Fund-Reg(IDCW)"/>
        <s v="Mirae Asset Short Term Fund-Reg(G)"/>
        <s v="Franklin India Feeder - Franklin U.S. Opportunities Fund(G)"/>
        <s v="Franklin India Feeder - Franklin U.S. Opportunities Fund(IDCW)"/>
        <s v="Templeton India Value Fund(IDCW)"/>
        <s v="HDFC Retirement Savings Fund-Hybrid-Equity Plan-Reg(G)"/>
        <s v="JM Flexicap Fund-Reg(IDCW)"/>
        <s v="Sundaram Aggressive Hybrid Fund(M-IDCW)"/>
        <s v="Franklin India G-Sec Fund(G)"/>
        <s v="Nippon India Vision Fund(IDCW)"/>
        <s v="Edelweiss Large Cap Fund-Reg(IDCW)"/>
        <s v="ICICI Pru Dividend Yield Equity Fund(IDCW-Payout)"/>
        <s v="Tata Ultra Short Term Fund-Reg(M-IDCW)"/>
        <s v="Tata Resources &amp; Energy Fund-Reg(G)"/>
        <s v="ICICI Pru Floating Interest Fund(G)"/>
        <s v="DSP Strategic Bond Fund-Reg(G)"/>
        <s v="Tata Ultra Short Term Fund-Reg(G)"/>
        <s v="Mahindra Manulife Low Duration Fund-Reg(G)"/>
        <s v="ICICI Pru Floating Interest Fund(W-IDCW)"/>
        <s v="Tata Resources &amp; Energy Fund-Reg(IDCW)"/>
        <s v="UTI Regular Savings Fund-Reg(G)"/>
        <s v="Baroda BNP Paribas Credit Risk Fund-Reg(G)"/>
        <s v="Baroda BNP Paribas Credit Risk Fund-Reg(Q-IDCW)"/>
        <s v="Mahindra Manulife Low Duration Fund-Reg(DD-IDCW)"/>
        <s v="Edelweiss Government Securities Fund-Reg(G)"/>
        <s v="Tata Ultra Short Term Fund-Reg(W-IDCW)"/>
        <s v="Edelweiss Government Securities Fund-Reg(IDCW)"/>
        <s v="ICICI Pru Floating Interest Fund(DD-IDCW)"/>
        <s v="Mahindra Manulife Low Duration Fund-Reg(M-IDCW)"/>
        <s v="Baroda BNP Paribas Credit Risk Fund-Reg(M-IDCW)"/>
        <s v="Tata Retirement Sav Fund - Mod Plan(G)"/>
        <s v="Mahindra Manulife Low Duration Fund-Reg(W-IDCW)"/>
        <s v="ICICI Pru Medium Term Bond Fund(Q-IDCW)"/>
        <s v="ICICI Pru Medium Term Bond Fund(G)"/>
        <s v="Axis Ultra Short Term Fund-Reg(IDCW)"/>
        <s v="Axis Ultra Short Term Fund-Reg(G)"/>
        <s v="Axis Ultra Short Term Fund-Reg(M-IDCW)"/>
        <s v="Axis Ultra Short Term Fund-Reg(DD-IDCW)"/>
        <s v="Axis Ultra Short Term Fund-Reg(W-IDCW)"/>
        <s v="ICICI Pru FMCG Fund(G)"/>
        <s v="Nippon India Banking &amp; Financial Services Fund(G)"/>
        <s v="Franklin India Debt Hybrid Fund(Q-IDCW)"/>
        <s v="Aditya Birla SL Regular Savings Fund(Payment)"/>
        <s v="Aditya Birla SL Regular Savings Fund(G)"/>
        <s v="Edelweiss Aggressive Hybrid Fund-Reg(G)"/>
        <s v="Franklin India G-Sec Fund(IDCW)"/>
        <s v="Edelweiss Government Securities Fund-Reg(M-IDCW)"/>
        <s v="ICICI Pru FMCG Fund(IDCW)"/>
        <s v="JM Medium to Long Duration Fund-Reg(Q-IDCW)"/>
        <s v="JM Medium to Long Duration Fund-Reg(G)"/>
        <s v="ICICI Pru Banking &amp; Fin Serv Fund(G)"/>
        <s v="Invesco India Short Term Fund(G)"/>
        <s v="UTI Regular Savings Fund-Reg(F-IDCW)"/>
        <s v="Invesco India Short Term Fund(W-IDCW)"/>
        <s v="ICICI Pru Credit Risk Fund(G)"/>
        <s v="Nippon India Banking &amp; Financial Services Fund(IDCW)"/>
        <s v="HDFC Medium Term Debt Fund(G)"/>
        <s v="ICICI Pru Credit Risk Fund(Q-IDCW)"/>
        <s v="Franklin India Debt Hybrid Fund(M-IDCW)"/>
        <s v="Mirae Asset Dynamic Bond Fund-Reg(IDCW)"/>
        <s v="Mirae Asset Dynamic Bond Fund-Reg(G)"/>
        <s v="Baroda BNP Paribas ELSS Fund-Reg(G)"/>
        <s v="Invesco India Short Term Fund(M-IDCW)"/>
        <s v="Aditya Birla SL Dividend Yield Fund(G)"/>
        <s v="HDFC Medium Term Debt Fund(FN-IDCW)"/>
        <s v="Franklin India Technology Fund(G)"/>
        <s v="Indiabulls Arbitrage Fund-Reg(G)"/>
        <s v="DSP Strategic Bond Fund-Reg(IDCW)"/>
        <s v="DSP Global Allocation Fund-Reg(IDCW)"/>
        <s v="DSP Global Allocation Fund-Reg(G)"/>
        <s v="Franklin India Technology Fund(IDCW)"/>
        <s v="Edelweiss Long Term Equity Fund (Tax Savings)-Reg(G)"/>
        <s v="IDBI Focused 30 Equity Fund-Reg(IDCW)"/>
        <s v="IDBI Focused 30 Equity Fund-Reg(G)"/>
        <s v="Baroda BNP Paribas ELSS Fund-Reg(IDCW)"/>
        <s v="Nippon India Power &amp; Infra Fund(G)"/>
        <s v="JM Large Cap Fund-Reg(G)"/>
        <s v="Canara Rob Conservative Hybrid Fund-Reg(M-IDCW)"/>
        <s v="UTI Regular Savings Fund-Reg(M-IDCW)"/>
        <s v="Aditya Birla SL Equity Advantage Fund(G)"/>
        <s v="IDFC Balanced Advantage Fund-Reg(G)"/>
        <s v="PGIM India Short Duration Fund(G)"/>
        <s v="Nippon India Tax Saver (ELSS) Fund(G)"/>
        <s v="Aditya Birla SL Equity Advantage Fund(IDCW)"/>
        <s v="IDFC G-Sec-Invest-Reg(G)"/>
        <s v="HSBC Infrastructure Fund-Reg(IDCW)"/>
        <s v="Edelweiss Aggressive Hybrid Fund-Reg(IDCW)"/>
        <s v="HSBC Infrastructure Fund-Reg(G)"/>
        <s v="Sundaram Low Duration Fund(G)"/>
        <s v="Sundaram Low Duration Fund(M-IDCW)"/>
        <s v="Sundaram Low Duration Fund(W-IDCW)"/>
        <s v="Sundaram Low Duration Fund(DD-IDCW)"/>
        <s v="PGIM India Short Duration Fund(M-IDCW)"/>
        <s v="Motilal Oswal Focused Fund-Reg(G)"/>
        <s v="HDFC Hybrid Debt Fund(M-IDCW)"/>
        <s v="Edelweiss Long Term Equity Fund (Tax Savings)-Reg(IDCW)"/>
        <s v="HDFC Hybrid Debt Fund(Q-IDCW)"/>
        <s v="Aditya Birla SL Dividend Yield Fund(IDCW)"/>
        <s v="ICICI Pru Banking &amp; Fin Serv Fund(IDCW)"/>
        <s v="IDFC Balanced Advantage Fund-Reg(IDCW)"/>
        <s v="Canara Rob Gilt Fund-Reg(G)"/>
        <s v="Canara Rob Gilt Fund-Reg(IDCW)"/>
        <s v="Indiabulls Arbitrage Fund-Reg(M-IDCW)"/>
        <s v="Nippon India Tax Saver (ELSS) Fund(IDCW)"/>
        <s v="HDFC Equity Savings Fund(G)"/>
        <s v="IDFC G-Sec-Invest-Reg(Q-IDCW)"/>
        <s v="DSP Dynamic Asset Allocation Fund-Reg(G)"/>
        <s v="Sundaram Equity Savings Fund(G)"/>
        <s v="DSP Top 100 Equity Fund-Reg(G)"/>
        <s v="IDBI Credit Risk Fund(A-IDCW)"/>
        <s v="Kotak Dynamic Bond Fund-Reg(G)"/>
        <s v="IDBI Credit Risk Fund(G)"/>
        <s v="IDBI Credit Risk Fund(Q-IDCW)"/>
        <s v="Edelweiss Equity Savings Fund-Reg(G)"/>
        <s v="DSP Focus Fund-Reg(G)"/>
        <s v="Motilal Oswal Focused Fund-Reg(IDCW)"/>
        <s v="Aditya Birla SL Regular Savings Fund(M-IDCW)"/>
        <s v="Taurus Infrastructure Fund-Reg(G)"/>
        <s v="UTI Healthcare Fund-Reg(IDCW)"/>
        <s v="UTI Healthcare Fund-Reg(G)"/>
        <s v="Sundaram Equity Savings Fund(Q-IDCW)"/>
        <s v="Sundaram Equity Savings Fund(H-IDCW)"/>
        <s v="DSP Focus Fund-Reg(IDCW)"/>
        <s v="IDFC G-Sec-Invest-Reg(H-IDCW)"/>
        <s v="Kotak Equity Savings Fund(G)"/>
        <s v="Aditya Birla SL Banking &amp; Financial Services Fund-Reg(G)"/>
        <s v="SBI Credit Risk Fund-Reg(IDCW)"/>
        <s v="SBI Credit Risk Fund-Reg(G)"/>
        <s v="HDFC Credit Risk Debt Fund-(G)"/>
        <s v="HSBC Managed Solutions India-Conservative(IDCW)"/>
        <s v="HSBC Managed Solutions India-Conservative(G)"/>
        <s v="Edelweiss Equity Savings Fund-Reg(IDCW)"/>
        <s v="HDFC Equity Savings Fund(IDCW)"/>
        <s v="Canara Rob Conservative Hybrid Fund-Reg(Q-IDCW)"/>
        <s v="Nippon India Power &amp; Infra Fund(IDCW)"/>
        <s v="HDFC Credit Risk Debt Fund-(Q-IDCW)"/>
        <s v="Union Largecap Fund-Reg(G)"/>
        <s v="Aditya Birla SL Tax Relief '96(G)"/>
        <s v="UTI Infrastructure Fund-Reg(IDCW)"/>
        <s v="UTI Infrastructure Fund-Reg(G)"/>
        <s v="DSP Dynamic Asset Allocation Fund-Reg(M-IDCW)"/>
        <s v="IDFC Hybrid Equity Fund-Reg(G)"/>
        <s v="Kotak Equity Savings Fund(M-IDCW Payout)"/>
        <s v="UTI MNC Fund-Reg(G)"/>
        <s v="DSP Top 100 Equity Fund-Reg(IDCW)"/>
        <s v="UTI MNC Fund-Reg(IDCW)"/>
        <s v="Aditya Birla SL Banking &amp; Financial Services Fund-Reg(IDCW)"/>
        <s v="IDFC Hybrid Equity Fund-Reg(IDCW)"/>
        <s v="SBI Magnum Income Fund-Reg(G)"/>
        <s v="SBI Magnum Income Fund-Reg(IDCW)"/>
        <s v="LIC MF Large Cap Fund-Reg(G)"/>
        <s v="UTI Multi Asset Fund-Reg(G)"/>
        <s v="Invesco India Gilt Fund(G)"/>
        <s v="Invesco India Gilt Fund(M-IDCW)"/>
        <s v="Axis Children's Gift Fund-Compulsory Lock in-Reg(IDCW)"/>
        <s v="Axis Children's Gift Fund-Compulsory Lock in-Reg(G)"/>
        <s v="Franklin India Multi-Asset Solution FoF(IDCW)"/>
        <s v="Franklin India Multi-Asset Solution FoF(G)"/>
        <s v="LIC MF Large Cap Fund-Reg(IDCW)"/>
        <s v="Aditya Birla SL Tax Relief '96(ELSS U/S 80C of IT ACT)(IDCW)"/>
        <s v="Axis Focused 25 Fund-Reg(G)"/>
        <s v="LIC MF Infra Fund-Reg(IDCW)"/>
        <s v="LIC MF Infra Fund-Reg(G)"/>
        <s v="Taurus Tax Shield Fund-Reg(G)"/>
        <s v="Taurus Tax Shield Fund-Reg(IDCW)"/>
        <s v="Baroda BNP Paribas Focused Fund-Reg(IDCW)"/>
        <s v="Baroda BNP Paribas Focused Fund-Reg(G)"/>
        <s v="Nippon India Retirement Fund-Wealth Creation(G)"/>
        <s v="Sundaram Global Brand Fund(G)"/>
        <s v="Sundaram Global Brand Fund(IDCW)"/>
        <s v="Axis Focused 25 Fund-Reg(IDCW)"/>
        <s v="Bank of India Large &amp; Mid Cap Equity Fund-Reg(G)"/>
        <s v="IDFC G-Sec-Invest-Reg(A-IDCW)"/>
        <s v="Bank of India Large &amp; Mid Cap Equity Fund-Reg(Q-IDCW)"/>
        <s v="UTI Multi Asset Fund-Reg(IDCW)"/>
        <s v="Invesco India Gilt Fund(Q-IDCW)"/>
        <s v="HSBC Asia Pacific (Ex Japan) DYF-Reg(G)"/>
        <s v="HSBC Asia Pacific (Ex Japan) DYF-Reg(IDCW-Payout)"/>
        <s v="HSBC Medium Duration Fund-Reg(G)"/>
        <s v="UTI CCF- Investment Plan(G)"/>
        <s v="UTI CCF- Investment Plan(IDCW)"/>
        <s v="PGIM India Large Cap Fund(G)"/>
        <s v="Axis Balanced Advantage Fund-Reg(G)"/>
        <s v="HSBC Medium Duration Fund-Reg(IDCW-Payout)"/>
        <s v="Bank of India Large &amp; Mid Cap Equity Fund-Reg(IDCW)"/>
        <s v="Axis Balanced Advantage Fund-Reg(IDCW)"/>
        <s v="Aditya Birla SL Small Cap Fund(G)"/>
        <s v="IDFC Focused Equity Fund-Reg(G)"/>
        <s v="Nippon India Retirement Fund-Wealth Creation(IDCW)"/>
        <s v="Kotak Gilt Fund-Reg(G)"/>
        <s v="Sundaram Fin Serv Opp Fund(G)"/>
        <s v="Axis Credit Risk Fund-Reg(G)"/>
        <s v="IDBI Equity Advantage Fund-Reg(G)"/>
        <s v="Invesco India Gilt Fund(A-IDCW)"/>
        <s v="Taurus Banking &amp; Fin Serv Fund-Reg(IDCW)"/>
        <s v="Axis Credit Risk Fund-Reg(W-IDCW)"/>
        <s v="Aditya Birla SL Small Cap Fund(IDCW)"/>
        <s v="Axis Credit Risk Fund-Reg(M-IDCW)"/>
        <s v="ICICI Pru Child Care Fund-Gift Plan"/>
        <s v="Taurus Banking &amp; Fin Serv Fund-Reg(G)"/>
        <s v="PGIM India Large Cap Fund(IDCW)"/>
        <s v="IDBI Equity Advantage Fund-Reg(IDCW)"/>
        <s v="IDFC Focused Equity Fund-Reg(IDCW)"/>
        <s v="Aditya Birla SL Infrastructure Fund(G)"/>
        <s v="Aditya Birla SL Intl. Equity Fund-A(G)"/>
        <s v="IDFC Infrastructure Fund-Reg(IDCW)"/>
        <s v="IDFC Infrastructure Fund-Reg(G)"/>
        <s v="Kotak Gilt Fund-Reg(Q-IDCW)"/>
        <s v="Axis Equity Saver Fund-Reg(G)"/>
        <s v="Sundaram Ultra Short Duration Fund(G)"/>
        <s v="Sundaram Fin Serv Opp Fund(IDCW)"/>
        <s v="Invesco India PSU Equity Fund(G)"/>
        <s v="PGIM India Gilt Fund(G)"/>
        <s v="IDBI Midcap Fund(G)"/>
        <s v="Sundaram Infra Advantage Fund(G)"/>
        <s v="Sundaram Ultra Short Duration Fund(DD-IDCW)"/>
        <s v="Sundaram Ultra Short Duration Fund(M-IDCW)"/>
        <s v="Aditya Birla SL Infrastructure Fund(IDCW)"/>
        <s v="HSBC Balanced Advantage Fund-Reg(G)"/>
        <s v="LIC MF G-Sec Fund-Reg(IDCW)"/>
        <s v="LIC MF G-Sec Fund-Reg(G)"/>
        <s v="LIC MF ST Debt Fund-Reg(G)"/>
        <s v="LIC MF ST Debt Fund-Reg(IDCW)"/>
        <s v="Aditya Birla SL Intl. Equity Fund-B(G)"/>
        <s v="LIC MF Tax Plan-Reg(G)"/>
        <s v="Invesco India Credit Risk Fund(M-IDCW)"/>
        <s v="Axis Equity Saver Fund-Reg(Q-IDCW)"/>
        <s v="IDFC G-Sec-Invest-Reg(IDCW)"/>
        <s v="Shriram Hybrid Equity Fund-Reg(G)"/>
        <s v="Shriram Hybrid Equity Fund-Reg(IDCW-Payout)"/>
        <s v="PGIM India Gilt Fund(Q-IDCW)"/>
        <s v="JM Large Cap Fund-Reg(IDCW)"/>
        <s v="Axis Equity Saver Fund-Reg(M-IDCW)"/>
        <s v="Invesco India PSU Equity Fund(IDCW)"/>
        <s v="Motilal Oswal Flexi Cap Fund-Reg(G)"/>
        <s v="LIC MF Tax Plan-Reg(IDCW)"/>
        <s v="Invesco India Credit Risk Fund(IDCW)"/>
        <s v="Invesco India Credit Risk Fund(G)"/>
        <s v="IDFC Bond Fund - Medium Term Plan-Reg(DD-IDCW)"/>
        <s v="Motilal Oswal Flexi Cap Fund-Reg(IDCW)"/>
        <s v="Kotak Medium Term Fund(G)"/>
        <s v="Aditya Birla SL Intl. Equity Fund-B(IDCW)"/>
        <s v="Sundaram Infra Advantage Fund(IDCW)"/>
        <s v="Aditya Birla SL Intl. Equity Fund-A(IDCW)"/>
        <s v="IDFC Bond Fund - Medium Term Plan-Reg(G)"/>
        <s v="Nippon India US Equity Opp Fund(IDCW)"/>
        <s v="Nippon India US Equity Opp Fund(G)"/>
        <s v="HSBC Balanced Advantage Fund-Reg(IDCW)"/>
        <s v="Indiabulls Tax Savings Fund-Reg(IDCW)"/>
        <s v="Indiabulls Tax Savings Fund-Reg(G)"/>
        <s v="Indiabulls Blue Chip Fund-Reg(IDCW)"/>
        <s v="IDFC Bond Fund - Medium Term Plan-Reg(BM-IDCW)"/>
        <s v="Indiabulls Blue Chip Fund-Reg(G)"/>
        <s v="IDFC Bond Fund - Medium Term Plan-Reg(FN-IDCW)"/>
        <s v="IDFC Bond Fund - Medium Term Plan-Reg(M-IDCW)"/>
        <s v="Edelweiss Eur Dynamic Equity Off-shr Fund-Reg(G)"/>
        <s v="PGIM India Hybrid Equity Fund(G)"/>
        <s v="UTI India Consumer Fund-Reg(G)"/>
        <s v="UTI India Consumer Fund-Reg(IDCW)"/>
        <s v="Sundaram Consumption Fund(G)"/>
        <s v="HSBC Dynamic Bond Fund-Reg(G)"/>
        <s v="Aditya Birla SL Income Fund(DAP)"/>
        <s v="IDFC Credit Risk Fund-Reg(G)"/>
        <s v="SBI Dynamic Bond Fund-Reg(G)"/>
        <s v="SBI Dynamic Bond Fund-Reg(IDCW)"/>
        <s v="IDFC Credit Risk Fund-Reg(Q-IDCW)"/>
        <s v="HSBC Dynamic Bond Fund-Reg(M-IDCW)"/>
        <s v="HDFC Housing Opp Fund-Reg(G)"/>
        <s v="IDBI Equity Savings Fund(Q-IDCW)"/>
        <s v="IDBI Equity Savings Fund(G)"/>
        <s v="IDBI Equity Savings Fund(M-IDCW)"/>
        <s v="Indiabulls Short Term Fund-Reg(G)"/>
        <s v="Indiabulls Short Term Fund-Reg(M-IDCW)"/>
        <s v="Indiabulls Short Term Fund-Reg(W-IDCW)"/>
        <s v="IDFC Credit Risk Fund-Reg(H-IDCW)"/>
        <s v="PGIM India Hybrid Equity Fund(IDCW)"/>
        <s v="Indiabulls Short Term Fund-Reg(FN-IDCW)"/>
        <s v="HSBC Business Cycles Fund-Reg(G)"/>
        <s v="Kotak Medium Term Fund(IDCW)"/>
        <s v="Union Dynamic Bond(G)"/>
        <s v="Union Dynamic Bond(IDCW-Payout)"/>
        <s v="Mahindra Manulife Equity Savings Fund-Reg(G)"/>
        <s v="Sundaram Consumption Fund(IDCW)"/>
        <s v="Mahindra Manulife Equity Savings Fund-Reg(IDCW)"/>
        <s v="HSBC Credit Risk Fund-Reg(G)"/>
        <s v="Nippon India Gilt Securities Fund(G)"/>
        <s v="Axis Regular Saver Fund-Reg(G)"/>
        <s v="Sundaram Balanced Advantage Fund(G)"/>
        <s v="Invesco India Financial Services Fund(G)"/>
        <s v="HSBC Credit Risk Fund-Reg(M-IDCW)"/>
        <s v="IDFC Credit Risk Fund-Reg(A-IDCW)"/>
        <s v="Nippon India Equity Hybrid Fund(G)"/>
        <s v="HSBC Business Cycles Fund-Reg(IDCW-Payout)"/>
        <s v="HDFC Retirement Savings Fund-Hybrid-Debt Plan-Reg(G)"/>
        <s v="Nippon India Gilt Securities Fund(M-IDCW)"/>
        <s v="Invesco India Financial Services Fund(IDCW)"/>
        <s v="PGIM India Dynamic Bond Fund(G)"/>
        <s v="DSP World Energy Fund-Reg(IDCW)"/>
        <s v="DSP World Energy Fund-Reg(G)"/>
        <s v="Aditya Birla SL Mfg. Equity Fund-Reg(G)"/>
        <s v="HSBC Conservative Hybrid Fund(G)"/>
        <s v="Nippon India Credit Risk Fund(G)"/>
        <s v="Nippon India Credit Risk Fund(Q-IDCW)"/>
        <s v="IDFC Dynamic Bond Fund-Reg(G)"/>
        <s v="Nippon India Equity Hybrid Fund(Q-IDCW)"/>
        <s v="Nippon India Equity Hybrid Fund(IDCW)"/>
        <s v="HDFC Dynamic Debt Fund(G)"/>
        <s v="HSBC Conservative Hybrid Fund(Q-IDCW)"/>
        <s v="HSBC Gilt Fund-Reg(G)"/>
        <s v="SBI Magnum Comma Fund-Reg(G)"/>
        <s v="SBI Magnum Comma Fund-Reg(IDCW)"/>
        <s v="Aditya Birla SL Equity Savings Fund-Reg(G)"/>
        <s v="Tata Gilt Securities Fund-Reg(IDCW)"/>
        <s v="Aditya Birla SL Equity Savings Fund-Reg(IDCW)"/>
        <s v="Indiabulls Value Fund-Reg(G)"/>
        <s v="Indiabulls Value Fund-Reg(IDCW)"/>
        <s v="IDFC Dynamic Bond Fund-Reg(Q-IDCW)"/>
        <s v="HDFC Dynamic Debt Fund(Q-IDCW)"/>
        <s v="Nippon India Retirement Fund-Income Generation(IDCW)"/>
        <s v="Nippon India Retirement Fund-Income Generation(G)"/>
        <s v="Aditya Birla SL Mfg. Equity Fund-Reg(IDCW)"/>
        <s v="HSBC Credit Risk Fund-Reg(A-IDCW)"/>
        <s v="HSBC Gilt Fund-Reg(Q-IDCW)"/>
        <s v="Tata Retirement Sav Fund - Cons Plan(G)"/>
        <s v="Baroda BNP Paribas Dynamic Bond Fund(DD-IDCW)"/>
        <s v="LIC MF Flexi Cap Fund-Reg(IDCW)"/>
        <s v="LIC MF Flexi Cap Fund-Reg(G)"/>
        <s v="HDFC Dynamic Debt Fund(H-IDCW)"/>
        <s v="IDBI Hybrid Equity Fund(IDCW)"/>
        <s v="IDBI Hybrid Equity Fund(G)"/>
        <s v="Sundaram Debt Oriented Hybrid Fund(G)"/>
        <s v="Baroda BNP Paribas Dynamic Bond Fund(G)"/>
        <s v="HDFC Dynamic Debt Fund(A-IDCW)"/>
        <s v="Aditya Birla SL Pure Value Fund(G)"/>
        <s v="Aditya Birla SL Pure Value Fund(IDCW)"/>
        <s v="Tata Gilt Securities Fund-Reg(G)"/>
        <s v="LIC MF Children's Gift Fund(G)"/>
        <s v="Baroda BNP Paribas Dynamic Bond Fund(W-IDCW)"/>
        <s v="Baroda BNP Paribas Dynamic Bond Fund(Q-IDCW)"/>
        <s v="Baroda BNP Paribas Dynamic Bond Fund(H-IDCW)"/>
        <s v="Canara Rob Dynamic Bond Fund-Reg(G)"/>
        <s v="IDFC Credit Risk Fund-Reg(IDCW)"/>
        <s v="Canara Rob Dynamic Bond Fund-Reg(IDCW)"/>
        <s v="IDFC Regular Savings Fund-Reg(G)"/>
        <s v="Sundaram Balanced Advantage Fund(M-IDCW)"/>
        <s v="Nippon India Income Fund(G)"/>
        <s v="Kotak Bond Fund-Reg(IDCW Payout)"/>
        <s v="Kotak Bond Fund-Reg(G)"/>
        <s v="HSBC Conservative Hybrid Fund(M-IDCW)"/>
        <s v="UTI Medium Term Fund-Reg(G)"/>
        <s v="UTI Medium Term Fund-Reg(Q-IDCW)"/>
        <s v="UTI Medium Term Fund-Reg(F-IDCW)"/>
        <s v="UTI Medium Term Fund-Reg(A-IDCW)"/>
        <s v="Taurus Largecap Equity Fund-Reg(IDCW)"/>
        <s v="Taurus Largecap Equity Fund-Reg(G)"/>
        <s v="Baroda BNP Paribas Dynamic Bond Fund(M-IDCW)"/>
        <s v="Invesco India Dynamic Equity Fund(G)"/>
        <s v="LIC MF Equity Hybrid Fund(G)"/>
        <s v="DSP World Gold Fund-Reg(IDCW)"/>
        <s v="DSP World Gold Fund-Reg(G)"/>
        <s v="Sundaram Debt Oriented Hybrid Fund(Q-IDCW)"/>
        <s v="Nippon India Income Fund(M-IDCW)"/>
        <s v="Axis Regular Saver Fund-Reg(A-IDCW)"/>
        <s v="LIC MF Debt Hybrid Fund(G)"/>
        <s v="Nippon India Income Fund(Q-IDCW)"/>
        <s v="Mahindra Manulife Dynamic Bond Yojana-Reg(G)"/>
        <s v="DSP World Agriculture Fund-Reg(G)"/>
        <s v="Sundaram Debt Oriented Hybrid Fund(M-IDCW)"/>
        <s v="LIC MF Equity Hybrid Fund(IDCW)"/>
        <s v="Aditya Birla SL MNC Fund-Reg(G)"/>
        <s v="Kotak Credit Risk Fund(G)"/>
        <s v="Nippon India Income Fund(H-IDCW)"/>
        <s v="Invesco India Dynamic Equity Fund(IDCW)"/>
        <s v="JM Focused Fund-Reg(G)"/>
        <s v="JM Focused Fund-Reg(IDCW)"/>
        <s v="LIC MF Debt Hybrid Fund(Q-IDCW)"/>
        <s v="LIC MF Debt Hybrid Fund(M-IDCW)"/>
        <s v="Mahindra Manulife Dynamic Bond Yojana-Reg(Q-IDCW)"/>
        <s v="DSP World Agriculture Fund-Reg(IDCW)"/>
        <s v="IDFC Regular Savings Fund-Reg(IDCW)"/>
        <s v="Aditya Birla SL MNC Fund-Reg(IDCW)"/>
        <s v="LIC MF Debt Hybrid Fund(A-IDCW)"/>
        <s v="UTI Transportation &amp; Logistics Fund-Reg(G)"/>
        <s v="UTI Transportation &amp; Logistics Fund-Reg(IDCW)"/>
        <s v="IDFC Dynamic Bond Fund-Reg(IDCW)"/>
        <s v="Mahindra Manulife Dynamic Bond Yojana-Reg(IDCW)"/>
        <s v="Navi Regular Savings Fund-Reg(G)"/>
        <s v="PGIM India Global Equity Opp Fund(G)"/>
        <s v="Navi Regular Savings Fund-Reg(Q-IDCW)"/>
        <s v="Nippon India Income Fund(A-IDCW)"/>
        <s v="Canara Rob Income Fund-Reg(G)"/>
        <s v="Franklin India Pension Plan(G)"/>
        <s v="Baroda BNP Paribas Gilt Fund-Reg(G)"/>
        <s v="Kotak Credit Risk Fund(IDCW)"/>
        <s v="Baroda BNP Paribas Gilt Fund-Reg(IDCW)"/>
        <s v="Baroda BNP Paribas Conservative Hybrid Fund-Reg(G)"/>
        <s v="Canara Rob Income Fund-Reg(Q-IDCW)"/>
        <s v="HSBC Global Emerging Markets Fund(G)"/>
        <s v="HSBC Global Emerging Markets Fund(IDCW)"/>
        <s v="Taurus Flexi Cap Fund-Reg(G)"/>
        <s v="Baroda BNP Paribas Banking and Fin Serv Fund-Reg(G)"/>
        <s v="Baroda BNP Paribas Banking and Fin Serv Fund-Reg(IDCW)"/>
        <s v="Navi Regular Savings Fund-Reg(M-IDCW)"/>
        <s v="Baroda BNP Paribas Conservative Hybrid Fund-Reg(Q-IDCW)"/>
        <s v="UTI Credit Risk Fund-Reg(IDCW)"/>
        <s v="UTI Credit Risk Fund-Reg(G)"/>
        <s v="Motilal Oswal Balance Advantage Fund-Reg(G)"/>
        <s v="Motilal Oswal Balance Advantage Fund-Reg(A-IDCW)"/>
        <s v="Franklin India Pension Plan(IDCW)"/>
        <s v="Motilal Oswal Balance Advantage Fund-Reg(Q-IDCW)"/>
        <s v="Nippon India Japan Equity Fund(IDCW)"/>
        <s v="Nippon India Japan Equity Fund(G)"/>
        <s v="Nippon India Japan Equity Fund(B)"/>
        <s v="Baroda BNP Paribas Conservative Hybrid Fund-Reg(M-IDCW)"/>
        <s v="Taurus Flexi Cap Fund-Reg(IDCW)"/>
        <s v="IDFC Bond Fund - Income Plan-Reg(G)"/>
        <s v="Bank of India Conservative Hybrid Fund-Reg(G)"/>
        <s v="IDFC Bond Fund - Income Plan-Reg(Q-IDCW)"/>
        <s v="Nippon India Hybrid Bond Fund(G)"/>
        <s v="Nippon India Equity Savings Fund(G)"/>
        <s v="Nippon India Equity Savings Fund(B)"/>
        <s v="Franklin India Feeder - Templeton European Opportunities Fund(IDCW)"/>
        <s v="Franklin India Feeder - Templeton European Opportunities Fund(G)"/>
        <s v="Bank of India Conservative Hybrid Fund-Reg(Q-IDCW)"/>
        <s v="Bank of India Conservative Hybrid Fund-Reg(A-IDCW)"/>
        <s v="IDFC Bond Fund - Income Plan-Reg(H-IDCW)"/>
        <s v="Nippon India Equity Savings Fund(Q-IDCW)"/>
        <s v="Nippon India Equity Savings Fund(M-IDCW)"/>
        <s v="Nippon India Equity Savings Fund(IDCW)"/>
        <s v="ICICI Pru Long Term Bond Fund(G)"/>
        <s v="ICICI Pru Long Term Bond Fund(Q-IDCW)"/>
        <s v="Bank of India Conservative Hybrid Fund-Reg(M-IDCW)"/>
        <s v="HDFC Income Fund(G)"/>
        <s v="HSBC Medium to Long Duration Fund Fund(G)"/>
        <s v="SBI PSU Fund-Reg(G)"/>
        <s v="SBI PSU Fund-Reg(IDCW)"/>
        <s v="HDFC Income Fund(Q-IDCW)"/>
        <s v="IDFC Bond Fund - Income Plan-Reg(A-IDCW)"/>
        <s v="HSBC Medium to Long Duration Fund Fund(IDCW)"/>
        <s v="Nippon India Hybrid Bond Fund(Q-IDCW)"/>
        <s v="Nippon India Hybrid Bond Fund(M-IDCW)"/>
        <s v="LIC MF Banking &amp; Financial Services Fund-Reg(G)"/>
        <s v="LIC MF Banking &amp; Financial Services Fund-Reg(IDCW)"/>
        <s v="Franklin Asian Equity Fund(G)"/>
        <s v="UTI Banking and Financial Services Fund-Reg(G)"/>
        <s v="UTI Banking and Financial Services Fund-Reg(IDCW)"/>
        <s v="Franklin Asian Equity Fund(IDCW)"/>
        <s v="Sundaram Medium Term Bond Fund(B)"/>
        <s v="Sundaram Medium Term Bond Fund(G)"/>
        <s v="Sundaram Medium Term Bond Fund(Q-IDCW)"/>
        <s v="Sundaram Medium Term Bond Fund(H-IDCW)"/>
        <s v="Sundaram Medium Term Bond Fund(A-IDCW)"/>
        <s v="Bank of India Balanced Advantage Fund-Reg(G)"/>
        <s v="Bank of India Balanced Advantage Fund-Reg(IDCW)"/>
        <s v="HDFC Infrastructure Fund(G)"/>
        <s v="HDFC Infrastructure Fund(IDCW)"/>
        <s v="Nippon India Strategic Debt Fund(G)"/>
        <s v="Nippon India Strategic Debt Fund(IDCW)"/>
        <s v="Nippon India Strategic Debt Fund(Q-IDCW)"/>
        <s v="PGIM India Emerging Markets Equity Fund(G)"/>
        <s v="HSBC Brazil Fund(G)"/>
        <s v="HSBC Brazil Fund(IDCW)"/>
      </sharedItems>
    </cacheField>
    <cacheField name="Category" numFmtId="0">
      <sharedItems count="55">
        <s v="Index Funds - Sensex"/>
        <s v="Index Funds - Nifty"/>
        <s v="FoFs (Domestic) - Equity Oriented"/>
        <s v="FoFs (Domestic) - Debt Oriented"/>
        <s v="Equity - Small cap Fund"/>
        <s v="FoFs (Domestic / Overseas ) - Gold"/>
        <s v="Equity - Value Fund"/>
        <s v="Equity - Thematic Fund - Other"/>
        <s v="Equity - Contra Fund"/>
        <s v="Index Funds - Other"/>
        <s v="Hybrid - Multi Asset Allocation"/>
        <s v="Equity - Mid Cap Fund"/>
        <s v="Hybrid - Aggressive Hybrid Fund"/>
        <s v="Equity - Flexi Cap Fund"/>
        <s v="Index Funds - Nifty Next 50"/>
        <s v="Debt - Short Duration Fund"/>
        <s v="Debt - Banking and PSU Fund"/>
        <s v="Equity - Sectoral Fund - Technology"/>
        <s v="FoFs (Overseas)"/>
        <s v="Equity - Sectoral Fund - Infrastructure"/>
        <s v="Debt - Liquid Fund"/>
        <s v="Equity - Large &amp; Mid Cap Fund"/>
        <s v="Equity - Focused Fund"/>
        <s v="Equity - ELSS"/>
        <s v="Debt - Overnight Fund"/>
        <s v="Debt - Low Duration Fund"/>
        <s v="Debt - Money Market Fund"/>
        <s v="Equity - Large Cap Fund"/>
        <s v="Equity - Dividend Yield Fund"/>
        <s v="Debt - Corporate Bond Fund"/>
        <s v="Hybrid - Equity Savings"/>
        <s v="Debt - Floater Fund"/>
        <s v="Equity - Multi Cap Fund"/>
        <s v="Debt - Ultra Short Duration Fund"/>
        <s v="Hybrid - Balanced Advantage"/>
        <s v="Solution Oriented - Children's Fund"/>
        <s v="Hybrid - Conservative Hybrid Fund"/>
        <s v="Solution Oriented - Retirement Fund"/>
        <s v="Debt - Dynamic Bond"/>
        <s v="Debt - Gilt Fund with 10 year constant duration"/>
        <s v="Hybrid - Dynamic Asset Allocation"/>
        <s v="Equity - Sectoral Fund - Pharma &amp; Health Care"/>
        <s v="Equity - Thematic Fund - MNC"/>
        <s v="Equity - Thematic Fund - Global"/>
        <s v="Equity - Sectoral Fund - Consumption"/>
        <s v="Debt - Long Duration Fund"/>
        <s v="Hybrid - Arbitrage Fund"/>
        <s v="Equity - Sectoral Fund - Energy &amp; Power"/>
        <s v="Debt - Medium Duration Fund"/>
        <s v="Debt - Medium to Long Duration Fund"/>
        <s v="Debt - Gilt Fund"/>
        <s v="Equity - Sectoral Fund - Banks &amp; Financial Services"/>
        <s v="Equity - Sectoral Fund - Service Industry"/>
        <s v="Debt - Credit Risk Fund"/>
        <s v="Equity - Sectoral Fund - Auto"/>
      </sharedItems>
    </cacheField>
    <cacheField name="CAGR% 6 Months" numFmtId="0">
      <sharedItems containsSemiMixedTypes="0" containsString="0" containsNumber="1" minValue="-24.34" maxValue="22.21"/>
    </cacheField>
    <cacheField name="CAGR% 1 Year" numFmtId="0">
      <sharedItems containsSemiMixedTypes="0" containsString="0" containsNumber="1" minValue="-11.47" maxValue="46.81"/>
    </cacheField>
    <cacheField name="CAGR% 3 Year" numFmtId="0">
      <sharedItems containsSemiMixedTypes="0" containsString="0" containsNumber="1" minValue="-4.79" maxValue="23.43"/>
    </cacheField>
    <cacheField name="Exp. Ratio(%)" numFmtId="0">
      <sharedItems containsSemiMixedTypes="0" containsString="0" containsNumber="1" minValue="0.12" maxValue="2.73"/>
    </cacheField>
    <cacheField name="6M_Score" numFmtId="0">
      <sharedItems containsSemiMixedTypes="0" containsString="0" containsNumber="1" minValue="0" maxValue="100"/>
    </cacheField>
    <cacheField name="1Y_Score" numFmtId="0">
      <sharedItems containsSemiMixedTypes="0" containsString="0" containsNumber="1" minValue="0" maxValue="100.00000000000003"/>
    </cacheField>
    <cacheField name="3Y_Score" numFmtId="0">
      <sharedItems containsSemiMixedTypes="0" containsString="0" containsNumber="1" minValue="0" maxValue="100"/>
    </cacheField>
    <cacheField name="Performance_Score" numFmtId="0">
      <sharedItems containsSemiMixedTypes="0" containsString="0" containsNumber="1" minValue="5.5672887358712586" maxValue="93.546723952739001"/>
    </cacheField>
    <cacheField name="Cost_Score" numFmtId="0">
      <sharedItems containsSemiMixedTypes="0" containsString="0" containsNumber="1" minValue="0" maxValue="100"/>
    </cacheField>
    <cacheField name="Return_Std" numFmtId="0">
      <sharedItems containsSemiMixedTypes="0" containsString="0" containsNumber="1" minValue="0.43402502483927835" maxValue="35.016921766752191"/>
    </cacheField>
    <cacheField name="Consistency_Score" numFmtId="0">
      <sharedItems containsSemiMixedTypes="0" containsString="0" containsNumber="1" minValue="39.348912375320666" maxValue="99.248246605222022"/>
    </cacheField>
    <cacheField name="Overall_Score" numFmtId="0">
      <sharedItems containsSemiMixedTypes="0" containsString="0" containsNumber="1" minValue="21.072969780773768" maxValue="72.992899788074283"/>
    </cacheField>
    <cacheField name="Category_Avg_3Y" numFmtId="0">
      <sharedItems containsSemiMixedTypes="0" containsString="0" containsNumber="1" minValue="3.5597297297297299" maxValue="20.878999999999998"/>
    </cacheField>
    <cacheField name="3Y_vs_Category" numFmtId="0">
      <sharedItems containsSemiMixedTypes="0" containsString="0" containsNumber="1" minValue="-11.702058823529413" maxValue="11.302413793103449"/>
    </cacheField>
    <cacheField name="Overall_Rank" numFmtId="0">
      <sharedItems containsSemiMixedTypes="0" containsString="0" containsNumber="1" containsInteger="1" minValue="1" maxValue="1607"/>
    </cacheField>
    <cacheField name="Category_Rank" numFmtId="0">
      <sharedItems containsSemiMixedTypes="0" containsString="0" containsNumber="1" containsInteger="1" minValue="1" maxValue="107"/>
    </cacheField>
    <cacheField name="Type" numFmtId="0">
      <sharedItems/>
    </cacheField>
    <cacheField name="Benchmark" numFmtId="0">
      <sharedItems/>
    </cacheField>
    <cacheField name="Min. Invest(Rs.)" numFmtId="0">
      <sharedItems containsSemiMixedTypes="0" containsString="0" containsNumber="1" containsInteger="1" minValue="1000" maxValue="2500000"/>
    </cacheField>
    <cacheField name="SIP Min. Inv.(Rs.)" numFmtId="0">
      <sharedItems containsString="0" containsBlank="1" containsNumber="1" containsInteger="1" minValue="1000" maxValue="10000"/>
    </cacheField>
  </cacheFields>
  <extLst>
    <ext xmlns:x14="http://schemas.microsoft.com/office/spreadsheetml/2009/9/main" uri="{725AE2AE-9491-48be-B2B4-4EB974FC3084}">
      <x14:pivotCacheDefinition pivotCacheId="1236920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8">
  <r>
    <x v="0"/>
    <x v="0"/>
    <n v="6.36"/>
    <n v="15.09"/>
    <n v="13.02"/>
    <n v="0.27"/>
    <n v="65.950590762620848"/>
    <n v="45.573095401509953"/>
    <n v="63.111268603827078"/>
    <n v="58.417681074890695"/>
    <n v="94.252873563218387"/>
    <n v="11.036995264321927"/>
    <n v="80.883363439297327"/>
    <n v="72.992899788074283"/>
    <n v="12.6"/>
    <n v="0.41999999999999993"/>
    <n v="1"/>
    <n v="1"/>
    <s v="Open ended"/>
    <s v="S&amp;P BSE SENSEX - TRI"/>
    <n v="1000"/>
    <n v="1000"/>
  </r>
  <r>
    <x v="1"/>
    <x v="0"/>
    <n v="6.36"/>
    <n v="15.09"/>
    <n v="13.02"/>
    <n v="0.27"/>
    <n v="65.950590762620848"/>
    <n v="45.573095401509953"/>
    <n v="63.111268603827078"/>
    <n v="58.417681074890695"/>
    <n v="94.252873563218387"/>
    <n v="11.036995264321927"/>
    <n v="80.883363439297327"/>
    <n v="72.992899788074283"/>
    <n v="12.6"/>
    <n v="0.41999999999999993"/>
    <n v="1"/>
    <n v="1"/>
    <s v="Open ended"/>
    <s v="S&amp;P BSE SENSEX - TRI"/>
    <n v="1000"/>
    <n v="1000"/>
  </r>
  <r>
    <x v="2"/>
    <x v="1"/>
    <n v="4.7699999999999996"/>
    <n v="15.03"/>
    <n v="12.3"/>
    <n v="0.3"/>
    <n v="62.534908700322234"/>
    <n v="45.47014413177763"/>
    <n v="60.559886605244508"/>
    <n v="56.427968282219993"/>
    <n v="93.103448275862064"/>
    <n v="9.3345882784713723"/>
    <n v="83.832018833950684"/>
    <n v="72.447850918563176"/>
    <n v="11.520799999999999"/>
    <n v="0.77920000000000122"/>
    <n v="3"/>
    <n v="1"/>
    <s v="Open ended"/>
    <s v="NIFTY 50 - TRI"/>
    <n v="5000"/>
    <n v="1000"/>
  </r>
  <r>
    <x v="3"/>
    <x v="1"/>
    <n v="4.7699999999999996"/>
    <n v="15.03"/>
    <n v="12.3"/>
    <n v="0.3"/>
    <n v="62.534908700322234"/>
    <n v="45.47014413177763"/>
    <n v="60.559886605244508"/>
    <n v="56.427968282219993"/>
    <n v="93.103448275862064"/>
    <n v="9.3345882784713723"/>
    <n v="83.832018833950684"/>
    <n v="72.447850918563176"/>
    <n v="11.520799999999999"/>
    <n v="0.77920000000000122"/>
    <n v="3"/>
    <n v="1"/>
    <s v="Open ended"/>
    <s v="NIFTY 50 - TRI"/>
    <n v="5000"/>
    <n v="1000"/>
  </r>
  <r>
    <x v="4"/>
    <x v="1"/>
    <n v="4.5999999999999996"/>
    <n v="14.78"/>
    <n v="11.89"/>
    <n v="0.35"/>
    <n v="62.169709989258862"/>
    <n v="45.041180507892939"/>
    <n v="59.107016300496106"/>
    <n v="55.499804300467709"/>
    <n v="91.187739463601531"/>
    <n v="9.1343158051537099"/>
    <n v="84.178900933094354"/>
    <n v="71.591562249407815"/>
    <n v="11.520799999999999"/>
    <n v="0.36920000000000108"/>
    <n v="5"/>
    <n v="3"/>
    <s v="Open ended"/>
    <s v="NIFTY 50 - TRI"/>
    <n v="1000"/>
    <n v="1000"/>
  </r>
  <r>
    <x v="5"/>
    <x v="0"/>
    <n v="6.32"/>
    <n v="14.8"/>
    <n v="13.02"/>
    <n v="0.4"/>
    <n v="65.864661654135332"/>
    <n v="45.075497597803711"/>
    <n v="63.111268603827078"/>
    <n v="58.251215912081719"/>
    <n v="89.272030651340998"/>
    <n v="11.292029277564696"/>
    <n v="80.441631570702668"/>
    <n v="71.554023511551776"/>
    <n v="12.6"/>
    <n v="0.41999999999999993"/>
    <n v="6"/>
    <n v="3"/>
    <s v="Open ended"/>
    <s v="S&amp;P BSE SENSEX - TRI"/>
    <n v="1000"/>
    <m/>
  </r>
  <r>
    <x v="6"/>
    <x v="1"/>
    <n v="4.63"/>
    <n v="14.8"/>
    <n v="12.11"/>
    <n v="0.4"/>
    <n v="62.234156820622985"/>
    <n v="45.075497597803711"/>
    <n v="59.886605244507443"/>
    <n v="55.912783265719433"/>
    <n v="89.272030651340998"/>
    <n v="9.3032207187404481"/>
    <n v="83.886349041114102"/>
    <n v="71.245986555973488"/>
    <n v="11.520799999999999"/>
    <n v="0.58919999999999995"/>
    <n v="7"/>
    <n v="4"/>
    <s v="Open ended"/>
    <s v="NIFTY 50 - TRI"/>
    <n v="1000"/>
    <n v="1000"/>
  </r>
  <r>
    <x v="7"/>
    <x v="2"/>
    <n v="5.94"/>
    <n v="15"/>
    <n v="11.05"/>
    <n v="0.37"/>
    <n v="65.048335123523088"/>
    <n v="45.418668496911465"/>
    <n v="56.130403968816431"/>
    <n v="54.700469558186271"/>
    <n v="90.421455938697321"/>
    <n v="9.8284839859467041"/>
    <n v="82.976566374963227"/>
    <n v="70.699740357508276"/>
    <n v="9.2084615384615383"/>
    <n v="1.8415384615384625"/>
    <n v="8"/>
    <n v="1"/>
    <s v="Open ended"/>
    <s v="NIFTY 200 - TRI"/>
    <n v="5000"/>
    <n v="1000"/>
  </r>
  <r>
    <x v="8"/>
    <x v="2"/>
    <n v="5.89"/>
    <n v="14.98"/>
    <n v="11.04"/>
    <n v="0.37"/>
    <n v="64.940923737916208"/>
    <n v="45.384351407000686"/>
    <n v="56.094968107725009"/>
    <n v="54.650974223545951"/>
    <n v="90.421455938697321"/>
    <n v="9.7930907825830342"/>
    <n v="83.037869201431732"/>
    <n v="70.690318396805239"/>
    <n v="9.2084615384615383"/>
    <n v="1.8315384615384609"/>
    <n v="9"/>
    <n v="2"/>
    <s v="Open ended"/>
    <s v="NIFTY 200 - TRI"/>
    <n v="5000"/>
    <n v="1000"/>
  </r>
  <r>
    <x v="9"/>
    <x v="1"/>
    <n v="4.55"/>
    <n v="14.56"/>
    <n v="11.77"/>
    <n v="0.5"/>
    <n v="62.062298603651975"/>
    <n v="44.663692518874406"/>
    <n v="58.681785967399001"/>
    <n v="55.152460460092215"/>
    <n v="85.440613026819918"/>
    <n v="9.2253843940572775"/>
    <n v="84.021165510139781"/>
    <n v="69.941674864286028"/>
    <n v="11.520799999999999"/>
    <n v="0.24920000000000009"/>
    <n v="10"/>
    <n v="5"/>
    <s v="Open ended"/>
    <s v="NIFTY 50 - TRI"/>
    <n v="5000"/>
    <n v="1000"/>
  </r>
  <r>
    <x v="10"/>
    <x v="1"/>
    <n v="4.55"/>
    <n v="14.52"/>
    <n v="11.74"/>
    <n v="0.5"/>
    <n v="62.062298603651975"/>
    <n v="44.595058339052848"/>
    <n v="58.575478384124736"/>
    <n v="55.078716414508619"/>
    <n v="85.440613026819918"/>
    <n v="9.2440480160766576"/>
    <n v="83.988839168548949"/>
    <n v="69.896721256096527"/>
    <n v="11.520799999999999"/>
    <n v="0.21920000000000073"/>
    <n v="11"/>
    <n v="6"/>
    <s v="Open ended"/>
    <s v="NIFTY 50 - TRI"/>
    <n v="5000"/>
    <n v="1000"/>
  </r>
  <r>
    <x v="11"/>
    <x v="1"/>
    <n v="4.57"/>
    <n v="14.58"/>
    <n v="11.91"/>
    <n v="0.52"/>
    <n v="62.105263157894733"/>
    <n v="44.698009608785178"/>
    <n v="59.17788802267895"/>
    <n v="55.41939952555397"/>
    <n v="84.674329501915707"/>
    <n v="9.3206659292350071"/>
    <n v="83.856133050188788"/>
    <n v="69.842315400803102"/>
    <n v="11.520799999999999"/>
    <n v="0.38920000000000066"/>
    <n v="12"/>
    <n v="7"/>
    <s v="Open ended"/>
    <s v="NIFTY 50 - TRI"/>
    <n v="5000"/>
    <n v="1000"/>
  </r>
  <r>
    <x v="12"/>
    <x v="1"/>
    <n v="4.7"/>
    <n v="15.02"/>
    <n v="12.21"/>
    <n v="0.6"/>
    <n v="62.384532760472609"/>
    <n v="45.452985586822244"/>
    <n v="60.240963855421683"/>
    <n v="56.233284155852033"/>
    <n v="81.609195402298852"/>
    <n v="9.2191510691677223"/>
    <n v="84.031961945548574"/>
    <n v="69.526931414887869"/>
    <n v="11.520799999999999"/>
    <n v="0.68920000000000137"/>
    <n v="13"/>
    <n v="8"/>
    <s v="Open ended"/>
    <s v="NIFTY 50 - TRI"/>
    <n v="1000"/>
    <n v="1000"/>
  </r>
  <r>
    <x v="13"/>
    <x v="0"/>
    <n v="6.09"/>
    <n v="14.17"/>
    <n v="12.63"/>
    <n v="0.57999999999999996"/>
    <n v="65.370569280343716"/>
    <n v="43.994509265614276"/>
    <n v="61.72927002126152"/>
    <n v="57.137101646383783"/>
    <n v="82.375478927203076"/>
    <n v="11.43617608809542"/>
    <n v="80.191961971114438"/>
    <n v="69.210411047771274"/>
    <n v="12.6"/>
    <n v="3.0000000000001137E-2"/>
    <n v="14"/>
    <n v="4"/>
    <s v="Open ended"/>
    <s v="S&amp;P BSE SENSEX - TRI"/>
    <n v="5000"/>
    <n v="1000"/>
  </r>
  <r>
    <x v="14"/>
    <x v="3"/>
    <n v="12.75"/>
    <n v="19.18"/>
    <n v="14.93"/>
    <n v="0.98"/>
    <n v="79.677765843179372"/>
    <n v="52.590940288263567"/>
    <n v="69.879518072289159"/>
    <n v="66.652594291259533"/>
    <n v="67.049808429118769"/>
    <n v="13.714935288561021"/>
    <n v="76.24503525769299"/>
    <n v="69.150008067332706"/>
    <n v="7.5967647058823538"/>
    <n v="7.333235294117646"/>
    <n v="15"/>
    <n v="1"/>
    <s v="Open ended"/>
    <s v=""/>
    <n v="5000"/>
    <n v="1000"/>
  </r>
  <r>
    <x v="15"/>
    <x v="3"/>
    <n v="12.75"/>
    <n v="19.18"/>
    <n v="14.93"/>
    <n v="0.98"/>
    <n v="79.677765843179372"/>
    <n v="52.590940288263567"/>
    <n v="69.879518072289159"/>
    <n v="66.652594291259533"/>
    <n v="67.049808429118769"/>
    <n v="13.714935288561021"/>
    <n v="76.24503525769299"/>
    <n v="69.150008067332706"/>
    <n v="7.5967647058823538"/>
    <n v="7.333235294117646"/>
    <n v="15"/>
    <n v="1"/>
    <s v="Open ended"/>
    <s v=""/>
    <n v="5000"/>
    <n v="1000"/>
  </r>
  <r>
    <x v="16"/>
    <x v="1"/>
    <n v="4.7"/>
    <n v="14.59"/>
    <n v="11.95"/>
    <n v="0.6"/>
    <n v="62.384532760472609"/>
    <n v="44.715168153740571"/>
    <n v="59.319631467044644"/>
    <n v="55.551272731739019"/>
    <n v="81.609195402298852"/>
    <n v="9.4418431658737045"/>
    <n v="83.646247919609763"/>
    <n v="69.08949719634667"/>
    <n v="11.520799999999999"/>
    <n v="0.4291999999999998"/>
    <n v="17"/>
    <n v="9"/>
    <s v="Open ended"/>
    <s v="NIFTY 50 - TRI"/>
    <n v="1000"/>
    <n v="1000"/>
  </r>
  <r>
    <x v="17"/>
    <x v="1"/>
    <n v="4.41"/>
    <n v="14.67"/>
    <n v="11.68"/>
    <n v="0.6"/>
    <n v="61.761546723952733"/>
    <n v="44.852436513383672"/>
    <n v="58.362863217576177"/>
    <n v="54.989471907593739"/>
    <n v="81.609195402298852"/>
    <n v="8.9442783146456719"/>
    <n v="84.508055521997164"/>
    <n v="69.024048684870877"/>
    <n v="11.520799999999999"/>
    <n v="0.15920000000000023"/>
    <n v="18"/>
    <n v="10"/>
    <s v="Open ended"/>
    <s v="NIFTY 50 - TRI"/>
    <n v="1000"/>
    <n v="1000"/>
  </r>
  <r>
    <x v="18"/>
    <x v="1"/>
    <n v="4.41"/>
    <n v="14.65"/>
    <n v="11.46"/>
    <n v="0.6"/>
    <n v="61.761546723952733"/>
    <n v="44.818119423472893"/>
    <n v="57.583274273564847"/>
    <n v="54.589382308614844"/>
    <n v="81.609195402298852"/>
    <n v="8.8269178058098898"/>
    <n v="84.711329886102874"/>
    <n v="68.874822476407857"/>
    <n v="11.520799999999999"/>
    <n v="-6.0799999999998633E-2"/>
    <n v="19"/>
    <n v="11"/>
    <s v="Open ended"/>
    <s v="NIFTY 50 - TRI"/>
    <n v="1000"/>
    <n v="1000"/>
  </r>
  <r>
    <x v="19"/>
    <x v="4"/>
    <n v="10.34"/>
    <n v="30.24"/>
    <n v="14.69"/>
    <n v="1.76"/>
    <n v="74.500537056928025"/>
    <n v="71.568291008922458"/>
    <n v="69.02905740609495"/>
    <n v="70.88512341710981"/>
    <n v="37.164750957854409"/>
    <n v="2.7380912982481385"/>
    <n v="95.257486755671991"/>
    <n v="68.548121136936501"/>
    <n v="12.127586206896551"/>
    <n v="2.562413793103449"/>
    <n v="20"/>
    <n v="1"/>
    <s v="Open ended"/>
    <s v="Nifty Smallcap 250 - TRI"/>
    <n v="5000"/>
    <n v="1000"/>
  </r>
  <r>
    <x v="20"/>
    <x v="1"/>
    <n v="4.16"/>
    <n v="14.05"/>
    <n v="11.37"/>
    <n v="0.59"/>
    <n v="61.224489795918366"/>
    <n v="43.788606726149624"/>
    <n v="57.264351523742022"/>
    <n v="54.013655738899573"/>
    <n v="81.992337164750964"/>
    <n v="9.1404632578373057"/>
    <n v="84.168253232709247"/>
    <n v="68.54697546881485"/>
    <n v="11.520799999999999"/>
    <n v="-0.15080000000000027"/>
    <n v="21"/>
    <n v="12"/>
    <s v="Open ended"/>
    <s v="NIFTY 50 - TRI"/>
    <n v="1000"/>
    <n v="1000"/>
  </r>
  <r>
    <x v="21"/>
    <x v="4"/>
    <n v="10.34"/>
    <n v="30.24"/>
    <n v="14.68"/>
    <n v="1.76"/>
    <n v="74.500537056928025"/>
    <n v="71.568291008922458"/>
    <n v="68.993621545003549"/>
    <n v="70.86740548656411"/>
    <n v="37.164750957854409"/>
    <n v="2.7553919318902453"/>
    <n v="95.227521179200735"/>
    <n v="68.531770777545844"/>
    <n v="12.127586206896551"/>
    <n v="2.5524137931034492"/>
    <n v="22"/>
    <n v="2"/>
    <s v="Open ended"/>
    <s v="Nifty Smallcap 250 - TRI"/>
    <n v="5000"/>
    <n v="1000"/>
  </r>
  <r>
    <x v="22"/>
    <x v="1"/>
    <n v="4.42"/>
    <n v="14.37"/>
    <n v="11.46"/>
    <n v="0.66"/>
    <n v="61.783029001074105"/>
    <n v="44.337680164722038"/>
    <n v="57.583274273564847"/>
    <n v="54.449546986413857"/>
    <n v="79.310344827586206"/>
    <n v="9.105162446742856"/>
    <n v="84.229396031073222"/>
    <n v="68.109708707871789"/>
    <n v="11.520799999999999"/>
    <n v="-6.0799999999998633E-2"/>
    <n v="23"/>
    <n v="13"/>
    <s v="Open ended"/>
    <s v="NIFTY 50 - TRI"/>
    <n v="5000"/>
    <n v="1000"/>
  </r>
  <r>
    <x v="23"/>
    <x v="1"/>
    <n v="4.42"/>
    <n v="14.37"/>
    <n v="11.46"/>
    <n v="0.66"/>
    <n v="61.783029001074105"/>
    <n v="44.337680164722038"/>
    <n v="57.583274273564847"/>
    <n v="54.449546986413857"/>
    <n v="79.310344827586206"/>
    <n v="9.105162446742856"/>
    <n v="84.229396031073222"/>
    <n v="68.109708707871789"/>
    <n v="11.520799999999999"/>
    <n v="-6.0799999999998633E-2"/>
    <n v="23"/>
    <n v="13"/>
    <s v="Open ended"/>
    <s v="NIFTY 50 - TRI"/>
    <n v="5000"/>
    <n v="1000"/>
  </r>
  <r>
    <x v="24"/>
    <x v="5"/>
    <n v="12.64"/>
    <n v="10.09"/>
    <n v="11.65"/>
    <n v="0.21"/>
    <n v="79.441460794844261"/>
    <n v="36.993822923816069"/>
    <n v="58.256555634301911"/>
    <n v="56.114716853264625"/>
    <n v="96.551724137931032"/>
    <n v="21.223830826882178"/>
    <n v="63.239246676593488"/>
    <n v="68.005101130263441"/>
    <n v="11.126842105263158"/>
    <n v="0.52315789473684227"/>
    <n v="25"/>
    <n v="1"/>
    <s v="Open ended"/>
    <s v="Gold-India"/>
    <n v="1000"/>
    <n v="1000"/>
  </r>
  <r>
    <x v="25"/>
    <x v="1"/>
    <n v="4.16"/>
    <n v="13.68"/>
    <n v="10.91"/>
    <n v="0.59"/>
    <n v="61.224489795918366"/>
    <n v="43.15374056280028"/>
    <n v="55.63430191353649"/>
    <n v="53.008171084792004"/>
    <n v="81.992337164750964"/>
    <n v="9.2517258753530012"/>
    <n v="83.975540726188953"/>
    <n v="67.996055015130977"/>
    <n v="11.520799999999999"/>
    <n v="-0.61079999999999934"/>
    <n v="26"/>
    <n v="15"/>
    <s v="Open ended"/>
    <s v="NIFTY 50 - TRI"/>
    <n v="1000"/>
    <n v="1000"/>
  </r>
  <r>
    <x v="26"/>
    <x v="1"/>
    <n v="4.16"/>
    <n v="13.68"/>
    <n v="10.91"/>
    <n v="0.59"/>
    <n v="61.224489795918366"/>
    <n v="43.15374056280028"/>
    <n v="55.63430191353649"/>
    <n v="53.008171084792004"/>
    <n v="81.992337164750964"/>
    <n v="9.2517258753530012"/>
    <n v="83.975540726188953"/>
    <n v="67.996055015130977"/>
    <n v="11.520799999999999"/>
    <n v="-0.61079999999999934"/>
    <n v="26"/>
    <n v="15"/>
    <s v="Open ended"/>
    <s v="NIFTY 50 - TRI"/>
    <n v="1000"/>
    <n v="1000"/>
  </r>
  <r>
    <x v="27"/>
    <x v="1"/>
    <n v="4.16"/>
    <n v="13.68"/>
    <n v="10.84"/>
    <n v="0.59"/>
    <n v="61.224489795918366"/>
    <n v="43.15374056280028"/>
    <n v="55.38625088589653"/>
    <n v="52.884145570972024"/>
    <n v="81.992337164750964"/>
    <n v="9.2219965320367514"/>
    <n v="84.027033459288361"/>
    <n v="67.946915441495847"/>
    <n v="11.520799999999999"/>
    <n v="-0.68079999999999963"/>
    <n v="28"/>
    <n v="17"/>
    <s v="Open ended"/>
    <s v="NIFTY 50 - TRI"/>
    <n v="1000"/>
    <n v="1000"/>
  </r>
  <r>
    <x v="28"/>
    <x v="0"/>
    <n v="5.97"/>
    <n v="14.74"/>
    <n v="12.72"/>
    <n v="0.81"/>
    <n v="65.112781954887211"/>
    <n v="44.972546328071381"/>
    <n v="62.048192771084331"/>
    <n v="57.538416674941018"/>
    <n v="73.563218390804593"/>
    <n v="10.852023616327081"/>
    <n v="81.203743731584154"/>
    <n v="67.460948868067703"/>
    <n v="12.6"/>
    <n v="0.12000000000000099"/>
    <n v="29"/>
    <n v="5"/>
    <s v="Open ended"/>
    <s v="S&amp;P BSE SENSEX - TRI"/>
    <n v="5000"/>
    <n v="1000"/>
  </r>
  <r>
    <x v="29"/>
    <x v="1"/>
    <n v="4.46"/>
    <n v="18.21"/>
    <n v="10.08"/>
    <n v="0.88"/>
    <n v="61.868958109559614"/>
    <n v="50.926561427590954"/>
    <n v="52.693125442948265"/>
    <n v="53.998322771663339"/>
    <n v="70.88122605363985"/>
    <n v="5.8744176830781285"/>
    <n v="89.825210108027633"/>
    <n v="67.175770426248548"/>
    <n v="11.520799999999999"/>
    <n v="-1.4407999999999994"/>
    <n v="30"/>
    <n v="18"/>
    <s v="Open ended"/>
    <s v="NIFTY50 Equal Weight - TRI"/>
    <n v="1000"/>
    <n v="1000"/>
  </r>
  <r>
    <x v="30"/>
    <x v="1"/>
    <n v="4.46"/>
    <n v="18.21"/>
    <n v="10.08"/>
    <n v="0.88"/>
    <n v="61.868958109559614"/>
    <n v="50.926561427590954"/>
    <n v="52.693125442948265"/>
    <n v="53.998322771663339"/>
    <n v="70.88122605363985"/>
    <n v="5.8744176830781285"/>
    <n v="89.825210108027633"/>
    <n v="67.175770426248548"/>
    <n v="11.520799999999999"/>
    <n v="-1.4407999999999994"/>
    <n v="30"/>
    <n v="18"/>
    <s v="Open ended"/>
    <s v="NIFTY50 Equal Weight - TRI"/>
    <n v="1000"/>
    <n v="1000"/>
  </r>
  <r>
    <x v="31"/>
    <x v="0"/>
    <n v="5.97"/>
    <n v="14.39"/>
    <n v="12.27"/>
    <n v="0.81"/>
    <n v="65.112781954887211"/>
    <n v="44.371997254632809"/>
    <n v="60.453579021970228"/>
    <n v="56.560945078352397"/>
    <n v="73.563218390804593"/>
    <n v="10.881985067777299"/>
    <n v="81.151848975403865"/>
    <n v="66.95923938072832"/>
    <n v="12.6"/>
    <n v="-0.33000000000000007"/>
    <n v="32"/>
    <n v="6"/>
    <s v="Open ended"/>
    <s v="S&amp;P BSE SENSEX - TRI"/>
    <n v="5000"/>
    <n v="1000"/>
  </r>
  <r>
    <x v="32"/>
    <x v="0"/>
    <n v="5.97"/>
    <n v="14.39"/>
    <n v="12.27"/>
    <n v="0.81"/>
    <n v="65.112781954887211"/>
    <n v="44.371997254632809"/>
    <n v="60.453579021970228"/>
    <n v="56.560945078352397"/>
    <n v="73.563218390804593"/>
    <n v="10.881985067777299"/>
    <n v="81.151848975403865"/>
    <n v="66.95923938072832"/>
    <n v="12.6"/>
    <n v="-0.33000000000000007"/>
    <n v="32"/>
    <n v="6"/>
    <s v="Open ended"/>
    <s v="S&amp;P BSE SENSEX - TRI"/>
    <n v="5000"/>
    <n v="1000"/>
  </r>
  <r>
    <x v="33"/>
    <x v="0"/>
    <n v="5.97"/>
    <n v="14.38"/>
    <n v="12.27"/>
    <n v="0.81"/>
    <n v="65.112781954887211"/>
    <n v="44.354838709677423"/>
    <n v="60.453579021970228"/>
    <n v="56.55579751486578"/>
    <n v="73.563218390804593"/>
    <n v="10.891662096791396"/>
    <n v="81.135087869485133"/>
    <n v="66.952475322505322"/>
    <n v="12.6"/>
    <n v="-0.33000000000000007"/>
    <n v="34"/>
    <n v="8"/>
    <s v="Open ended"/>
    <s v="S&amp;P BSE SENSEX - TRI"/>
    <n v="5000"/>
    <n v="1000"/>
  </r>
  <r>
    <x v="34"/>
    <x v="2"/>
    <n v="6.37"/>
    <n v="23.61"/>
    <n v="14.85"/>
    <n v="1.61"/>
    <n v="65.972073039742213"/>
    <n v="60.192175703500354"/>
    <n v="69.596031183557756"/>
    <n v="66.050082910777434"/>
    <n v="42.911877394636001"/>
    <n v="4.7429383251213295"/>
    <n v="91.784989843724219"/>
    <n v="66.699258264978766"/>
    <n v="9.2084615384615383"/>
    <n v="5.6415384615384614"/>
    <n v="35"/>
    <n v="3"/>
    <s v="Open ended"/>
    <s v="NIFTY 200 - TRI"/>
    <n v="5000"/>
    <n v="1000"/>
  </r>
  <r>
    <x v="35"/>
    <x v="5"/>
    <n v="12.26"/>
    <n v="9.92"/>
    <n v="11.41"/>
    <n v="0.37"/>
    <n v="78.625134264232017"/>
    <n v="36.702127659574465"/>
    <n v="57.406094968107723"/>
    <n v="55.438712634772607"/>
    <n v="90.421455938697321"/>
    <n v="20.962030649635075"/>
    <n v="63.69269788501601"/>
    <n v="66.247894773314641"/>
    <n v="11.126842105263158"/>
    <n v="0.28315789473684205"/>
    <n v="36"/>
    <n v="2"/>
    <s v="Open ended"/>
    <s v="Gold-India"/>
    <n v="1000"/>
    <n v="1000"/>
  </r>
  <r>
    <x v="36"/>
    <x v="5"/>
    <n v="12.26"/>
    <n v="9.92"/>
    <n v="11.41"/>
    <n v="0.37"/>
    <n v="78.625134264232017"/>
    <n v="36.702127659574465"/>
    <n v="57.406094968107723"/>
    <n v="55.438712634772607"/>
    <n v="90.421455938697321"/>
    <n v="20.962030649635075"/>
    <n v="63.69269788501601"/>
    <n v="66.247894773314641"/>
    <n v="11.126842105263158"/>
    <n v="0.28315789473684205"/>
    <n v="36"/>
    <n v="2"/>
    <s v="Open ended"/>
    <s v="Gold-India"/>
    <n v="1000"/>
    <n v="1000"/>
  </r>
  <r>
    <x v="37"/>
    <x v="5"/>
    <n v="13.02"/>
    <n v="10.11"/>
    <n v="11.7"/>
    <n v="0.42"/>
    <n v="80.257787325456491"/>
    <n v="37.028140013726841"/>
    <n v="58.433734939759027"/>
    <n v="56.37686693908887"/>
    <n v="88.505747126436788"/>
    <n v="21.615161204455454"/>
    <n v="62.561442580091466"/>
    <n v="65.955230896176502"/>
    <n v="11.126842105263158"/>
    <n v="0.5731578947368412"/>
    <n v="38"/>
    <n v="4"/>
    <s v="Open ended"/>
    <s v="Gold-London Bullion Market association (LBMA)"/>
    <n v="5000"/>
    <n v="1000"/>
  </r>
  <r>
    <x v="38"/>
    <x v="5"/>
    <n v="13.02"/>
    <n v="10.1"/>
    <n v="11.7"/>
    <n v="0.42"/>
    <n v="80.257787325456491"/>
    <n v="37.010981468771455"/>
    <n v="58.433734939759027"/>
    <n v="56.371719375602254"/>
    <n v="88.505747126436788"/>
    <n v="21.623713239628788"/>
    <n v="62.54663002066313"/>
    <n v="65.948953974576114"/>
    <n v="11.126842105263158"/>
    <n v="0.5731578947368412"/>
    <n v="39"/>
    <n v="5"/>
    <s v="Open ended"/>
    <s v="Gold-London Bullion Market association (LBMA)"/>
    <n v="5000"/>
    <n v="1000"/>
  </r>
  <r>
    <x v="39"/>
    <x v="6"/>
    <n v="10.1"/>
    <n v="25.48"/>
    <n v="13.97"/>
    <n v="1.74"/>
    <n v="73.984962406015029"/>
    <n v="63.400823610157865"/>
    <n v="66.477675407512393"/>
    <n v="67.056077268006561"/>
    <n v="37.931034482758605"/>
    <n v="5.4444217493801128"/>
    <n v="90.569984912240614"/>
    <n v="65.653293482753085"/>
    <n v="9.0435999999999996"/>
    <n v="4.926400000000001"/>
    <n v="40"/>
    <n v="1"/>
    <s v="Open ended"/>
    <s v="NIFTY 500 - TRI"/>
    <n v="1000"/>
    <n v="1000"/>
  </r>
  <r>
    <x v="40"/>
    <x v="5"/>
    <n v="12.62"/>
    <n v="10.11"/>
    <n v="11.47"/>
    <n v="0.45"/>
    <n v="79.398496240601503"/>
    <n v="37.028140013726841"/>
    <n v="57.618710134656268"/>
    <n v="55.797496319566491"/>
    <n v="87.356321839080465"/>
    <n v="21.18795942478453"/>
    <n v="63.301377767565349"/>
    <n v="65.563173061444701"/>
    <n v="11.126842105263158"/>
    <n v="0.34315789473684255"/>
    <n v="41"/>
    <n v="6"/>
    <s v="Open ended"/>
    <s v="Gold-India"/>
    <n v="1000"/>
    <n v="1000"/>
  </r>
  <r>
    <x v="41"/>
    <x v="5"/>
    <n v="12.62"/>
    <n v="10.11"/>
    <n v="11.47"/>
    <n v="0.45"/>
    <n v="79.398496240601503"/>
    <n v="37.028140013726841"/>
    <n v="57.618710134656268"/>
    <n v="55.797496319566491"/>
    <n v="87.356321839080465"/>
    <n v="21.18795942478453"/>
    <n v="63.301377767565349"/>
    <n v="65.563173061444701"/>
    <n v="11.126842105263158"/>
    <n v="0.34315789473684255"/>
    <n v="41"/>
    <n v="6"/>
    <s v="Open ended"/>
    <s v="Gold-India"/>
    <n v="1000"/>
    <n v="1000"/>
  </r>
  <r>
    <x v="42"/>
    <x v="1"/>
    <n v="4.4400000000000004"/>
    <n v="15.3"/>
    <n v="12.21"/>
    <n v="1.04"/>
    <n v="61.825993555316863"/>
    <n v="45.9334248455731"/>
    <n v="60.240963855421683"/>
    <n v="56.265708092446147"/>
    <n v="64.750957854406124"/>
    <n v="8.7539679751700348"/>
    <n v="84.83768269917465"/>
    <n v="65.530014184618267"/>
    <n v="11.520799999999999"/>
    <n v="0.68920000000000137"/>
    <n v="43"/>
    <n v="20"/>
    <s v="Open ended"/>
    <s v="NIFTY 50 - TRI"/>
    <n v="5000"/>
    <n v="1000"/>
  </r>
  <r>
    <x v="43"/>
    <x v="1"/>
    <n v="4.43"/>
    <n v="15.29"/>
    <n v="12.21"/>
    <n v="1.04"/>
    <n v="61.804511278195484"/>
    <n v="45.916266300617707"/>
    <n v="60.240963855421683"/>
    <n v="56.256264073535249"/>
    <n v="64.750957854406124"/>
    <n v="8.7566923839940376"/>
    <n v="84.832963884670889"/>
    <n v="65.524112471536881"/>
    <n v="11.520799999999999"/>
    <n v="0.68920000000000137"/>
    <n v="44"/>
    <n v="21"/>
    <s v="Open ended"/>
    <s v="NIFTY 50 - TRI"/>
    <n v="5000"/>
    <n v="1000"/>
  </r>
  <r>
    <x v="44"/>
    <x v="1"/>
    <n v="4.1500000000000004"/>
    <n v="14.04"/>
    <n v="11.25"/>
    <n v="0.9"/>
    <n v="61.203007518796994"/>
    <n v="43.771448181194238"/>
    <n v="56.839121190644939"/>
    <n v="53.791596553440144"/>
    <n v="70.114942528735625"/>
    <n v="9.0707115000912371"/>
    <n v="84.289066821042667"/>
    <n v="65.496800614164641"/>
    <n v="11.520799999999999"/>
    <n v="-0.27079999999999949"/>
    <n v="45"/>
    <n v="22"/>
    <s v="Open ended"/>
    <s v="NIFTY 50 - TRI"/>
    <n v="5000"/>
    <n v="1000"/>
  </r>
  <r>
    <x v="45"/>
    <x v="1"/>
    <n v="4.16"/>
    <n v="14.02"/>
    <n v="11.24"/>
    <n v="0.9"/>
    <n v="61.224489795918366"/>
    <n v="43.737131091283466"/>
    <n v="56.80368532955351"/>
    <n v="53.767879951345463"/>
    <n v="70.114942528735625"/>
    <n v="9.0929099326164948"/>
    <n v="84.250618008060542"/>
    <n v="65.475330109871777"/>
    <n v="11.520799999999999"/>
    <n v="-0.28079999999999927"/>
    <n v="46"/>
    <n v="23"/>
    <s v="Open ended"/>
    <s v="NIFTY 50 - TRI"/>
    <n v="5000"/>
    <n v="1000"/>
  </r>
  <r>
    <x v="46"/>
    <x v="7"/>
    <n v="8.15"/>
    <n v="17.09"/>
    <n v="11.05"/>
    <n v="1.01"/>
    <n v="69.795918367346928"/>
    <n v="49.004804392587516"/>
    <n v="56.130403968816431"/>
    <n v="56.72582697565386"/>
    <n v="65.900383141762447"/>
    <n v="10.565595687644514"/>
    <n v="81.699851456769068"/>
    <n v="65.262972137459812"/>
    <n v="8.6526315789473696"/>
    <n v="2.3973684210526311"/>
    <n v="47"/>
    <n v="1"/>
    <s v="Open ended"/>
    <s v="S&amp;P BSE 200 - TRI"/>
    <n v="5000"/>
    <n v="1000"/>
  </r>
  <r>
    <x v="47"/>
    <x v="7"/>
    <n v="8.15"/>
    <n v="17.09"/>
    <n v="11.05"/>
    <n v="1.01"/>
    <n v="69.795918367346928"/>
    <n v="49.004804392587516"/>
    <n v="56.130403968816431"/>
    <n v="56.72582697565386"/>
    <n v="65.900383141762447"/>
    <n v="10.565595687644514"/>
    <n v="81.699851456769068"/>
    <n v="65.262972137459812"/>
    <n v="8.6526315789473696"/>
    <n v="2.3973684210526311"/>
    <n v="47"/>
    <n v="1"/>
    <s v="Open ended"/>
    <s v="S&amp;P BSE 200 - TRI"/>
    <n v="5000"/>
    <n v="1000"/>
  </r>
  <r>
    <x v="48"/>
    <x v="5"/>
    <n v="12.41"/>
    <n v="10.119999999999999"/>
    <n v="12"/>
    <n v="0.54"/>
    <n v="78.94736842105263"/>
    <n v="37.045298558682227"/>
    <n v="59.496810772501775"/>
    <n v="56.651468638066085"/>
    <n v="83.908045977011497"/>
    <n v="20.968937551681289"/>
    <n v="63.680734779749066"/>
    <n v="65.222929508223189"/>
    <n v="11.126842105263158"/>
    <n v="0.87315789473684191"/>
    <n v="49"/>
    <n v="8"/>
    <s v="Open ended"/>
    <s v="Gold-India"/>
    <n v="5000"/>
    <n v="1000"/>
  </r>
  <r>
    <x v="49"/>
    <x v="5"/>
    <n v="12.41"/>
    <n v="10.119999999999999"/>
    <n v="12"/>
    <n v="0.54"/>
    <n v="78.94736842105263"/>
    <n v="37.045298558682227"/>
    <n v="59.496810772501775"/>
    <n v="56.651468638066085"/>
    <n v="83.908045977011497"/>
    <n v="20.968937551681289"/>
    <n v="63.680734779749066"/>
    <n v="65.222929508223189"/>
    <n v="11.126842105263158"/>
    <n v="0.87315789473684191"/>
    <n v="49"/>
    <n v="8"/>
    <s v="Open ended"/>
    <s v="Gold-India"/>
    <n v="5000"/>
    <n v="1000"/>
  </r>
  <r>
    <x v="50"/>
    <x v="2"/>
    <n v="0.93"/>
    <n v="12.62"/>
    <n v="8.9600000000000009"/>
    <n v="0.75"/>
    <n v="54.285714285714285"/>
    <n v="41.334934797529172"/>
    <n v="48.724309000708715"/>
    <n v="47.619777796755969"/>
    <n v="75.862068965517238"/>
    <n v="6.4968552547918579"/>
    <n v="88.747116609279658"/>
    <n v="64.962185292077208"/>
    <n v="9.2084615384615383"/>
    <n v="-0.2484615384615374"/>
    <n v="51"/>
    <n v="4"/>
    <s v="Open ended"/>
    <s v="S&amp;P BSE 200 - TRI"/>
    <n v="1000"/>
    <n v="1000"/>
  </r>
  <r>
    <x v="51"/>
    <x v="2"/>
    <n v="0.93"/>
    <n v="12.62"/>
    <n v="8.9600000000000009"/>
    <n v="0.75"/>
    <n v="54.285714285714285"/>
    <n v="41.334934797529172"/>
    <n v="48.724309000708715"/>
    <n v="47.619777796755969"/>
    <n v="75.862068965517238"/>
    <n v="6.4968552547918579"/>
    <n v="88.747116609279658"/>
    <n v="64.962185292077208"/>
    <n v="9.2084615384615383"/>
    <n v="-0.2484615384615374"/>
    <n v="51"/>
    <n v="4"/>
    <s v="Open ended"/>
    <s v="S&amp;P BSE 200 - TRI"/>
    <n v="1000"/>
    <n v="1000"/>
  </r>
  <r>
    <x v="52"/>
    <x v="6"/>
    <n v="10.08"/>
    <n v="25.12"/>
    <n v="13.49"/>
    <n v="1.74"/>
    <n v="73.941997851772285"/>
    <n v="62.783115991763907"/>
    <n v="64.776754075124018"/>
    <n v="66.011711405445638"/>
    <n v="37.931034482758605"/>
    <n v="5.951147377585233"/>
    <n v="89.692310378692085"/>
    <n v="64.911691918085495"/>
    <n v="9.0435999999999996"/>
    <n v="4.4464000000000006"/>
    <n v="53"/>
    <n v="2"/>
    <s v="Open ended"/>
    <s v="NIFTY 500 - TRI"/>
    <n v="1000"/>
    <n v="1000"/>
  </r>
  <r>
    <x v="53"/>
    <x v="5"/>
    <n v="12.6"/>
    <n v="10.09"/>
    <n v="11.5"/>
    <n v="0.53"/>
    <n v="79.355531686358745"/>
    <n v="36.993822923816069"/>
    <n v="57.725017717930548"/>
    <n v="55.831762073381839"/>
    <n v="84.291187739463595"/>
    <n v="21.182445331816517"/>
    <n v="63.310928456743603"/>
    <n v="64.816410085742717"/>
    <n v="11.126842105263158"/>
    <n v="0.37315789473684191"/>
    <n v="54"/>
    <n v="10"/>
    <s v="Open ended"/>
    <s v="Gold-India"/>
    <n v="1000"/>
    <n v="1000"/>
  </r>
  <r>
    <x v="54"/>
    <x v="5"/>
    <n v="12.6"/>
    <n v="10.09"/>
    <n v="11.5"/>
    <n v="0.53"/>
    <n v="79.355531686358745"/>
    <n v="36.993822923816069"/>
    <n v="57.725017717930548"/>
    <n v="55.831762073381839"/>
    <n v="84.291187739463595"/>
    <n v="21.182445331816517"/>
    <n v="63.310928456743603"/>
    <n v="64.816410085742717"/>
    <n v="11.126842105263158"/>
    <n v="0.37315789473684191"/>
    <n v="54"/>
    <n v="10"/>
    <s v="Open ended"/>
    <s v="Gold-India"/>
    <n v="1000"/>
    <n v="1000"/>
  </r>
  <r>
    <x v="55"/>
    <x v="5"/>
    <n v="13.3"/>
    <n v="9.9"/>
    <n v="11.56"/>
    <n v="0.51"/>
    <n v="80.859291084854988"/>
    <n v="36.667810569663693"/>
    <n v="57.937632884479086"/>
    <n v="56.141017830109647"/>
    <n v="85.057471264367805"/>
    <n v="22.10088499767679"/>
    <n v="61.72014429178703"/>
    <n v="64.764912804093541"/>
    <n v="11.126842105263158"/>
    <n v="0.43315789473684241"/>
    <n v="56"/>
    <n v="12"/>
    <s v="Open ended"/>
    <s v="Gold-India"/>
    <n v="1000"/>
    <n v="1000"/>
  </r>
  <r>
    <x v="56"/>
    <x v="5"/>
    <n v="13.3"/>
    <n v="9.89"/>
    <n v="11.55"/>
    <n v="0.51"/>
    <n v="80.859291084854988"/>
    <n v="36.650652024708307"/>
    <n v="57.902197023387671"/>
    <n v="56.11815233607733"/>
    <n v="85.057471264367805"/>
    <n v="22.109802125333001"/>
    <n v="61.704699373628898"/>
    <n v="64.749618827537844"/>
    <n v="11.126842105263158"/>
    <n v="0.42315789473684262"/>
    <n v="57"/>
    <n v="13"/>
    <s v="Open ended"/>
    <s v="Gold-India"/>
    <n v="1000"/>
    <n v="1000"/>
  </r>
  <r>
    <x v="57"/>
    <x v="5"/>
    <n v="12.87"/>
    <n v="10.26"/>
    <n v="11.95"/>
    <n v="0.6"/>
    <n v="79.935553168635877"/>
    <n v="37.285518188057651"/>
    <n v="59.319631467044644"/>
    <n v="56.832581823666793"/>
    <n v="81.609195402298852"/>
    <n v="21.328946916658893"/>
    <n v="63.057180268407251"/>
    <n v="64.582884829509922"/>
    <n v="11.126842105263158"/>
    <n v="0.8231578947368412"/>
    <n v="58"/>
    <n v="14"/>
    <s v="Open ended"/>
    <s v="Gold-India"/>
    <n v="5000"/>
    <n v="1000"/>
  </r>
  <r>
    <x v="58"/>
    <x v="5"/>
    <n v="12.87"/>
    <n v="10.25"/>
    <n v="11.94"/>
    <n v="0.6"/>
    <n v="79.935553168635877"/>
    <n v="37.268359643102265"/>
    <n v="59.284195605953215"/>
    <n v="56.809716329634462"/>
    <n v="81.609195402298852"/>
    <n v="21.337232738690481"/>
    <n v="63.042828803666062"/>
    <n v="64.567864216308465"/>
    <n v="11.126842105263158"/>
    <n v="0.81315789473684141"/>
    <n v="59"/>
    <n v="15"/>
    <s v="Open ended"/>
    <s v="Gold-India"/>
    <n v="5000"/>
    <n v="1000"/>
  </r>
  <r>
    <x v="59"/>
    <x v="1"/>
    <n v="4.04"/>
    <n v="14.07"/>
    <n v="11.34"/>
    <n v="1.01"/>
    <n v="60.966702470461861"/>
    <n v="43.822923816060403"/>
    <n v="57.158043940467749"/>
    <n v="53.91923960914437"/>
    <n v="65.900383141762447"/>
    <n v="9.0022261606188447"/>
    <n v="84.407686908582463"/>
    <n v="64.536637317158409"/>
    <n v="11.520799999999999"/>
    <n v="-0.18079999999999963"/>
    <n v="60"/>
    <n v="24"/>
    <s v="Open ended"/>
    <s v="NIFTY 50 - TRI"/>
    <n v="5000"/>
    <n v="1000"/>
  </r>
  <r>
    <x v="60"/>
    <x v="1"/>
    <n v="4.04"/>
    <n v="14.07"/>
    <n v="11.34"/>
    <n v="1.01"/>
    <n v="60.966702470461861"/>
    <n v="43.822923816060403"/>
    <n v="57.158043940467749"/>
    <n v="53.91923960914437"/>
    <n v="65.900383141762447"/>
    <n v="9.0022261606188447"/>
    <n v="84.407686908582463"/>
    <n v="64.536637317158409"/>
    <n v="11.520799999999999"/>
    <n v="-0.18079999999999963"/>
    <n v="60"/>
    <n v="24"/>
    <s v="Open ended"/>
    <s v="NIFTY 50 - TRI"/>
    <n v="5000"/>
    <n v="1000"/>
  </r>
  <r>
    <x v="61"/>
    <x v="0"/>
    <n v="5.58"/>
    <n v="14.22"/>
    <n v="12.39"/>
    <n v="1.08"/>
    <n v="64.274973147153588"/>
    <n v="44.080301990391227"/>
    <n v="60.878809355067332"/>
    <n v="56.518489904081754"/>
    <n v="63.218390804597703"/>
    <n v="10.813174998688133"/>
    <n v="81.271031511138631"/>
    <n v="64.381600530974964"/>
    <n v="12.6"/>
    <n v="-0.20999999999999908"/>
    <n v="62"/>
    <n v="9"/>
    <s v="Open ended"/>
    <s v="S&amp;P BSE SENSEX - TRI"/>
    <n v="5000"/>
    <n v="1000"/>
  </r>
  <r>
    <x v="62"/>
    <x v="0"/>
    <n v="5.58"/>
    <n v="14.22"/>
    <n v="12.39"/>
    <n v="1.08"/>
    <n v="64.274973147153588"/>
    <n v="44.080301990391227"/>
    <n v="60.878809355067332"/>
    <n v="56.518489904081754"/>
    <n v="63.218390804597703"/>
    <n v="10.813174998688133"/>
    <n v="81.271031511138631"/>
    <n v="64.381600530974964"/>
    <n v="12.6"/>
    <n v="-0.20999999999999908"/>
    <n v="62"/>
    <n v="9"/>
    <s v="Open ended"/>
    <s v="S&amp;P BSE SENSEX - TRI"/>
    <n v="5000"/>
    <n v="1000"/>
  </r>
  <r>
    <x v="63"/>
    <x v="4"/>
    <n v="7.19"/>
    <n v="46.81"/>
    <n v="23.43"/>
    <n v="2.67"/>
    <n v="67.733619763694946"/>
    <n v="100.00000000000003"/>
    <n v="100"/>
    <n v="93.546723952739001"/>
    <n v="2.2988505747126409"/>
    <n v="18.629003315205551"/>
    <n v="67.733619763694932"/>
    <n v="64.281479560971391"/>
    <n v="12.127586206896551"/>
    <n v="11.302413793103449"/>
    <n v="64"/>
    <n v="3"/>
    <s v="Open ended"/>
    <s v="Nifty Smallcap 250 - TRI"/>
    <n v="5000"/>
    <n v="1000"/>
  </r>
  <r>
    <x v="64"/>
    <x v="8"/>
    <n v="14.48"/>
    <n v="29.38"/>
    <n v="13.69"/>
    <n v="1.91"/>
    <n v="83.394199785177221"/>
    <n v="70.092656142759097"/>
    <n v="65.485471296952497"/>
    <n v="70.449372448339432"/>
    <n v="31.417624521072796"/>
    <n v="9.2994603027947793"/>
    <n v="83.892862272589582"/>
    <n v="64.052307922585314"/>
    <n v="12.436666666666667"/>
    <n v="1.2533333333333321"/>
    <n v="65"/>
    <n v="1"/>
    <s v="Open ended"/>
    <s v="S&amp;P BSE 500 - TRI"/>
    <n v="5000"/>
    <n v="1000"/>
  </r>
  <r>
    <x v="65"/>
    <x v="8"/>
    <n v="14.48"/>
    <n v="29.38"/>
    <n v="13.69"/>
    <n v="1.91"/>
    <n v="83.394199785177221"/>
    <n v="70.092656142759097"/>
    <n v="65.485471296952497"/>
    <n v="70.449372448339432"/>
    <n v="31.417624521072796"/>
    <n v="9.2994603027947793"/>
    <n v="83.892862272589582"/>
    <n v="64.052307922585314"/>
    <n v="12.436666666666667"/>
    <n v="1.2533333333333321"/>
    <n v="65"/>
    <n v="1"/>
    <s v="Open ended"/>
    <s v="S&amp;P BSE 500 - TRI"/>
    <n v="5000"/>
    <n v="1000"/>
  </r>
  <r>
    <x v="66"/>
    <x v="4"/>
    <n v="7.09"/>
    <n v="46.69"/>
    <n v="23.04"/>
    <n v="2.67"/>
    <n v="67.518796992481199"/>
    <n v="99.794097460535355"/>
    <n v="98.618001417434442"/>
    <n v="92.750989345374066"/>
    <n v="2.2988505747126409"/>
    <n v="18.304092156631743"/>
    <n v="68.296382398290831"/>
    <n v="64.024302915937909"/>
    <n v="12.127586206896551"/>
    <n v="10.912413793103449"/>
    <n v="67"/>
    <n v="4"/>
    <s v="Open ended"/>
    <s v="Nifty Smallcap 250 - TRI"/>
    <n v="5000"/>
    <n v="1000"/>
  </r>
  <r>
    <x v="67"/>
    <x v="5"/>
    <n v="11.82"/>
    <n v="10.02"/>
    <n v="11.48"/>
    <n v="0.65"/>
    <n v="77.679914070891513"/>
    <n v="36.873713109128346"/>
    <n v="57.654145995747697"/>
    <n v="55.425169744790658"/>
    <n v="79.693486590038304"/>
    <n v="20.404263504173752"/>
    <n v="64.658778919747675"/>
    <n v="63.800651249841827"/>
    <n v="11.126842105263158"/>
    <n v="0.35315789473684234"/>
    <n v="68"/>
    <n v="16"/>
    <s v="Open ended"/>
    <s v="Gold-India"/>
    <n v="1000"/>
    <n v="1000"/>
  </r>
  <r>
    <x v="68"/>
    <x v="3"/>
    <n v="4.17"/>
    <n v="10.97"/>
    <n v="8.7200000000000006"/>
    <n v="0.67"/>
    <n v="61.245972073039731"/>
    <n v="38.503774879890187"/>
    <n v="47.873848334514527"/>
    <n v="47.737251045832267"/>
    <n v="78.927203065134094"/>
    <n v="11.429636207360115"/>
    <n v="80.203289376823435"/>
    <n v="63.651248633405515"/>
    <n v="7.5967647058823538"/>
    <n v="1.1232352941176469"/>
    <n v="69"/>
    <n v="3"/>
    <s v="Open ended"/>
    <s v="CRISIL Hybrid 50+50 - Moderate Index"/>
    <n v="1000"/>
    <n v="1000"/>
  </r>
  <r>
    <x v="69"/>
    <x v="3"/>
    <n v="4.17"/>
    <n v="10.97"/>
    <n v="8.7200000000000006"/>
    <n v="0.67"/>
    <n v="61.245972073039731"/>
    <n v="38.503774879890187"/>
    <n v="47.873848334514527"/>
    <n v="47.737251045832267"/>
    <n v="78.927203065134094"/>
    <n v="11.429636207360115"/>
    <n v="80.203289376823435"/>
    <n v="63.651248633405515"/>
    <n v="7.5967647058823538"/>
    <n v="1.1232352941176469"/>
    <n v="69"/>
    <n v="3"/>
    <s v="Open ended"/>
    <s v="CRISIL Hybrid 50+50 - Moderate Index"/>
    <n v="1000"/>
    <n v="1000"/>
  </r>
  <r>
    <x v="70"/>
    <x v="9"/>
    <n v="-2.14"/>
    <n v="13.92"/>
    <n v="7.77"/>
    <n v="0.95"/>
    <n v="47.690655209452196"/>
    <n v="43.565545641729585"/>
    <n v="44.507441530829198"/>
    <n v="44.861515499823909"/>
    <n v="68.199233716475092"/>
    <n v="2.161656237525289"/>
    <n v="96.255901568108015"/>
    <n v="63.544541571057735"/>
    <n v="9.1675000000000004"/>
    <n v="-1.3975000000000009"/>
    <n v="71"/>
    <n v="1"/>
    <s v="Open ended"/>
    <s v="Nifty100 Equal Weight - TRI"/>
    <n v="1000"/>
    <n v="1000"/>
  </r>
  <r>
    <x v="71"/>
    <x v="9"/>
    <n v="-2.14"/>
    <n v="13.92"/>
    <n v="7.77"/>
    <n v="0.95"/>
    <n v="47.690655209452196"/>
    <n v="43.565545641729585"/>
    <n v="44.507441530829198"/>
    <n v="44.861515499823909"/>
    <n v="68.199233716475092"/>
    <n v="2.161656237525289"/>
    <n v="96.255901568108015"/>
    <n v="63.544541571057735"/>
    <n v="9.1675000000000004"/>
    <n v="-1.3975000000000009"/>
    <n v="71"/>
    <n v="1"/>
    <s v="Open ended"/>
    <s v="Nifty100 Equal Weight - TRI"/>
    <n v="1000"/>
    <n v="1000"/>
  </r>
  <r>
    <x v="72"/>
    <x v="5"/>
    <n v="12.08"/>
    <n v="10.01"/>
    <n v="11.28"/>
    <n v="0.67"/>
    <n v="78.238453276047267"/>
    <n v="36.85655456417296"/>
    <n v="56.94542877391919"/>
    <n v="55.177371411420935"/>
    <n v="78.927203065134094"/>
    <n v="20.693869061725579"/>
    <n v="64.157167379913602"/>
    <n v="63.359778316972388"/>
    <n v="11.126842105263158"/>
    <n v="0.15315789473684127"/>
    <n v="73"/>
    <n v="17"/>
    <s v="Open ended"/>
    <s v="Gold-India"/>
    <n v="5000"/>
    <n v="1000"/>
  </r>
  <r>
    <x v="73"/>
    <x v="4"/>
    <n v="9.65"/>
    <n v="24.58"/>
    <n v="13.03"/>
    <n v="1.83"/>
    <n v="73.018259935553161"/>
    <n v="61.85655456417296"/>
    <n v="63.146704464918493"/>
    <n v="64.733970588821762"/>
    <n v="34.482758620689658"/>
    <n v="6.1059501168083115"/>
    <n v="89.424184169206882"/>
    <n v="63.343720991885014"/>
    <n v="12.127586206896551"/>
    <n v="0.90241379310344882"/>
    <n v="74"/>
    <n v="5"/>
    <s v="Open ended"/>
    <s v="S&amp;P BSE 250 Small Cap - TRI"/>
    <n v="5000"/>
    <n v="1000"/>
  </r>
  <r>
    <x v="74"/>
    <x v="4"/>
    <n v="9.65"/>
    <n v="24.58"/>
    <n v="13.03"/>
    <n v="1.83"/>
    <n v="73.018259935553161"/>
    <n v="61.85655456417296"/>
    <n v="63.146704464918493"/>
    <n v="64.733970588821762"/>
    <n v="34.482758620689658"/>
    <n v="6.1059501168083115"/>
    <n v="89.424184169206882"/>
    <n v="63.343720991885014"/>
    <n v="12.127586206896551"/>
    <n v="0.90241379310344882"/>
    <n v="74"/>
    <n v="5"/>
    <s v="Open ended"/>
    <s v="S&amp;P BSE 250 Small Cap - TRI"/>
    <n v="5000"/>
    <n v="1000"/>
  </r>
  <r>
    <x v="75"/>
    <x v="10"/>
    <n v="7.62"/>
    <n v="28.31"/>
    <n v="20.14"/>
    <n v="2.31"/>
    <n v="68.657357679914071"/>
    <n v="68.256691832532596"/>
    <n v="88.341601700921331"/>
    <n v="78.379279936203261"/>
    <n v="16.09195402298851"/>
    <n v="11.482113628169083"/>
    <n v="80.112395817732121"/>
    <n v="63.240727428281787"/>
    <n v="10.563571428571427"/>
    <n v="9.5764285714285737"/>
    <n v="76"/>
    <n v="1"/>
    <s v="Open ended"/>
    <s v=""/>
    <n v="5000"/>
    <n v="1000"/>
  </r>
  <r>
    <x v="76"/>
    <x v="10"/>
    <n v="7.61"/>
    <n v="28.21"/>
    <n v="20.079999999999998"/>
    <n v="2.31"/>
    <n v="68.635875402792692"/>
    <n v="68.085106382978736"/>
    <n v="88.128986534372771"/>
    <n v="78.217200262638556"/>
    <n v="16.09195402298851"/>
    <n v="11.416668075119858"/>
    <n v="80.225750840742833"/>
    <n v="63.188026347252119"/>
    <n v="10.563571428571427"/>
    <n v="9.5164285714285715"/>
    <n v="77"/>
    <n v="2"/>
    <s v="Open ended"/>
    <s v=""/>
    <n v="5000"/>
    <n v="1000"/>
  </r>
  <r>
    <x v="77"/>
    <x v="11"/>
    <n v="7.66"/>
    <n v="20.37"/>
    <n v="13.58"/>
    <n v="1.69"/>
    <n v="68.743286788399573"/>
    <n v="54.632807137954707"/>
    <n v="65.095676824946835"/>
    <n v="62.686337911539745"/>
    <n v="39.846743295019159"/>
    <n v="7.3244150676359707"/>
    <n v="87.313740967131466"/>
    <n v="63.133290021307531"/>
    <n v="11.362272727272726"/>
    <n v="2.2177272727272737"/>
    <n v="78"/>
    <n v="1"/>
    <s v="Open ended"/>
    <s v="Nifty Midcap 150 - TRI"/>
    <n v="1000"/>
    <n v="1000"/>
  </r>
  <r>
    <x v="78"/>
    <x v="11"/>
    <n v="7.66"/>
    <n v="20.37"/>
    <n v="13.33"/>
    <n v="1.69"/>
    <n v="68.743286788399573"/>
    <n v="54.632807137954707"/>
    <n v="64.209780297661226"/>
    <n v="62.24338964789694"/>
    <n v="39.846743295019159"/>
    <n v="7.2038963065011385"/>
    <n v="87.522485584682244"/>
    <n v="62.964002043873819"/>
    <n v="11.362272727272726"/>
    <n v="1.9677272727272737"/>
    <n v="79"/>
    <n v="2"/>
    <s v="Open ended"/>
    <s v="Nifty Midcap 150 - TRI"/>
    <n v="1000"/>
    <n v="1000"/>
  </r>
  <r>
    <x v="79"/>
    <x v="11"/>
    <n v="6.23"/>
    <n v="23.05"/>
    <n v="12.19"/>
    <n v="1.8"/>
    <n v="65.671321160042964"/>
    <n v="59.231297185998635"/>
    <n v="60.170092133238825"/>
    <n v="60.988699454427596"/>
    <n v="35.632183908045967"/>
    <n v="3.4789549567023199"/>
    <n v="93.974273257747996"/>
    <n v="62.895964018662291"/>
    <n v="11.362272727272726"/>
    <n v="0.82772727272727309"/>
    <n v="80"/>
    <n v="3"/>
    <s v="Open ended"/>
    <s v="Nifty Free Float Midcap 150 - TRI"/>
    <n v="5000"/>
    <n v="1000"/>
  </r>
  <r>
    <x v="80"/>
    <x v="11"/>
    <n v="6.23"/>
    <n v="23.05"/>
    <n v="12.19"/>
    <n v="1.8"/>
    <n v="65.671321160042964"/>
    <n v="59.231297185998635"/>
    <n v="60.170092133238825"/>
    <n v="60.988699454427596"/>
    <n v="35.632183908045967"/>
    <n v="3.4789549567023199"/>
    <n v="93.974273257747996"/>
    <n v="62.895964018662291"/>
    <n v="11.362272727272726"/>
    <n v="0.82772727272727309"/>
    <n v="80"/>
    <n v="3"/>
    <s v="Open ended"/>
    <s v="Nifty Free Float Midcap 150 - TRI"/>
    <n v="5000"/>
    <n v="1000"/>
  </r>
  <r>
    <x v="81"/>
    <x v="11"/>
    <n v="10.93"/>
    <n v="31.73"/>
    <n v="18.399999999999999"/>
    <n v="2.68"/>
    <n v="75.767991407089141"/>
    <n v="74.124914207275225"/>
    <n v="82.175761871013449"/>
    <n v="78.478953479107119"/>
    <n v="1.9157088122605304"/>
    <n v="4.2539270701241128"/>
    <n v="92.631982182852425"/>
    <n v="62.876399488331799"/>
    <n v="11.362272727272726"/>
    <n v="7.0377272727272722"/>
    <n v="82"/>
    <n v="5"/>
    <s v="Open ended"/>
    <s v="Nifty Midcap 150 - TRI"/>
    <n v="5000"/>
    <n v="1000"/>
  </r>
  <r>
    <x v="82"/>
    <x v="2"/>
    <n v="4.24"/>
    <n v="13.06"/>
    <n v="9.69"/>
    <n v="0.98"/>
    <n v="61.396348012889369"/>
    <n v="42.089910775566238"/>
    <n v="51.311126860382707"/>
    <n v="50.561806265439103"/>
    <n v="67.049808429118769"/>
    <n v="9.6564402566071852"/>
    <n v="83.27455485530291"/>
    <n v="62.861993953824971"/>
    <n v="9.2084615384615383"/>
    <n v="0.48153846153846125"/>
    <n v="83"/>
    <n v="6"/>
    <s v="Open ended"/>
    <s v="CRISIL Hybrid 35+65 - Aggressive Index"/>
    <n v="1000"/>
    <n v="1000"/>
  </r>
  <r>
    <x v="83"/>
    <x v="2"/>
    <n v="4.24"/>
    <n v="13.06"/>
    <n v="9.69"/>
    <n v="0.98"/>
    <n v="61.396348012889369"/>
    <n v="42.089910775566238"/>
    <n v="51.311126860382707"/>
    <n v="50.561806265439103"/>
    <n v="67.049808429118769"/>
    <n v="9.6564402566071852"/>
    <n v="83.27455485530291"/>
    <n v="62.861993953824971"/>
    <n v="9.2084615384615383"/>
    <n v="0.48153846153846125"/>
    <n v="83"/>
    <n v="6"/>
    <s v="Open ended"/>
    <s v="CRISIL Hybrid 35+65 - Aggressive Index"/>
    <n v="1000"/>
    <n v="1000"/>
  </r>
  <r>
    <x v="84"/>
    <x v="11"/>
    <n v="1.23"/>
    <n v="29.12"/>
    <n v="16.77"/>
    <n v="1.94"/>
    <n v="54.930182599355525"/>
    <n v="69.64653397391902"/>
    <n v="76.399716513111258"/>
    <n v="70.079854968602433"/>
    <n v="30.268199233716466"/>
    <n v="10.97814008732183"/>
    <n v="80.985303596149961"/>
    <n v="62.853303191767822"/>
    <n v="11.362272727272726"/>
    <n v="5.4077272727272732"/>
    <n v="85"/>
    <n v="6"/>
    <s v="Open ended"/>
    <s v="Nifty Midcap 150 - TRI"/>
    <n v="5000"/>
    <n v="1000"/>
  </r>
  <r>
    <x v="85"/>
    <x v="12"/>
    <n v="7.49"/>
    <n v="27.54"/>
    <n v="17.399999999999999"/>
    <n v="2.31"/>
    <n v="68.378088077336201"/>
    <n v="66.935483870967744"/>
    <n v="78.632175761870997"/>
    <n v="73.072350657693065"/>
    <n v="16.09195402298851"/>
    <n v="6.3775651352884672"/>
    <n v="88.953733157100487"/>
    <n v="62.797597123868783"/>
    <n v="9.219019607843137"/>
    <n v="8.1809803921568616"/>
    <n v="86"/>
    <n v="1"/>
    <s v="Open ended"/>
    <s v="CRISIL Hybrid 25+75 - Aggressive Index"/>
    <n v="5000"/>
    <n v="1000"/>
  </r>
  <r>
    <x v="86"/>
    <x v="3"/>
    <n v="4.68"/>
    <n v="8.9499999999999993"/>
    <n v="7.59"/>
    <n v="0.5"/>
    <n v="62.341568206229859"/>
    <n v="35.037748798901859"/>
    <n v="43.869596031183555"/>
    <n v="44.914436296508306"/>
    <n v="85.440613026819918"/>
    <n v="13.93265849122143"/>
    <n v="75.867927608698551"/>
    <n v="62.78435330713377"/>
    <n v="7.5967647058823538"/>
    <n v="-6.7647058823538941E-3"/>
    <n v="87"/>
    <n v="5"/>
    <s v="Open ended"/>
    <s v="CRISIL Short Term Debt Hybrid 75+25 Fund Index"/>
    <n v="1000"/>
    <n v="1000"/>
  </r>
  <r>
    <x v="87"/>
    <x v="12"/>
    <n v="7.46"/>
    <n v="27.53"/>
    <n v="17.37"/>
    <n v="2.31"/>
    <n v="68.313641245972065"/>
    <n v="66.918325326012365"/>
    <n v="78.525868178596753"/>
    <n v="73.001159936296489"/>
    <n v="16.09195402298851"/>
    <n v="6.3373435091066996"/>
    <n v="89.023399057210355"/>
    <n v="62.779418238197962"/>
    <n v="9.219019607843137"/>
    <n v="8.150980392156864"/>
    <n v="88"/>
    <n v="2"/>
    <s v="Open ended"/>
    <s v="CRISIL Hybrid 25+75 - Aggressive Index"/>
    <n v="5000"/>
    <n v="1000"/>
  </r>
  <r>
    <x v="88"/>
    <x v="3"/>
    <n v="4.68"/>
    <n v="8.9499999999999993"/>
    <n v="7.58"/>
    <n v="0.5"/>
    <n v="62.341568206229859"/>
    <n v="35.037748798901859"/>
    <n v="43.834160170092126"/>
    <n v="44.896718365962592"/>
    <n v="85.440613026819918"/>
    <n v="13.93675930441556"/>
    <n v="75.860824791893961"/>
    <n v="62.773718637659769"/>
    <n v="7.5967647058823538"/>
    <n v="-1.6764705882353681E-2"/>
    <n v="89"/>
    <n v="6"/>
    <s v="Open ended"/>
    <s v="CRISIL Short Term Debt Hybrid 75+25 Fund Index"/>
    <n v="1000"/>
    <n v="1000"/>
  </r>
  <r>
    <x v="89"/>
    <x v="11"/>
    <n v="1.23"/>
    <n v="29.11"/>
    <n v="16.43"/>
    <n v="1.94"/>
    <n v="54.930182599355525"/>
    <n v="69.629375428963641"/>
    <n v="75.194897236002831"/>
    <n v="69.47229776656161"/>
    <n v="30.268199233716466"/>
    <n v="10.469797531720936"/>
    <n v="81.865778730100118"/>
    <n v="62.769643374234953"/>
    <n v="11.362272727272726"/>
    <n v="5.0677272727272733"/>
    <n v="90"/>
    <n v="7"/>
    <s v="Open ended"/>
    <s v="Nifty Midcap 150 - TRI"/>
    <n v="5000"/>
    <n v="1000"/>
  </r>
  <r>
    <x v="90"/>
    <x v="3"/>
    <n v="6.49"/>
    <n v="8.91"/>
    <n v="7.77"/>
    <n v="0.47"/>
    <n v="66.229860365198718"/>
    <n v="34.969114619080308"/>
    <n v="44.507441530829198"/>
    <n v="45.990427224178433"/>
    <n v="86.59003831417624"/>
    <n v="16.021222305089715"/>
    <n v="72.250428968228846"/>
    <n v="62.705330432690488"/>
    <n v="7.5967647058823538"/>
    <n v="0.17323529411764582"/>
    <n v="91"/>
    <n v="7"/>
    <s v="Open ended"/>
    <s v=""/>
    <n v="1000"/>
    <n v="1000"/>
  </r>
  <r>
    <x v="91"/>
    <x v="11"/>
    <n v="10.56"/>
    <n v="31.55"/>
    <n v="18.3"/>
    <n v="2.68"/>
    <n v="74.973147153598291"/>
    <n v="73.816060398078235"/>
    <n v="81.821403260099217"/>
    <n v="78.050149180192733"/>
    <n v="1.9157088122605304"/>
    <n v="4.3267188453171883"/>
    <n v="92.505903129844882"/>
    <n v="62.63047757562272"/>
    <n v="11.362272727272726"/>
    <n v="6.9377272727272743"/>
    <n v="92"/>
    <n v="8"/>
    <s v="Open ended"/>
    <s v="Nifty Midcap 150 - TRI"/>
    <n v="5000"/>
    <n v="1000"/>
  </r>
  <r>
    <x v="92"/>
    <x v="13"/>
    <n v="1.05"/>
    <n v="20.74"/>
    <n v="16.16"/>
    <n v="1.67"/>
    <n v="54.543501611170782"/>
    <n v="55.267673301304058"/>
    <n v="74.238128986534363"/>
    <n v="64.608066805892548"/>
    <n v="40.613026819923384"/>
    <n v="11.167519576853953"/>
    <n v="80.657288698368859"/>
    <n v="62.621612282519337"/>
    <n v="10.461"/>
    <n v="5.6989999999999998"/>
    <n v="93"/>
    <n v="1"/>
    <s v="Open ended"/>
    <s v="NIFTY 500 - TRI"/>
    <n v="1000"/>
    <n v="1000"/>
  </r>
  <r>
    <x v="93"/>
    <x v="4"/>
    <n v="5.6"/>
    <n v="21.52"/>
    <n v="17.75"/>
    <n v="1.92"/>
    <n v="64.317937701396346"/>
    <n v="56.606039807824303"/>
    <n v="79.872430900070853"/>
    <n v="69.781614932661981"/>
    <n v="31.034482758620683"/>
    <n v="11.851445637880792"/>
    <n v="79.472694012049928"/>
    <n v="62.517601658998643"/>
    <n v="12.127586206896551"/>
    <n v="5.6224137931034495"/>
    <n v="94"/>
    <n v="7"/>
    <s v="Open ended"/>
    <s v="Nifty Smallcap 250 - TRI"/>
    <n v="1000"/>
    <n v="1000"/>
  </r>
  <r>
    <x v="94"/>
    <x v="14"/>
    <n v="-6.46"/>
    <n v="10.220000000000001"/>
    <n v="5.1100000000000003"/>
    <n v="0.65"/>
    <n v="38.410311493018256"/>
    <n v="37.216884008236107"/>
    <n v="35.081502480510274"/>
    <n v="36.387878741329615"/>
    <n v="79.693486590038304"/>
    <n v="1.6864703215167334"/>
    <n v="97.078947717676002"/>
    <n v="62.387047947593388"/>
    <n v="5.0250000000000004"/>
    <n v="8.4999999999999964E-2"/>
    <n v="95"/>
    <n v="1"/>
    <s v="Open ended"/>
    <s v="NIFTY NEXT 50 - TRI"/>
    <n v="1000"/>
    <n v="1000"/>
  </r>
  <r>
    <x v="95"/>
    <x v="14"/>
    <n v="-6.46"/>
    <n v="10.220000000000001"/>
    <n v="5.1100000000000003"/>
    <n v="0.65"/>
    <n v="38.410311493018256"/>
    <n v="37.216884008236107"/>
    <n v="35.081502480510274"/>
    <n v="36.387878741329615"/>
    <n v="79.693486590038304"/>
    <n v="1.6864703215167334"/>
    <n v="97.078947717676002"/>
    <n v="62.387047947593388"/>
    <n v="5.0250000000000004"/>
    <n v="8.4999999999999964E-2"/>
    <n v="95"/>
    <n v="1"/>
    <s v="Open ended"/>
    <s v="NIFTY NEXT 50 - TRI"/>
    <n v="1000"/>
    <n v="1000"/>
  </r>
  <r>
    <x v="96"/>
    <x v="15"/>
    <n v="18.78"/>
    <n v="27.19"/>
    <n v="8.67"/>
    <n v="1.06"/>
    <n v="92.631578947368425"/>
    <n v="66.334934797529172"/>
    <n v="47.696669029057404"/>
    <n v="62.275130743261137"/>
    <n v="63.984674329501914"/>
    <n v="22.575962784069652"/>
    <n v="60.89728542820724"/>
    <n v="62.358055311057853"/>
    <n v="5.2086538461538465"/>
    <n v="3.4613461538461534"/>
    <n v="97"/>
    <n v="1"/>
    <s v="Open ended"/>
    <s v=""/>
    <n v="5000"/>
    <n v="1000"/>
  </r>
  <r>
    <x v="97"/>
    <x v="15"/>
    <n v="18.78"/>
    <n v="27.19"/>
    <n v="8.67"/>
    <n v="1.06"/>
    <n v="92.631578947368425"/>
    <n v="66.334934797529172"/>
    <n v="47.696669029057404"/>
    <n v="62.275130743261137"/>
    <n v="63.984674329501914"/>
    <n v="22.575962784069652"/>
    <n v="60.89728542820724"/>
    <n v="62.358055311057853"/>
    <n v="5.2086538461538465"/>
    <n v="3.4613461538461534"/>
    <n v="97"/>
    <n v="1"/>
    <s v="Open ended"/>
    <s v=""/>
    <n v="5000"/>
    <n v="1000"/>
  </r>
  <r>
    <x v="98"/>
    <x v="15"/>
    <n v="18.78"/>
    <n v="27.19"/>
    <n v="8.67"/>
    <n v="1.06"/>
    <n v="92.631578947368425"/>
    <n v="66.334934797529172"/>
    <n v="47.696669029057404"/>
    <n v="62.275130743261137"/>
    <n v="63.984674329501914"/>
    <n v="22.575962784069652"/>
    <n v="60.89728542820724"/>
    <n v="62.358055311057853"/>
    <n v="5.2086538461538465"/>
    <n v="3.4613461538461534"/>
    <n v="97"/>
    <n v="1"/>
    <s v="Open ended"/>
    <s v=""/>
    <n v="5000"/>
    <n v="1000"/>
  </r>
  <r>
    <x v="99"/>
    <x v="12"/>
    <n v="7.94"/>
    <n v="20.29"/>
    <n v="13.38"/>
    <n v="1.76"/>
    <n v="69.34479054779807"/>
    <n v="54.495538778311605"/>
    <n v="64.386959603118356"/>
    <n v="62.41109954461227"/>
    <n v="37.164750957854409"/>
    <n v="7.5599886653689428"/>
    <n v="86.905715526936163"/>
    <n v="62.223166393503774"/>
    <n v="9.219019607843137"/>
    <n v="4.1609803921568638"/>
    <n v="100"/>
    <n v="3"/>
    <s v="Open ended"/>
    <s v="CRISIL Hybrid 35+65 - Aggressive Index"/>
    <n v="5000"/>
    <n v="1000"/>
  </r>
  <r>
    <x v="100"/>
    <x v="4"/>
    <n v="5.58"/>
    <n v="21.06"/>
    <n v="17.260000000000002"/>
    <n v="1.92"/>
    <n v="64.274973147153588"/>
    <n v="55.816746739876464"/>
    <n v="78.136073706591077"/>
    <n v="68.668055504689193"/>
    <n v="31.034482758620683"/>
    <n v="11.268126573974873"/>
    <n v="80.483032267758489"/>
    <n v="62.213406508939393"/>
    <n v="12.127586206896551"/>
    <n v="5.132413793103451"/>
    <n v="101"/>
    <n v="8"/>
    <s v="Open ended"/>
    <s v="Nifty Smallcap 250 - TRI"/>
    <n v="1000"/>
    <n v="1000"/>
  </r>
  <r>
    <x v="101"/>
    <x v="16"/>
    <n v="4.2"/>
    <n v="10.38"/>
    <n v="6.82"/>
    <n v="0.56999999999999995"/>
    <n v="61.310418904403861"/>
    <n v="37.491420727522311"/>
    <n v="41.141034727143868"/>
    <n v="44.080027362709401"/>
    <n v="82.758620689655174"/>
    <n v="12.828798427668028"/>
    <n v="77.779869323219245"/>
    <n v="62.174636184573302"/>
    <n v="4.9189795918367345"/>
    <n v="1.9010204081632658"/>
    <n v="102"/>
    <n v="1"/>
    <s v="Open ended"/>
    <s v="CRISIL Banking and PSU Debt Index"/>
    <n v="20000"/>
    <n v="1000"/>
  </r>
  <r>
    <x v="102"/>
    <x v="16"/>
    <n v="4.2"/>
    <n v="10.38"/>
    <n v="6.82"/>
    <n v="0.56999999999999995"/>
    <n v="61.310418904403861"/>
    <n v="37.491420727522311"/>
    <n v="41.141034727143868"/>
    <n v="44.080027362709401"/>
    <n v="82.758620689655174"/>
    <n v="12.828798427668028"/>
    <n v="77.779869323219245"/>
    <n v="62.174636184573302"/>
    <n v="4.9189795918367345"/>
    <n v="1.9010204081632658"/>
    <n v="102"/>
    <n v="1"/>
    <s v="Open ended"/>
    <s v="CRISIL Banking and PSU Debt Index"/>
    <n v="1000"/>
    <n v="1000"/>
  </r>
  <r>
    <x v="103"/>
    <x v="12"/>
    <n v="7.91"/>
    <n v="20.29"/>
    <n v="13.23"/>
    <n v="1.76"/>
    <n v="69.280343716433947"/>
    <n v="54.495538778311605"/>
    <n v="63.855421686746979"/>
    <n v="62.132441220153765"/>
    <n v="37.164750957854409"/>
    <n v="7.4791671121202885"/>
    <n v="87.045702563509465"/>
    <n v="62.118833990417855"/>
    <n v="9.219019607843137"/>
    <n v="4.0109803921568634"/>
    <n v="104"/>
    <n v="4"/>
    <s v="Open ended"/>
    <s v="CRISIL Hybrid 35+65 - Aggressive Index"/>
    <n v="5000"/>
    <n v="1000"/>
  </r>
  <r>
    <x v="104"/>
    <x v="17"/>
    <n v="0.28999999999999998"/>
    <n v="27.54"/>
    <n v="21.97"/>
    <n v="1.97"/>
    <n v="52.910848549946287"/>
    <n v="66.935483870967744"/>
    <n v="94.826364280652015"/>
    <n v="78.075997011605594"/>
    <n v="29.118773946360154"/>
    <n v="21.336596358080765"/>
    <n v="63.043931047215047"/>
    <n v="62.078674754196598"/>
    <n v="20.878999999999998"/>
    <n v="1.0910000000000011"/>
    <n v="105"/>
    <n v="1"/>
    <s v="Open ended"/>
    <s v="S&amp;P BSE TECk Index - TRI"/>
    <n v="5000"/>
    <n v="1000"/>
  </r>
  <r>
    <x v="105"/>
    <x v="17"/>
    <n v="0.28999999999999998"/>
    <n v="27.5"/>
    <n v="21.94"/>
    <n v="1.97"/>
    <n v="52.910848549946287"/>
    <n v="66.8668496911462"/>
    <n v="94.720056697377757"/>
    <n v="78.002252966021999"/>
    <n v="29.118773946360154"/>
    <n v="21.286071323365466"/>
    <n v="63.131442974396123"/>
    <n v="62.063680713200071"/>
    <n v="20.878999999999998"/>
    <n v="1.0610000000000035"/>
    <n v="106"/>
    <n v="2"/>
    <s v="Open ended"/>
    <s v="S&amp;P BSE TECk Index - TRI"/>
    <n v="5000"/>
    <n v="1000"/>
  </r>
  <r>
    <x v="106"/>
    <x v="18"/>
    <n v="7.42"/>
    <n v="24.93"/>
    <n v="14.32"/>
    <n v="2.1800000000000002"/>
    <n v="68.227712137486577"/>
    <n v="62.457103637611546"/>
    <n v="67.717930545712264"/>
    <n v="66.241638791636916"/>
    <n v="21.072796934865899"/>
    <n v="3.1946856779955279"/>
    <n v="94.466642091499125"/>
    <n v="62.005679152409712"/>
    <n v="6.9120588235294118"/>
    <n v="7.4079411764705885"/>
    <n v="107"/>
    <n v="1"/>
    <s v="Open ended"/>
    <s v="MSCI ACWI Metals &amp; Mining 30% Buffer 10/40 (1994) Net TRI"/>
    <n v="1000"/>
    <n v="1000"/>
  </r>
  <r>
    <x v="107"/>
    <x v="18"/>
    <n v="7.42"/>
    <n v="24.93"/>
    <n v="14.32"/>
    <n v="2.1800000000000002"/>
    <n v="68.227712137486577"/>
    <n v="62.457103637611546"/>
    <n v="67.717930545712264"/>
    <n v="66.241638791636916"/>
    <n v="21.072796934865899"/>
    <n v="3.1946856779955279"/>
    <n v="94.466642091499125"/>
    <n v="62.005679152409712"/>
    <n v="6.9120588235294118"/>
    <n v="7.4079411764705885"/>
    <n v="107"/>
    <n v="1"/>
    <s v="Open ended"/>
    <s v="MSCI ACWI Metals &amp; Mining 30% Buffer 10/40 (1994) Net TRI"/>
    <n v="1000"/>
    <n v="1000"/>
  </r>
  <r>
    <x v="108"/>
    <x v="4"/>
    <n v="0.39"/>
    <n v="26.02"/>
    <n v="15.01"/>
    <n v="1.87"/>
    <n v="53.125671321160041"/>
    <n v="64.327385037748797"/>
    <n v="70.163004961020548"/>
    <n v="65.004852256066926"/>
    <n v="32.950191570881216"/>
    <n v="8.6583638526881561"/>
    <n v="85.003273896726299"/>
    <n v="61.990792494935334"/>
    <n v="12.127586206896551"/>
    <n v="2.8824137931034493"/>
    <n v="109"/>
    <n v="9"/>
    <s v="Open ended"/>
    <s v="Nifty Smallcap 250 - TRI"/>
    <n v="1000"/>
    <n v="1000"/>
  </r>
  <r>
    <x v="109"/>
    <x v="4"/>
    <n v="7.04"/>
    <n v="26.72"/>
    <n v="11.35"/>
    <n v="1.85"/>
    <n v="67.411385606874319"/>
    <n v="65.528483184625941"/>
    <n v="57.193479801559178"/>
    <n v="61.737561977542235"/>
    <n v="33.716475095785434"/>
    <n v="5.4378795189199751"/>
    <n v="90.581316387792398"/>
    <n v="61.943228859665581"/>
    <n v="12.127586206896551"/>
    <n v="-0.77758620689655089"/>
    <n v="110"/>
    <n v="10"/>
    <s v="Open ended"/>
    <s v="Nifty Smallcap 250 - TRI"/>
    <n v="5000"/>
    <n v="1000"/>
  </r>
  <r>
    <x v="110"/>
    <x v="3"/>
    <n v="8.1300000000000008"/>
    <n v="14.05"/>
    <n v="9.4600000000000009"/>
    <n v="1"/>
    <n v="69.752953813104185"/>
    <n v="43.788606726149624"/>
    <n v="50.496102055279948"/>
    <n v="52.335223808105695"/>
    <n v="66.283524904214559"/>
    <n v="13.478156110691165"/>
    <n v="76.655148823937964"/>
    <n v="61.902280336090982"/>
    <n v="7.5967647058823538"/>
    <n v="1.8632352941176471"/>
    <n v="111"/>
    <n v="8"/>
    <s v="Open ended"/>
    <s v="NIFTY 50 Hybrid Composite Debt 65:35 Index"/>
    <n v="1000"/>
    <n v="1000"/>
  </r>
  <r>
    <x v="111"/>
    <x v="3"/>
    <n v="8.1300000000000008"/>
    <n v="14.05"/>
    <n v="9.4600000000000009"/>
    <n v="1"/>
    <n v="69.752953813104185"/>
    <n v="43.788606726149624"/>
    <n v="50.496102055279948"/>
    <n v="52.335223808105695"/>
    <n v="66.283524904214559"/>
    <n v="13.478156110691165"/>
    <n v="76.655148823937964"/>
    <n v="61.902280336090982"/>
    <n v="7.5967647058823538"/>
    <n v="1.8632352941176471"/>
    <n v="111"/>
    <n v="8"/>
    <s v="Open ended"/>
    <s v="NIFTY 50 Hybrid Composite Debt 65:35 Index"/>
    <n v="1000"/>
    <n v="1000"/>
  </r>
  <r>
    <x v="112"/>
    <x v="4"/>
    <n v="0.4"/>
    <n v="25.61"/>
    <n v="14.7"/>
    <n v="1.87"/>
    <n v="53.147153598281413"/>
    <n v="63.623884694577903"/>
    <n v="69.064493267186378"/>
    <n v="64.248842761622839"/>
    <n v="32.950191570881216"/>
    <n v="8.0903627673067735"/>
    <n v="85.987080635361124"/>
    <n v="61.858739432372005"/>
    <n v="12.127586206896551"/>
    <n v="2.5724137931034488"/>
    <n v="113"/>
    <n v="11"/>
    <s v="Open ended"/>
    <s v="Nifty Smallcap 250 - TRI"/>
    <n v="1000"/>
    <n v="1000"/>
  </r>
  <r>
    <x v="113"/>
    <x v="13"/>
    <n v="4.2300000000000004"/>
    <n v="34.229999999999997"/>
    <n v="16.649999999999999"/>
    <n v="2.33"/>
    <n v="61.37486573576799"/>
    <n v="78.414550446122178"/>
    <n v="75.974486180014168"/>
    <n v="73.786581370997339"/>
    <n v="15.325670498084287"/>
    <n v="9.2146051259858339"/>
    <n v="84.039835750107926"/>
    <n v="61.734667247546724"/>
    <n v="10.461"/>
    <n v="6.1889999999999983"/>
    <n v="114"/>
    <n v="2"/>
    <s v="Open ended"/>
    <s v="NIFTY 500 - TRI"/>
    <n v="5000"/>
    <n v="1000"/>
  </r>
  <r>
    <x v="114"/>
    <x v="11"/>
    <n v="6.92"/>
    <n v="20.350000000000001"/>
    <n v="13.26"/>
    <n v="1.83"/>
    <n v="67.153598281417828"/>
    <n v="54.598490048043935"/>
    <n v="63.961729270021259"/>
    <n v="61.791131305707381"/>
    <n v="34.482758620689658"/>
    <n v="6.5254504220733187"/>
    <n v="88.697588326697229"/>
    <n v="61.690652389700411"/>
    <n v="11.362272727272726"/>
    <n v="1.8977272727272734"/>
    <n v="115"/>
    <n v="9"/>
    <s v="Open ended"/>
    <s v="Nifty Midcap 150 - TRI"/>
    <n v="1000"/>
    <n v="1000"/>
  </r>
  <r>
    <x v="115"/>
    <x v="4"/>
    <n v="7.22"/>
    <n v="24.21"/>
    <n v="12.43"/>
    <n v="2"/>
    <n v="67.798066595059069"/>
    <n v="61.221688400823616"/>
    <n v="61.020552799433013"/>
    <n v="62.436396238975405"/>
    <n v="27.969348659003824"/>
    <n v="3.856248153617361"/>
    <n v="93.320782271341059"/>
    <n v="61.540730852073921"/>
    <n v="12.127586206896551"/>
    <n v="0.30241379310344918"/>
    <n v="116"/>
    <n v="12"/>
    <s v="Open ended"/>
    <s v="Nifty Smallcap 250 - TRI"/>
    <n v="5000"/>
    <n v="1000"/>
  </r>
  <r>
    <x v="116"/>
    <x v="13"/>
    <n v="3.98"/>
    <n v="34.119999999999997"/>
    <n v="16.59"/>
    <n v="2.33"/>
    <n v="60.837808807733616"/>
    <n v="78.225806451612897"/>
    <n v="75.761871013465637"/>
    <n v="73.516239203763405"/>
    <n v="15.325670498084287"/>
    <n v="9.4086934323835862"/>
    <n v="83.703664942272013"/>
    <n v="61.515453461970779"/>
    <n v="10.461"/>
    <n v="6.1289999999999996"/>
    <n v="117"/>
    <n v="3"/>
    <s v="Open ended"/>
    <s v="NIFTY 500 - TRI"/>
    <n v="5000"/>
    <n v="1000"/>
  </r>
  <r>
    <x v="117"/>
    <x v="4"/>
    <n v="7.21"/>
    <n v="24.21"/>
    <n v="12.4"/>
    <n v="2"/>
    <n v="67.77658431793769"/>
    <n v="61.221688400823616"/>
    <n v="60.914245216158761"/>
    <n v="62.378945991914009"/>
    <n v="27.969348659003824"/>
    <n v="3.8762713988187079"/>
    <n v="93.28610099331992"/>
    <n v="61.503335409037945"/>
    <n v="12.127586206896551"/>
    <n v="0.27241379310344982"/>
    <n v="118"/>
    <n v="13"/>
    <s v="Open ended"/>
    <s v="Nifty Smallcap 250 - TRI"/>
    <n v="5000"/>
    <n v="1000"/>
  </r>
  <r>
    <x v="118"/>
    <x v="19"/>
    <n v="3.48"/>
    <n v="35.85"/>
    <n v="18.38"/>
    <n v="2.39"/>
    <n v="59.763694951664867"/>
    <n v="81.194234728894997"/>
    <n v="82.104890148830606"/>
    <n v="77.363454483416774"/>
    <n v="13.026819923371647"/>
    <n v="12.644012623076863"/>
    <n v="78.099927725288637"/>
    <n v="61.463414153873458"/>
    <n v="9.4014285714285712"/>
    <n v="8.9785714285714278"/>
    <n v="119"/>
    <n v="1"/>
    <s v="Open ended"/>
    <s v="Nifty Infrastructure - TRI"/>
    <n v="5000"/>
    <n v="1000"/>
  </r>
  <r>
    <x v="119"/>
    <x v="19"/>
    <n v="3.43"/>
    <n v="35.89"/>
    <n v="18.41"/>
    <n v="2.39"/>
    <n v="59.656283566058001"/>
    <n v="81.262868908716541"/>
    <n v="82.211197732104878"/>
    <n v="77.415716251879005"/>
    <n v="13.026819923371647"/>
    <n v="12.757141860964248"/>
    <n v="77.90398213744615"/>
    <n v="61.440558641143951"/>
    <n v="9.4014285714285712"/>
    <n v="9.0085714285714289"/>
    <n v="120"/>
    <n v="2"/>
    <s v="Open ended"/>
    <s v="Nifty Infrastructure - TRI"/>
    <n v="5000"/>
    <n v="1000"/>
  </r>
  <r>
    <x v="120"/>
    <x v="4"/>
    <n v="6.99"/>
    <n v="26.73"/>
    <n v="10.96"/>
    <n v="1.85"/>
    <n v="67.303974221267453"/>
    <n v="65.545641729581334"/>
    <n v="55.81148121899362"/>
    <n v="61.030227972624701"/>
    <n v="33.716475095785434"/>
    <n v="6.1903555283537282"/>
    <n v="89.277989707976459"/>
    <n v="61.263730187252818"/>
    <n v="12.127586206896551"/>
    <n v="-1.1675862068965497"/>
    <n v="121"/>
    <n v="14"/>
    <s v="Open ended"/>
    <s v="Nifty Smallcap 250 - TRI"/>
    <n v="5000"/>
    <n v="1000"/>
  </r>
  <r>
    <x v="121"/>
    <x v="4"/>
    <n v="2.85"/>
    <n v="24.38"/>
    <n v="10.75"/>
    <n v="1.83"/>
    <n v="58.410311493018256"/>
    <n v="61.513383665065206"/>
    <n v="55.067328136073698"/>
    <n v="57.669741466160062"/>
    <n v="34.482758620689658"/>
    <n v="3.223771769025181"/>
    <n v="94.416263504042192"/>
    <n v="61.059626264262988"/>
    <n v="12.127586206896551"/>
    <n v="-1.3775862068965505"/>
    <n v="122"/>
    <n v="15"/>
    <s v="Open ended"/>
    <s v="S&amp;P BSE 250 Small Cap - TRI"/>
    <n v="1000"/>
    <n v="1000"/>
  </r>
  <r>
    <x v="122"/>
    <x v="4"/>
    <n v="9.89"/>
    <n v="26.33"/>
    <n v="11.56"/>
    <n v="1.93"/>
    <n v="73.533834586466156"/>
    <n v="64.859299931365825"/>
    <n v="57.937632884479086"/>
    <n v="63.133373338942519"/>
    <n v="30.651340996168575"/>
    <n v="7.8145007701447655"/>
    <n v="86.464887630323148"/>
    <n v="60.845743826094193"/>
    <n v="12.127586206896551"/>
    <n v="-0.56758620689655004"/>
    <n v="123"/>
    <n v="16"/>
    <s v="Open ended"/>
    <s v="S&amp;P BSE 250 Small Cap - TRI"/>
    <n v="1000"/>
    <n v="1000"/>
  </r>
  <r>
    <x v="123"/>
    <x v="20"/>
    <n v="5.24"/>
    <n v="4.3"/>
    <n v="5.36"/>
    <n v="0.17"/>
    <n v="63.544575725026853"/>
    <n v="27.05902539464654"/>
    <n v="35.967399007795883"/>
    <n v="38.810322267297273"/>
    <n v="98.084291187739453"/>
    <n v="19.022158916360134"/>
    <n v="67.052654287214907"/>
    <n v="60.689397502387223"/>
    <n v="4.4280373831775703"/>
    <n v="0.93196261682242998"/>
    <n v="124"/>
    <n v="1"/>
    <s v="Open ended"/>
    <s v=""/>
    <n v="5000"/>
    <n v="1000"/>
  </r>
  <r>
    <x v="124"/>
    <x v="11"/>
    <n v="6.92"/>
    <n v="19.45"/>
    <n v="12.5"/>
    <n v="1.83"/>
    <n v="67.153598281417828"/>
    <n v="53.05422100205903"/>
    <n v="61.268603827073001"/>
    <n v="59.981287870437775"/>
    <n v="34.482758620689658"/>
    <n v="7.0816862938763032"/>
    <n v="87.734159535742094"/>
    <n v="60.544873474326828"/>
    <n v="11.362272727272726"/>
    <n v="1.1377272727272736"/>
    <n v="125"/>
    <n v="10"/>
    <s v="Open ended"/>
    <s v="Nifty Midcap 150 - TRI"/>
    <n v="1000"/>
    <n v="1000"/>
  </r>
  <r>
    <x v="125"/>
    <x v="21"/>
    <n v="-1.06"/>
    <n v="17.43"/>
    <n v="13.65"/>
    <n v="1.63"/>
    <n v="50.010741138560689"/>
    <n v="49.588194921070702"/>
    <n v="65.343727852586824"/>
    <n v="57.550470630326757"/>
    <n v="42.145593869731798"/>
    <n v="8.9769690953619943"/>
    <n v="84.451433428857399"/>
    <n v="60.424492139810681"/>
    <n v="10.412619047619048"/>
    <n v="3.2373809523809527"/>
    <n v="126"/>
    <n v="1"/>
    <s v="Open ended"/>
    <s v="NIFTY LargeMidcap 250 - TRI"/>
    <n v="5000"/>
    <n v="1000"/>
  </r>
  <r>
    <x v="126"/>
    <x v="21"/>
    <n v="-1.06"/>
    <n v="17.43"/>
    <n v="13.22"/>
    <n v="1.63"/>
    <n v="50.010741138560689"/>
    <n v="49.588194921070702"/>
    <n v="63.819985825655557"/>
    <n v="56.788599616861127"/>
    <n v="42.145593869731798"/>
    <n v="8.0975063701302226"/>
    <n v="85.974707552321817"/>
    <n v="60.424375163943964"/>
    <n v="10.412619047619048"/>
    <n v="2.807380952380953"/>
    <n v="127"/>
    <n v="2"/>
    <s v="Open ended"/>
    <s v="NIFTY LargeMidcap 250 - TRI"/>
    <n v="5000"/>
    <n v="1000"/>
  </r>
  <r>
    <x v="127"/>
    <x v="22"/>
    <n v="5.88"/>
    <n v="21.29"/>
    <n v="12.05"/>
    <n v="1.95"/>
    <n v="64.919441460794843"/>
    <n v="56.211393273850383"/>
    <n v="59.673990077958891"/>
    <n v="59.684301313293531"/>
    <n v="29.885057471264375"/>
    <n v="4.3843365150587443"/>
    <n v="92.40610639843878"/>
    <n v="60.414941624072554"/>
    <n v="9.83"/>
    <n v="2.2200000000000006"/>
    <n v="128"/>
    <n v="1"/>
    <s v="Open ended"/>
    <s v="S&amp;P BSE 500 - TRI"/>
    <n v="5000"/>
    <n v="1000"/>
  </r>
  <r>
    <x v="128"/>
    <x v="4"/>
    <n v="9.9"/>
    <n v="26.33"/>
    <n v="11.29"/>
    <n v="1.93"/>
    <n v="73.555316863587535"/>
    <n v="64.859299931365825"/>
    <n v="56.980864635010619"/>
    <n v="62.659285669632567"/>
    <n v="30.651340996168575"/>
    <n v="8.2905862265757033"/>
    <n v="85.640283431040146"/>
    <n v="60.402548941618463"/>
    <n v="12.127586206896551"/>
    <n v="-0.83758620689655139"/>
    <n v="129"/>
    <n v="17"/>
    <s v="Open ended"/>
    <s v="S&amp;P BSE 250 Small Cap - TRI"/>
    <n v="1000"/>
    <n v="1000"/>
  </r>
  <r>
    <x v="129"/>
    <x v="23"/>
    <n v="0.67"/>
    <n v="17.48"/>
    <n v="13.43"/>
    <n v="1.71"/>
    <n v="53.727175080558531"/>
    <n v="49.673987645847639"/>
    <n v="64.564138908575472"/>
    <n v="57.929700764153736"/>
    <n v="39.080459770114942"/>
    <n v="7.6983192756337102"/>
    <n v="86.666119881715574"/>
    <n v="60.401495295034493"/>
    <n v="10.023387096774194"/>
    <n v="3.4066129032258061"/>
    <n v="130"/>
    <n v="1"/>
    <s v="Open ended"/>
    <s v="NIFTY 500 - TRI"/>
    <n v="1000"/>
    <n v="1000"/>
  </r>
  <r>
    <x v="130"/>
    <x v="23"/>
    <n v="0.67"/>
    <n v="17.489999999999998"/>
    <n v="13.2"/>
    <n v="1.71"/>
    <n v="53.727175080558531"/>
    <n v="49.691146190803018"/>
    <n v="63.749114103472706"/>
    <n v="57.527335925088963"/>
    <n v="39.080459770114942"/>
    <n v="7.2382692776151218"/>
    <n v="87.462949852305726"/>
    <n v="60.399520368149652"/>
    <n v="10.023387096774194"/>
    <n v="3.1766129032258057"/>
    <n v="131"/>
    <n v="2"/>
    <s v="Open ended"/>
    <s v="NIFTY 500 - TRI"/>
    <n v="1000"/>
    <n v="1000"/>
  </r>
  <r>
    <x v="131"/>
    <x v="18"/>
    <n v="-1.41"/>
    <n v="10.17"/>
    <n v="9.1199999999999992"/>
    <n v="1.1000000000000001"/>
    <n v="49.258861439312561"/>
    <n v="37.131091283459163"/>
    <n v="49.2912827781715"/>
    <n v="45.636741061986015"/>
    <n v="62.452107279693479"/>
    <n v="7.0113493385664354"/>
    <n v="87.855986715988493"/>
    <n v="60.395394029913504"/>
    <n v="6.9120588235294118"/>
    <n v="2.2079411764705874"/>
    <n v="132"/>
    <n v="3"/>
    <s v="Open ended"/>
    <s v="MSCI AC World Index"/>
    <n v="1000"/>
    <n v="1000"/>
  </r>
  <r>
    <x v="132"/>
    <x v="18"/>
    <n v="-1.41"/>
    <n v="10.17"/>
    <n v="9.1199999999999992"/>
    <n v="1.1000000000000001"/>
    <n v="49.258861439312561"/>
    <n v="37.131091283459163"/>
    <n v="49.2912827781715"/>
    <n v="45.636741061986015"/>
    <n v="62.452107279693479"/>
    <n v="7.0113493385664354"/>
    <n v="87.855986715988493"/>
    <n v="60.395394029913504"/>
    <n v="6.9120588235294118"/>
    <n v="2.2079411764705874"/>
    <n v="132"/>
    <n v="3"/>
    <s v="Open ended"/>
    <s v="MSCI AC World Index"/>
    <n v="1000"/>
    <n v="1000"/>
  </r>
  <r>
    <x v="133"/>
    <x v="11"/>
    <n v="12.13"/>
    <n v="21.44"/>
    <n v="12.02"/>
    <n v="1.76"/>
    <n v="78.345864661654147"/>
    <n v="56.468771448181208"/>
    <n v="59.567682494684618"/>
    <n v="62.3936456141275"/>
    <n v="37.164750957854409"/>
    <n v="11.838007874645527"/>
    <n v="79.495968900713478"/>
    <n v="60.362002771705718"/>
    <n v="11.362272727272726"/>
    <n v="0.65772727272727316"/>
    <n v="134"/>
    <n v="11"/>
    <s v="Open ended"/>
    <s v="Nifty Midcap 150 - TRI"/>
    <n v="1000"/>
    <n v="1000"/>
  </r>
  <r>
    <x v="134"/>
    <x v="20"/>
    <n v="5.22"/>
    <n v="4.18"/>
    <n v="5.34"/>
    <n v="0.21"/>
    <n v="63.501611170784102"/>
    <n v="26.853122855181883"/>
    <n v="35.896527285613033"/>
    <n v="38.704522733517905"/>
    <n v="96.551724137931032"/>
    <n v="19.09160162575203"/>
    <n v="66.9323759863329"/>
    <n v="60.223286397824936"/>
    <n v="4.4280373831775703"/>
    <n v="0.91196261682242952"/>
    <n v="135"/>
    <n v="2"/>
    <s v="Open ended"/>
    <s v=""/>
    <n v="10000"/>
    <n v="1000"/>
  </r>
  <r>
    <x v="135"/>
    <x v="20"/>
    <n v="5.25"/>
    <n v="3.98"/>
    <n v="5.08"/>
    <n v="0.18"/>
    <n v="63.566058002148232"/>
    <n v="26.509951956074129"/>
    <n v="34.975194897236001"/>
    <n v="38.153794635869886"/>
    <n v="97.701149425287355"/>
    <n v="19.417572738950543"/>
    <n v="66.367777456473291"/>
    <n v="60.094129038375101"/>
    <n v="4.4280373831775703"/>
    <n v="0.65196261682242973"/>
    <n v="136"/>
    <n v="3"/>
    <s v="Open ended"/>
    <s v=""/>
    <n v="5000"/>
    <n v="1000"/>
  </r>
  <r>
    <x v="136"/>
    <x v="4"/>
    <n v="2.85"/>
    <n v="24.38"/>
    <n v="10.17"/>
    <n v="1.83"/>
    <n v="58.410311493018256"/>
    <n v="61.513383665065206"/>
    <n v="53.012048192771076"/>
    <n v="56.642101494508751"/>
    <n v="34.482758620689658"/>
    <n v="4.3019958231851376"/>
    <n v="92.548724660294241"/>
    <n v="60.078921567500345"/>
    <n v="12.127586206896551"/>
    <n v="-1.9575862068965506"/>
    <n v="137"/>
    <n v="18"/>
    <s v="Open ended"/>
    <s v="S&amp;P BSE 250 Small Cap - TRI"/>
    <n v="1000"/>
    <n v="1000"/>
  </r>
  <r>
    <x v="137"/>
    <x v="4"/>
    <n v="2.85"/>
    <n v="24.38"/>
    <n v="10.17"/>
    <n v="1.83"/>
    <n v="58.410311493018256"/>
    <n v="61.513383665065206"/>
    <n v="53.012048192771076"/>
    <n v="56.642101494508751"/>
    <n v="34.482758620689658"/>
    <n v="4.3019958231851376"/>
    <n v="92.548724660294241"/>
    <n v="60.078921567500345"/>
    <n v="12.127586206896551"/>
    <n v="-1.9575862068965506"/>
    <n v="137"/>
    <n v="18"/>
    <s v="Open ended"/>
    <s v="S&amp;P BSE 250 Small Cap - TRI"/>
    <n v="1000"/>
    <n v="1000"/>
  </r>
  <r>
    <x v="138"/>
    <x v="20"/>
    <n v="5.26"/>
    <n v="4.1900000000000004"/>
    <n v="5.29"/>
    <n v="0.22"/>
    <n v="63.587540279269597"/>
    <n v="26.870281400137273"/>
    <n v="35.719347980155916"/>
    <n v="38.638266465973061"/>
    <n v="96.168582375478934"/>
    <n v="19.162025036319463"/>
    <n v="66.810399061187837"/>
    <n v="60.063878592153223"/>
    <n v="4.4280373831775703"/>
    <n v="0.86196261682242969"/>
    <n v="139"/>
    <n v="4"/>
    <s v="Open ended"/>
    <s v="Nifty Liquid Fund Index"/>
    <n v="1000"/>
    <m/>
  </r>
  <r>
    <x v="139"/>
    <x v="22"/>
    <n v="5.86"/>
    <n v="21.28"/>
    <n v="11.68"/>
    <n v="1.95"/>
    <n v="64.876476906552099"/>
    <n v="56.194234728894997"/>
    <n v="58.362863217576177"/>
    <n v="59.014997408767009"/>
    <n v="29.885057471264375"/>
    <n v="4.5186915886980321"/>
    <n v="92.173396584640884"/>
    <n v="60.022112218359823"/>
    <n v="9.83"/>
    <n v="1.8499999999999996"/>
    <n v="140"/>
    <n v="2"/>
    <s v="Open ended"/>
    <s v="S&amp;P BSE 500 - TRI"/>
    <n v="5000"/>
    <n v="1000"/>
  </r>
  <r>
    <x v="140"/>
    <x v="24"/>
    <n v="5"/>
    <n v="3.77"/>
    <n v="4.54"/>
    <n v="0.12"/>
    <n v="63.029001074113857"/>
    <n v="26.149622512010986"/>
    <n v="33.061658398299073"/>
    <n v="36.981516167575606"/>
    <n v="100"/>
    <n v="19.604023525244067"/>
    <n v="66.044835221501756"/>
    <n v="60.001966889163242"/>
    <n v="4.3460000000000001"/>
    <n v="0.19399999999999995"/>
    <n v="141"/>
    <n v="1"/>
    <s v="Open ended"/>
    <s v="CRISIL Overnight Index"/>
    <n v="20000"/>
    <n v="1000"/>
  </r>
  <r>
    <x v="141"/>
    <x v="20"/>
    <n v="5.35"/>
    <n v="4.0999999999999996"/>
    <n v="5.13"/>
    <n v="0.2"/>
    <n v="63.780880773361972"/>
    <n v="26.715854495538782"/>
    <n v="35.152374202693125"/>
    <n v="38.347119604680593"/>
    <n v="96.934865900383144"/>
    <n v="19.427568153750641"/>
    <n v="66.350464890196804"/>
    <n v="59.994892499985284"/>
    <n v="4.4280373831775703"/>
    <n v="0.70196261682242955"/>
    <n v="142"/>
    <n v="5"/>
    <s v="Open ended"/>
    <s v=""/>
    <n v="1000"/>
    <n v="1000"/>
  </r>
  <r>
    <x v="142"/>
    <x v="10"/>
    <n v="11.87"/>
    <n v="20.55"/>
    <n v="12.89"/>
    <n v="1.86"/>
    <n v="77.78732545649838"/>
    <n v="54.941660947151696"/>
    <n v="62.650602409638559"/>
    <n v="63.365264580264466"/>
    <n v="33.333333333333329"/>
    <n v="11.622338763081844"/>
    <n v="79.869518759565025"/>
    <n v="59.983345313356821"/>
    <n v="10.563571428571427"/>
    <n v="2.3264285714285737"/>
    <n v="143"/>
    <n v="3"/>
    <s v="Open ended"/>
    <s v=""/>
    <n v="5000"/>
    <n v="1000"/>
  </r>
  <r>
    <x v="143"/>
    <x v="3"/>
    <n v="3.3"/>
    <n v="5.14"/>
    <n v="6.74"/>
    <n v="0.51"/>
    <n v="59.377013963480131"/>
    <n v="28.500343170899111"/>
    <n v="40.857547838412472"/>
    <n v="40.854279663171994"/>
    <n v="85.057471264367805"/>
    <n v="15.540484398208486"/>
    <n v="73.083091448071457"/>
    <n v="59.962280509695816"/>
    <n v="7.5967647058823538"/>
    <n v="-0.85676470588235354"/>
    <n v="144"/>
    <n v="10"/>
    <s v="Open ended"/>
    <s v="NIFTY Medium Duration Debt Index"/>
    <n v="1000"/>
    <n v="1000"/>
  </r>
  <r>
    <x v="144"/>
    <x v="20"/>
    <n v="5.29"/>
    <n v="4.16"/>
    <n v="5.21"/>
    <n v="0.22"/>
    <n v="63.651987110633726"/>
    <n v="26.818805765271108"/>
    <n v="35.43586109142452"/>
    <n v="38.49396969742034"/>
    <n v="96.168582375478934"/>
    <n v="19.266061083531717"/>
    <n v="66.630203341597564"/>
    <n v="59.946681277979295"/>
    <n v="4.4280373831775703"/>
    <n v="0.78196261682242962"/>
    <n v="145"/>
    <n v="6"/>
    <s v="Open ended"/>
    <s v=""/>
    <n v="5000"/>
    <m/>
  </r>
  <r>
    <x v="145"/>
    <x v="20"/>
    <n v="5.21"/>
    <n v="4.08"/>
    <n v="5.22"/>
    <n v="0.22"/>
    <n v="63.480128893662723"/>
    <n v="26.68153740562801"/>
    <n v="35.471296952515942"/>
    <n v="38.43613547667892"/>
    <n v="96.168582375478934"/>
    <n v="19.217573880447606"/>
    <n v="66.714185640856158"/>
    <n v="59.93875974242323"/>
    <n v="4.4280373831775703"/>
    <n v="0.79196261682242941"/>
    <n v="146"/>
    <n v="7"/>
    <s v="Open ended"/>
    <s v="Nifty Liquid Fund Index"/>
    <n v="5000"/>
    <n v="1000"/>
  </r>
  <r>
    <x v="146"/>
    <x v="20"/>
    <n v="5.21"/>
    <n v="4.1100000000000003"/>
    <n v="5.19"/>
    <n v="0.22"/>
    <n v="63.480128893662723"/>
    <n v="26.733013040494168"/>
    <n v="35.36498936924167"/>
    <n v="38.398424375501634"/>
    <n v="96.168582375478934"/>
    <n v="19.215109546673212"/>
    <n v="66.718453992160221"/>
    <n v="59.920971279660606"/>
    <n v="4.4280373831775703"/>
    <n v="0.76196261682243005"/>
    <n v="147"/>
    <n v="8"/>
    <s v="Open ended"/>
    <s v="Nifty Liquid Fund Index"/>
    <n v="1000"/>
    <n v="1000"/>
  </r>
  <r>
    <x v="147"/>
    <x v="20"/>
    <n v="5.21"/>
    <n v="4.1500000000000004"/>
    <n v="5.25"/>
    <n v="0.23"/>
    <n v="63.480128893662723"/>
    <n v="26.801647220315722"/>
    <n v="35.577604535790222"/>
    <n v="38.525322212722372"/>
    <n v="95.785440613026822"/>
    <n v="19.152368479323695"/>
    <n v="66.827124708530675"/>
    <n v="59.91580243675056"/>
    <n v="4.4280373831775703"/>
    <n v="0.82196261682242966"/>
    <n v="148"/>
    <n v="9"/>
    <s v="Open ended"/>
    <s v=""/>
    <n v="1000"/>
    <m/>
  </r>
  <r>
    <x v="148"/>
    <x v="11"/>
    <n v="12.78"/>
    <n v="20.59"/>
    <n v="14.89"/>
    <n v="2.04"/>
    <n v="79.742212674543495"/>
    <n v="55.01029512697324"/>
    <n v="69.737774627923457"/>
    <n v="67.320418386962402"/>
    <n v="26.436781609195403"/>
    <n v="12.440894787349373"/>
    <n v="78.451738136692086"/>
    <n v="59.882339129953074"/>
    <n v="11.362272727272726"/>
    <n v="3.5277272727272742"/>
    <n v="149"/>
    <n v="12"/>
    <s v="Open ended"/>
    <s v="Nifty Midcap 150 - TRI"/>
    <n v="1000"/>
    <n v="1000"/>
  </r>
  <r>
    <x v="149"/>
    <x v="21"/>
    <n v="9.92"/>
    <n v="20.43"/>
    <n v="12.37"/>
    <n v="1.87"/>
    <n v="73.598281417830293"/>
    <n v="54.73575840768703"/>
    <n v="60.807937632884482"/>
    <n v="61.544352622314406"/>
    <n v="32.950191570881216"/>
    <n v="9.6285948177655154"/>
    <n v="83.322784570135724"/>
    <n v="59.840420346411442"/>
    <n v="10.412619047619048"/>
    <n v="1.9573809523809516"/>
    <n v="150"/>
    <n v="3"/>
    <s v="Open ended"/>
    <s v="NIFTY LargeMidcap 250 - TRI"/>
    <n v="5000"/>
    <n v="1000"/>
  </r>
  <r>
    <x v="150"/>
    <x v="25"/>
    <n v="5.65"/>
    <n v="4.79"/>
    <n v="6.77"/>
    <n v="0.44"/>
    <n v="64.425349087003212"/>
    <n v="27.899794097460539"/>
    <n v="40.963855421686745"/>
    <n v="41.736935757482179"/>
    <n v="87.739463601532563"/>
    <n v="18.507780123436977"/>
    <n v="67.943584490893755"/>
    <n v="59.789229901847669"/>
    <n v="5.1221052631578941"/>
    <n v="1.6478947368421055"/>
    <n v="151"/>
    <n v="1"/>
    <s v="Open ended"/>
    <s v="CRISIL Low Duration Debt Index"/>
    <n v="20000"/>
    <n v="1000"/>
  </r>
  <r>
    <x v="151"/>
    <x v="25"/>
    <n v="5.65"/>
    <n v="4.79"/>
    <n v="6.77"/>
    <n v="0.44"/>
    <n v="64.425349087003212"/>
    <n v="27.899794097460539"/>
    <n v="40.963855421686745"/>
    <n v="41.736935757482179"/>
    <n v="87.739463601532563"/>
    <n v="18.507780123436977"/>
    <n v="67.943584490893755"/>
    <n v="59.789229901847669"/>
    <n v="5.1221052631578941"/>
    <n v="1.6478947368421055"/>
    <n v="151"/>
    <n v="1"/>
    <s v="Open ended"/>
    <s v="CRISIL Low Duration Debt Index"/>
    <n v="20000"/>
    <n v="1000"/>
  </r>
  <r>
    <x v="152"/>
    <x v="25"/>
    <n v="5.65"/>
    <n v="4.79"/>
    <n v="6.77"/>
    <n v="0.44"/>
    <n v="64.425349087003212"/>
    <n v="27.899794097460539"/>
    <n v="40.963855421686745"/>
    <n v="41.736935757482179"/>
    <n v="87.739463601532563"/>
    <n v="18.507780123436977"/>
    <n v="67.943584490893755"/>
    <n v="59.789229901847669"/>
    <n v="5.1221052631578941"/>
    <n v="1.6478947368421055"/>
    <n v="151"/>
    <n v="1"/>
    <s v="Open ended"/>
    <s v="CRISIL Low Duration Debt Index"/>
    <n v="20000"/>
    <n v="1000"/>
  </r>
  <r>
    <x v="153"/>
    <x v="25"/>
    <n v="5.65"/>
    <n v="4.79"/>
    <n v="6.77"/>
    <n v="0.44"/>
    <n v="64.425349087003212"/>
    <n v="27.899794097460539"/>
    <n v="40.963855421686745"/>
    <n v="41.736935757482179"/>
    <n v="87.739463601532563"/>
    <n v="18.507780123436977"/>
    <n v="67.943584490893755"/>
    <n v="59.789229901847669"/>
    <n v="5.1221052631578941"/>
    <n v="1.6478947368421055"/>
    <n v="151"/>
    <n v="1"/>
    <s v="Open ended"/>
    <s v="CRISIL Low Duration Debt Index"/>
    <n v="20000"/>
    <n v="1000"/>
  </r>
  <r>
    <x v="154"/>
    <x v="6"/>
    <n v="5.12"/>
    <n v="23.35"/>
    <n v="10.55"/>
    <n v="1.91"/>
    <n v="63.286788399570348"/>
    <n v="59.74605353466027"/>
    <n v="54.358610914245212"/>
    <n v="57.760479197434762"/>
    <n v="31.417624521072796"/>
    <n v="4.4958072056328433"/>
    <n v="92.213033498809651"/>
    <n v="59.787904103687993"/>
    <n v="9.0435999999999996"/>
    <n v="1.5064000000000011"/>
    <n v="155"/>
    <n v="3"/>
    <s v="Open ended"/>
    <s v="S&amp;P BSE 500 - TRI"/>
    <n v="1000"/>
    <n v="1000"/>
  </r>
  <r>
    <x v="155"/>
    <x v="20"/>
    <n v="5.25"/>
    <n v="4.2"/>
    <n v="5.3"/>
    <n v="0.26"/>
    <n v="63.566058002148232"/>
    <n v="26.887439945092662"/>
    <n v="35.754783841247338"/>
    <n v="38.65683550458111"/>
    <n v="94.636015325670499"/>
    <n v="19.137301189042773"/>
    <n v="66.853222020829634"/>
    <n v="59.700727088915592"/>
    <n v="4.4280373831775703"/>
    <n v="0.87196261682242948"/>
    <n v="156"/>
    <n v="10"/>
    <s v="Open ended"/>
    <s v=""/>
    <n v="1000"/>
    <m/>
  </r>
  <r>
    <x v="156"/>
    <x v="20"/>
    <n v="5.29"/>
    <n v="4.24"/>
    <n v="4.55"/>
    <n v="0.17"/>
    <n v="63.651987110633726"/>
    <n v="26.95607412491421"/>
    <n v="33.097094259390502"/>
    <n v="37.365766789296259"/>
    <n v="98.084291187739453"/>
    <n v="19.654955419683589"/>
    <n v="65.956618592606759"/>
    <n v="59.693110839734679"/>
    <n v="4.4280373831775703"/>
    <n v="0.12196261682242948"/>
    <n v="157"/>
    <n v="11"/>
    <s v="Open ended"/>
    <s v=""/>
    <n v="5000"/>
    <n v="1000"/>
  </r>
  <r>
    <x v="157"/>
    <x v="20"/>
    <n v="5.24"/>
    <n v="4.25"/>
    <n v="4.53"/>
    <n v="0.17"/>
    <n v="63.544575725026853"/>
    <n v="26.973232669869596"/>
    <n v="33.026222537207651"/>
    <n v="37.313996214570075"/>
    <n v="98.084291187739453"/>
    <n v="19.602175476583248"/>
    <n v="66.048036135677137"/>
    <n v="59.690079938139185"/>
    <n v="4.4280373831775703"/>
    <n v="0.10196261682242991"/>
    <n v="158"/>
    <n v="12"/>
    <s v="Open ended"/>
    <s v=""/>
    <n v="5000"/>
    <n v="1000"/>
  </r>
  <r>
    <x v="158"/>
    <x v="20"/>
    <n v="5.24"/>
    <n v="4.2300000000000004"/>
    <n v="4.5199999999999996"/>
    <n v="0.17"/>
    <n v="63.544575725026853"/>
    <n v="26.938915579958824"/>
    <n v="32.990786676116223"/>
    <n v="37.285983157051135"/>
    <n v="98.084291187739453"/>
    <n v="19.621983945165766"/>
    <n v="66.013726861672097"/>
    <n v="59.667496090878451"/>
    <n v="4.4280373831775703"/>
    <n v="9.1962616822429233E-2"/>
    <n v="159"/>
    <n v="13"/>
    <s v="Open ended"/>
    <s v=""/>
    <n v="5000"/>
    <n v="1000"/>
  </r>
  <r>
    <x v="159"/>
    <x v="11"/>
    <n v="12.78"/>
    <n v="20.59"/>
    <n v="14.62"/>
    <n v="2.04"/>
    <n v="79.742212674543495"/>
    <n v="55.01029512697324"/>
    <n v="68.78100637845499"/>
    <n v="66.842034262228168"/>
    <n v="26.436781609195403"/>
    <n v="12.392526493932474"/>
    <n v="78.535514478365542"/>
    <n v="59.664091153004321"/>
    <n v="11.362272727272726"/>
    <n v="3.2577272727272728"/>
    <n v="160"/>
    <n v="13"/>
    <s v="Open ended"/>
    <s v="Nifty Midcap 150 - TRI"/>
    <n v="1000"/>
    <n v="1000"/>
  </r>
  <r>
    <x v="160"/>
    <x v="14"/>
    <n v="-6.21"/>
    <n v="10.18"/>
    <n v="4.9400000000000004"/>
    <n v="0.9"/>
    <n v="38.94736842105263"/>
    <n v="37.148249828414556"/>
    <n v="34.47909284195606"/>
    <n v="36.173495053712927"/>
    <n v="70.114942528735625"/>
    <n v="2.2482108953375568"/>
    <n v="96.105984503145436"/>
    <n v="59.641979284826725"/>
    <n v="5.0250000000000004"/>
    <n v="-8.4999999999999964E-2"/>
    <n v="161"/>
    <n v="3"/>
    <s v="Open ended"/>
    <s v="NIFTY NEXT 50 - TRI"/>
    <n v="5000"/>
    <n v="1000"/>
  </r>
  <r>
    <x v="161"/>
    <x v="14"/>
    <n v="-6.21"/>
    <n v="10.18"/>
    <n v="4.9400000000000004"/>
    <n v="0.9"/>
    <n v="38.94736842105263"/>
    <n v="37.148249828414556"/>
    <n v="34.47909284195606"/>
    <n v="36.173495053712927"/>
    <n v="70.114942528735625"/>
    <n v="2.2482108953375568"/>
    <n v="96.105984503145436"/>
    <n v="59.641979284826725"/>
    <n v="5.0250000000000004"/>
    <n v="-8.4999999999999964E-2"/>
    <n v="161"/>
    <n v="3"/>
    <s v="Open ended"/>
    <s v="NIFTY NEXT 50 - TRI"/>
    <n v="5000"/>
    <n v="1000"/>
  </r>
  <r>
    <x v="162"/>
    <x v="20"/>
    <n v="5.2"/>
    <n v="4.08"/>
    <n v="5.2"/>
    <n v="0.25"/>
    <n v="63.458646616541344"/>
    <n v="26.68153740562801"/>
    <n v="35.400425230333099"/>
    <n v="38.396403160163217"/>
    <n v="95.019157088122611"/>
    <n v="19.217346999385352"/>
    <n v="66.714578610383256"/>
    <n v="59.631635504708079"/>
    <n v="4.4280373831775703"/>
    <n v="0.77196261682242984"/>
    <n v="163"/>
    <n v="14"/>
    <s v="Open ended"/>
    <s v=""/>
    <n v="5000"/>
    <n v="1000"/>
  </r>
  <r>
    <x v="163"/>
    <x v="20"/>
    <n v="5.2"/>
    <n v="4.08"/>
    <n v="5.2"/>
    <n v="0.25"/>
    <n v="63.458646616541344"/>
    <n v="26.68153740562801"/>
    <n v="35.400425230333099"/>
    <n v="38.396403160163217"/>
    <n v="95.019157088122611"/>
    <n v="19.217346999385352"/>
    <n v="66.714578610383256"/>
    <n v="59.631635504708079"/>
    <n v="4.4280373831775703"/>
    <n v="0.77196261682242984"/>
    <n v="163"/>
    <n v="14"/>
    <s v="Open ended"/>
    <s v=""/>
    <n v="5000"/>
    <n v="1000"/>
  </r>
  <r>
    <x v="164"/>
    <x v="3"/>
    <n v="7.86"/>
    <n v="12.54"/>
    <n v="11.45"/>
    <n v="1.35"/>
    <n v="69.172932330827066"/>
    <n v="41.19766643788607"/>
    <n v="57.547838412473418"/>
    <n v="54.967805603767943"/>
    <n v="52.873563218390807"/>
    <n v="14.053981843768645"/>
    <n v="75.657789397942182"/>
    <n v="59.616740955967217"/>
    <n v="7.5967647058823538"/>
    <n v="3.8532352941176455"/>
    <n v="165"/>
    <n v="11"/>
    <s v="Open ended"/>
    <s v="CRISIL Hybrid 50+50 - Moderate Index"/>
    <n v="5000"/>
    <n v="1000"/>
  </r>
  <r>
    <x v="165"/>
    <x v="20"/>
    <n v="5.23"/>
    <n v="4.2"/>
    <n v="4.4800000000000004"/>
    <n v="0.17"/>
    <n v="63.523093447905474"/>
    <n v="26.887439945092662"/>
    <n v="32.849043231750528"/>
    <n v="37.19537228898416"/>
    <n v="98.084291187739453"/>
    <n v="19.657946561076539"/>
    <n v="65.95143778374154"/>
    <n v="59.606618387362332"/>
    <n v="4.4280373831775703"/>
    <n v="5.1962616822430086E-2"/>
    <n v="166"/>
    <n v="16"/>
    <s v="Open ended"/>
    <s v=""/>
    <n v="5000"/>
    <n v="2000"/>
  </r>
  <r>
    <x v="166"/>
    <x v="21"/>
    <n v="9.92"/>
    <n v="20.440000000000001"/>
    <n v="12.12"/>
    <n v="1.87"/>
    <n v="73.598281417830293"/>
    <n v="54.752916952642416"/>
    <n v="59.922041105598865"/>
    <n v="61.106551922158218"/>
    <n v="32.950191570881216"/>
    <n v="9.7374462378691096"/>
    <n v="83.134248380040276"/>
    <n v="59.574385948809478"/>
    <n v="10.412619047619048"/>
    <n v="1.7073809523809516"/>
    <n v="167"/>
    <n v="4"/>
    <s v="Open ended"/>
    <s v="NIFTY LargeMidcap 250 - TRI"/>
    <n v="5000"/>
    <n v="1000"/>
  </r>
  <r>
    <x v="167"/>
    <x v="23"/>
    <n v="4.1500000000000004"/>
    <n v="21.04"/>
    <n v="11.54"/>
    <n v="2.02"/>
    <n v="61.203007518796994"/>
    <n v="55.782429649965692"/>
    <n v="57.866761162296228"/>
    <n v="57.908710979897222"/>
    <n v="27.203065134099624"/>
    <n v="2.7342775412840599"/>
    <n v="95.264092376501495"/>
    <n v="59.571144867598889"/>
    <n v="10.023387096774194"/>
    <n v="1.5166129032258056"/>
    <n v="168"/>
    <n v="3"/>
    <s v="Open ended"/>
    <s v="S&amp;P BSE 500 - TRI"/>
    <n v="1000"/>
    <n v="1000"/>
  </r>
  <r>
    <x v="168"/>
    <x v="20"/>
    <n v="5.18"/>
    <n v="4.08"/>
    <n v="5.13"/>
    <n v="0.25"/>
    <n v="63.415682062298593"/>
    <n v="26.68153740562801"/>
    <n v="35.152374202693125"/>
    <n v="38.263784735494681"/>
    <n v="95.019157088122611"/>
    <n v="19.235241229171649"/>
    <n v="66.683584895231078"/>
    <n v="59.557577863585763"/>
    <n v="4.4280373831775703"/>
    <n v="0.70196261682242955"/>
    <n v="169"/>
    <n v="17"/>
    <s v="Open ended"/>
    <s v="Nifty Liquid Fund Index"/>
    <n v="1000"/>
    <n v="1000"/>
  </r>
  <r>
    <x v="169"/>
    <x v="20"/>
    <n v="5.19"/>
    <n v="4.13"/>
    <n v="5.27"/>
    <n v="0.27"/>
    <n v="63.437164339419972"/>
    <n v="26.767330130404943"/>
    <n v="35.648476257973059"/>
    <n v="38.541870035992005"/>
    <n v="94.252873563218387"/>
    <n v="19.130092710804345"/>
    <n v="66.865707471383843"/>
    <n v="59.550580276646564"/>
    <n v="4.4280373831775703"/>
    <n v="0.84196261682242923"/>
    <n v="170"/>
    <n v="18"/>
    <s v="Open ended"/>
    <s v=""/>
    <n v="5000"/>
    <n v="1000"/>
  </r>
  <r>
    <x v="170"/>
    <x v="13"/>
    <n v="13.99"/>
    <n v="20.309999999999999"/>
    <n v="12.39"/>
    <n v="1.77"/>
    <n v="82.341568206229866"/>
    <n v="54.529855868222377"/>
    <n v="60.878809355067332"/>
    <n v="63.266675079246347"/>
    <n v="36.781609195402297"/>
    <n v="14.574238522437199"/>
    <n v="74.756678397511209"/>
    <n v="59.517909437851557"/>
    <n v="10.461"/>
    <n v="1.9290000000000003"/>
    <n v="171"/>
    <n v="4"/>
    <s v="Open ended"/>
    <s v="NIFTY 500 - TRI"/>
    <n v="1000"/>
    <n v="1000"/>
  </r>
  <r>
    <x v="171"/>
    <x v="20"/>
    <n v="5.21"/>
    <n v="4.1500000000000004"/>
    <n v="5.23"/>
    <n v="0.27"/>
    <n v="63.480128893662723"/>
    <n v="26.801647220315722"/>
    <n v="35.506732813607364"/>
    <n v="38.489886351630943"/>
    <n v="94.252873563218387"/>
    <n v="19.164204572154141"/>
    <n v="66.806623994385248"/>
    <n v="59.50981756521638"/>
    <n v="4.4280373831775703"/>
    <n v="0.80196261682243009"/>
    <n v="172"/>
    <n v="19"/>
    <s v="Open ended"/>
    <s v=""/>
    <n v="5000"/>
    <n v="1000"/>
  </r>
  <r>
    <x v="172"/>
    <x v="25"/>
    <n v="5.17"/>
    <n v="4.34"/>
    <n v="10.71"/>
    <n v="0.79"/>
    <n v="63.394199785177229"/>
    <n v="27.127659574468087"/>
    <n v="54.925584691708011"/>
    <n v="48.279930175229879"/>
    <n v="74.329501915708818"/>
    <n v="18.972365962455306"/>
    <n v="67.138898213237013"/>
    <n v="59.507065119851397"/>
    <n v="5.1221052631578941"/>
    <n v="5.5878947368421068"/>
    <n v="173"/>
    <n v="5"/>
    <s v="Open ended"/>
    <s v="CRISIL Low Duration Debt Index"/>
    <n v="5000"/>
    <n v="1000"/>
  </r>
  <r>
    <x v="173"/>
    <x v="25"/>
    <n v="5.17"/>
    <n v="4.34"/>
    <n v="10.7"/>
    <n v="0.79"/>
    <n v="63.394199785177229"/>
    <n v="27.127659574468087"/>
    <n v="54.890148830616582"/>
    <n v="48.262212244684164"/>
    <n v="74.329501915708818"/>
    <n v="18.96635895118208"/>
    <n v="67.149302661963873"/>
    <n v="59.500807266760255"/>
    <n v="5.1221052631578941"/>
    <n v="5.5778947368421052"/>
    <n v="174"/>
    <n v="6"/>
    <s v="Open ended"/>
    <s v="CRISIL Low Duration Debt Index"/>
    <n v="5000"/>
    <n v="1000"/>
  </r>
  <r>
    <x v="174"/>
    <x v="25"/>
    <n v="5.17"/>
    <n v="4.34"/>
    <n v="10.69"/>
    <n v="0.79"/>
    <n v="63.394199785177229"/>
    <n v="27.127659574468087"/>
    <n v="54.854712969525153"/>
    <n v="48.24449431413845"/>
    <n v="74.329501915708818"/>
    <n v="18.960372112654788"/>
    <n v="67.159672170469861"/>
    <n v="59.494540678613895"/>
    <n v="5.1221052631578941"/>
    <n v="5.5678947368421055"/>
    <n v="175"/>
    <n v="7"/>
    <s v="Open ended"/>
    <s v="CRISIL Low Duration Debt Index"/>
    <n v="5000"/>
    <n v="1000"/>
  </r>
  <r>
    <x v="175"/>
    <x v="11"/>
    <n v="12.02"/>
    <n v="20.93"/>
    <n v="11.5"/>
    <n v="1.76"/>
    <n v="78.109559613319007"/>
    <n v="55.593685655456412"/>
    <n v="57.725017717930548"/>
    <n v="61.162526478266003"/>
    <n v="37.164750957854409"/>
    <n v="12.43004897236084"/>
    <n v="78.470523639301717"/>
    <n v="59.490081888422033"/>
    <n v="11.362272727272726"/>
    <n v="0.13772727272727359"/>
    <n v="176"/>
    <n v="14"/>
    <s v="Open ended"/>
    <s v="Nifty Midcap 150 - TRI"/>
    <n v="1000"/>
    <n v="1000"/>
  </r>
  <r>
    <x v="176"/>
    <x v="25"/>
    <n v="5.17"/>
    <n v="4.34"/>
    <n v="10.68"/>
    <n v="0.79"/>
    <n v="63.394199785177229"/>
    <n v="27.127659574468087"/>
    <n v="54.819277108433731"/>
    <n v="48.226776383592735"/>
    <n v="74.329501915708818"/>
    <n v="18.954405465988401"/>
    <n v="67.170006705646841"/>
    <n v="59.488265347135282"/>
    <n v="5.1221052631578941"/>
    <n v="5.5578947368421057"/>
    <n v="177"/>
    <n v="8"/>
    <s v="Open ended"/>
    <s v="CRISIL Low Duration Debt Index"/>
    <n v="5000"/>
    <n v="1000"/>
  </r>
  <r>
    <x v="177"/>
    <x v="20"/>
    <n v="5.2"/>
    <n v="4.13"/>
    <n v="5.21"/>
    <n v="0.27"/>
    <n v="63.458646616541344"/>
    <n v="26.767330130404943"/>
    <n v="35.43586109142452"/>
    <n v="38.439858908142014"/>
    <n v="94.252873563218387"/>
    <n v="19.177559121251921"/>
    <n v="66.783493236835724"/>
    <n v="59.479021154084535"/>
    <n v="4.4280373831775703"/>
    <n v="0.78196261682242962"/>
    <n v="178"/>
    <n v="20"/>
    <s v="Open ended"/>
    <s v=""/>
    <n v="1000"/>
    <n v="1000"/>
  </r>
  <r>
    <x v="178"/>
    <x v="13"/>
    <n v="2.93"/>
    <n v="18.3"/>
    <n v="11.1"/>
    <n v="1.84"/>
    <n v="58.582169709989252"/>
    <n v="51.080988332189435"/>
    <n v="56.307583274273568"/>
    <n v="55.194522078791465"/>
    <n v="34.099616858237546"/>
    <n v="3.8461833940676824"/>
    <n v="93.338214946247064"/>
    <n v="59.456718990516883"/>
    <n v="10.461"/>
    <n v="0.63899999999999935"/>
    <n v="179"/>
    <n v="5"/>
    <s v="Open ended"/>
    <s v="NIFTY 500 - TRI"/>
    <n v="5000"/>
    <n v="1000"/>
  </r>
  <r>
    <x v="179"/>
    <x v="24"/>
    <n v="4.95"/>
    <n v="3.72"/>
    <n v="4.57"/>
    <n v="0.18"/>
    <n v="62.921589688506984"/>
    <n v="26.063829787234049"/>
    <n v="33.167965981573353"/>
    <n v="36.987449864658288"/>
    <n v="97.701149425287355"/>
    <n v="19.554374360150245"/>
    <n v="66.130830097997617"/>
    <n v="59.45171981315039"/>
    <n v="4.3460000000000001"/>
    <n v="0.2240000000000002"/>
    <n v="180"/>
    <n v="2"/>
    <s v="Open ended"/>
    <s v="CRISIL Overnight Index"/>
    <n v="5000"/>
    <n v="2000"/>
  </r>
  <r>
    <x v="180"/>
    <x v="23"/>
    <n v="3.42"/>
    <n v="33.99"/>
    <n v="19.739999999999998"/>
    <n v="2.62"/>
    <n v="59.634801288936622"/>
    <n v="78.002745367192873"/>
    <n v="86.924167257264344"/>
    <n v="78.789867496577358"/>
    <n v="4.2145593869731712"/>
    <n v="13.914516599316451"/>
    <n v="75.899350287223399"/>
    <n v="59.423411166837823"/>
    <n v="10.023387096774194"/>
    <n v="9.7166129032258048"/>
    <n v="181"/>
    <n v="4"/>
    <s v="Open ended"/>
    <s v="NIFTY 500 - TRI"/>
    <n v="1000"/>
    <n v="1000"/>
  </r>
  <r>
    <x v="181"/>
    <x v="26"/>
    <n v="6.19"/>
    <n v="5.25"/>
    <n v="4.91"/>
    <n v="0.27"/>
    <n v="65.585392051557463"/>
    <n v="28.689087165408377"/>
    <n v="34.37278525868178"/>
    <n v="38.910197189274896"/>
    <n v="94.252873563218387"/>
    <n v="19.865667876489066"/>
    <n v="65.591653911632008"/>
    <n v="59.416230463350047"/>
    <n v="4.4728846153846158"/>
    <n v="0.43711538461538435"/>
    <n v="182"/>
    <n v="1"/>
    <s v="Open ended"/>
    <s v="CRISIL Money Market Index"/>
    <n v="20000"/>
    <n v="1000"/>
  </r>
  <r>
    <x v="182"/>
    <x v="26"/>
    <n v="6.19"/>
    <n v="5.25"/>
    <n v="4.91"/>
    <n v="0.27"/>
    <n v="65.585392051557463"/>
    <n v="28.689087165408377"/>
    <n v="34.37278525868178"/>
    <n v="38.910197189274896"/>
    <n v="94.252873563218387"/>
    <n v="19.865667876489066"/>
    <n v="65.591653911632008"/>
    <n v="59.416230463350047"/>
    <n v="4.4728846153846158"/>
    <n v="0.43711538461538435"/>
    <n v="182"/>
    <n v="1"/>
    <s v="Open ended"/>
    <s v="CRISIL Money Market Index"/>
    <n v="1000"/>
    <n v="1000"/>
  </r>
  <r>
    <x v="183"/>
    <x v="23"/>
    <n v="4.17"/>
    <n v="21.05"/>
    <n v="11.39"/>
    <n v="2.02"/>
    <n v="61.245972073039731"/>
    <n v="55.799588194921078"/>
    <n v="57.33522324592488"/>
    <n v="57.656682496046713"/>
    <n v="27.203065134099624"/>
    <n v="2.8081793848946095"/>
    <n v="95.136090628595014"/>
    <n v="59.413130188697018"/>
    <n v="10.023387096774194"/>
    <n v="1.366612903225807"/>
    <n v="184"/>
    <n v="5"/>
    <s v="Open ended"/>
    <s v="S&amp;P BSE 500 - TRI"/>
    <n v="1000"/>
    <n v="1000"/>
  </r>
  <r>
    <x v="184"/>
    <x v="6"/>
    <n v="5.12"/>
    <n v="23.02"/>
    <n v="10.37"/>
    <n v="1.91"/>
    <n v="63.286788399570348"/>
    <n v="59.179821551132463"/>
    <n v="53.720765414599569"/>
    <n v="57.271686852553593"/>
    <n v="31.417624521072796"/>
    <n v="4.7989107504546364"/>
    <n v="91.688042759224075"/>
    <n v="59.412260246351011"/>
    <n v="9.0435999999999996"/>
    <n v="1.3263999999999996"/>
    <n v="185"/>
    <n v="4"/>
    <s v="Open ended"/>
    <s v="S&amp;P BSE 500 - TRI"/>
    <n v="1000"/>
    <n v="1000"/>
  </r>
  <r>
    <x v="185"/>
    <x v="24"/>
    <n v="5"/>
    <n v="3.72"/>
    <n v="4.0599999999999996"/>
    <n v="0.12"/>
    <n v="63.029001074113857"/>
    <n v="26.063829787234049"/>
    <n v="31.360737065910698"/>
    <n v="36.105317683948336"/>
    <n v="100"/>
    <n v="19.98899722464218"/>
    <n v="65.378041214566466"/>
    <n v="59.397169145615777"/>
    <n v="4.3460000000000001"/>
    <n v="-0.28600000000000048"/>
    <n v="186"/>
    <n v="3"/>
    <s v="Open ended"/>
    <s v="CRISIL Overnight Index"/>
    <n v="20000"/>
    <n v="1000"/>
  </r>
  <r>
    <x v="186"/>
    <x v="21"/>
    <n v="8.2200000000000006"/>
    <n v="17.72"/>
    <n v="12.34"/>
    <n v="1.79"/>
    <n v="69.946294307196567"/>
    <n v="50.085792724776937"/>
    <n v="60.701630049610202"/>
    <n v="59.365811703677494"/>
    <n v="36.015325670498079"/>
    <n v="9.9381364990970571"/>
    <n v="82.786642651009203"/>
    <n v="59.383397932215566"/>
    <n v="10.412619047619048"/>
    <n v="1.9273809523809522"/>
    <n v="187"/>
    <n v="5"/>
    <s v="Open ended"/>
    <s v="NIFTY LargeMidcap 250 - TRI"/>
    <n v="5000"/>
    <n v="1000"/>
  </r>
  <r>
    <x v="187"/>
    <x v="21"/>
    <n v="8.2200000000000006"/>
    <n v="17.71"/>
    <n v="12.34"/>
    <n v="1.79"/>
    <n v="69.946294307196567"/>
    <n v="50.068634179821558"/>
    <n v="60.701630049610202"/>
    <n v="59.360664140190877"/>
    <n v="36.015325670498079"/>
    <n v="9.9469073128441252"/>
    <n v="82.771451155975569"/>
    <n v="59.377026276713849"/>
    <n v="10.412619047619048"/>
    <n v="1.9273809523809522"/>
    <n v="188"/>
    <n v="6"/>
    <s v="Open ended"/>
    <s v="NIFTY LargeMidcap 250 - TRI"/>
    <n v="5000"/>
    <n v="1000"/>
  </r>
  <r>
    <x v="188"/>
    <x v="20"/>
    <n v="5.15"/>
    <n v="4.12"/>
    <n v="5.19"/>
    <n v="0.28000000000000003"/>
    <n v="63.351235230934478"/>
    <n v="26.750171585449557"/>
    <n v="35.36498936924167"/>
    <n v="38.377793206442597"/>
    <n v="93.869731800766274"/>
    <n v="19.135842908269883"/>
    <n v="66.85574783721998"/>
    <n v="59.370266512717862"/>
    <n v="4.4280373831775703"/>
    <n v="0.76196261682243005"/>
    <n v="189"/>
    <n v="21"/>
    <s v="Open ended"/>
    <s v=""/>
    <n v="1000"/>
    <n v="1000"/>
  </r>
  <r>
    <x v="189"/>
    <x v="27"/>
    <n v="5.63"/>
    <n v="16.09"/>
    <n v="11.48"/>
    <n v="1.67"/>
    <n v="64.382384532760469"/>
    <n v="47.288949897048738"/>
    <n v="57.654145995747697"/>
    <n v="55.890234873540564"/>
    <n v="40.613026819923384"/>
    <n v="8.6109619247868903"/>
    <n v="85.085376444228018"/>
    <n v="59.369718252808134"/>
    <n v="10.044583333333334"/>
    <n v="1.4354166666666668"/>
    <n v="190"/>
    <n v="1"/>
    <s v="Open ended"/>
    <s v="NIFTY 100 - TRI"/>
    <n v="1000"/>
    <n v="1000"/>
  </r>
  <r>
    <x v="190"/>
    <x v="26"/>
    <n v="6.19"/>
    <n v="5.25"/>
    <n v="4.87"/>
    <n v="0.27"/>
    <n v="65.585392051557463"/>
    <n v="28.689087165408377"/>
    <n v="34.231041814316086"/>
    <n v="38.839325467092053"/>
    <n v="94.252873563218387"/>
    <n v="19.896171551255016"/>
    <n v="65.53881999711983"/>
    <n v="59.367586123630588"/>
    <n v="4.4728846153846158"/>
    <n v="0.39711538461538431"/>
    <n v="191"/>
    <n v="3"/>
    <s v="Open ended"/>
    <s v="CRISIL Money Market Index"/>
    <n v="20000"/>
    <n v="1000"/>
  </r>
  <r>
    <x v="191"/>
    <x v="20"/>
    <n v="5.14"/>
    <n v="4.1399999999999997"/>
    <n v="5.23"/>
    <n v="0.28999999999999998"/>
    <n v="63.329752953813099"/>
    <n v="26.784488675360329"/>
    <n v="35.506732813607364"/>
    <n v="38.454663600174399"/>
    <n v="93.486590038314176"/>
    <n v="19.08644516278256"/>
    <n v="66.94130724218337"/>
    <n v="59.334306120211586"/>
    <n v="4.4280373831775703"/>
    <n v="0.80196261682243009"/>
    <n v="192"/>
    <n v="22"/>
    <s v="Open ended"/>
    <s v=""/>
    <n v="1000"/>
    <n v="1000"/>
  </r>
  <r>
    <x v="192"/>
    <x v="26"/>
    <n v="6.19"/>
    <n v="5.25"/>
    <n v="4.83"/>
    <n v="0.27"/>
    <n v="65.585392051557463"/>
    <n v="28.689087165408377"/>
    <n v="34.089298369950392"/>
    <n v="38.768453744909202"/>
    <n v="94.252873563218387"/>
    <n v="19.926964614586517"/>
    <n v="65.485484846908975"/>
    <n v="59.318816474986441"/>
    <n v="4.4728846153846158"/>
    <n v="0.35711538461538428"/>
    <n v="193"/>
    <n v="4"/>
    <s v="Open ended"/>
    <s v="CRISIL Money Market Index"/>
    <n v="20000"/>
    <n v="1000"/>
  </r>
  <r>
    <x v="193"/>
    <x v="22"/>
    <n v="5.81"/>
    <n v="18.420000000000002"/>
    <n v="11.97"/>
    <n v="1.87"/>
    <n v="64.769065520945219"/>
    <n v="51.286890871654087"/>
    <n v="59.390503189227495"/>
    <n v="58.035131960299019"/>
    <n v="32.950191570881216"/>
    <n v="6.7868315953726244"/>
    <n v="88.244862854400878"/>
    <n v="59.316329586470033"/>
    <n v="9.83"/>
    <n v="2.1400000000000006"/>
    <n v="194"/>
    <n v="3"/>
    <s v="Open ended"/>
    <s v="NIFTY 500 - TRI"/>
    <n v="5000"/>
    <n v="1000"/>
  </r>
  <r>
    <x v="194"/>
    <x v="23"/>
    <n v="3.28"/>
    <n v="33.869999999999997"/>
    <n v="19.68"/>
    <n v="2.62"/>
    <n v="59.33404940923738"/>
    <n v="77.796842827728213"/>
    <n v="86.711552090715799"/>
    <n v="78.561638775523846"/>
    <n v="4.2145593869731712"/>
    <n v="13.963490699748775"/>
    <n v="75.814524657019632"/>
    <n v="59.288090398760126"/>
    <n v="10.023387096774194"/>
    <n v="9.6566129032258061"/>
    <n v="195"/>
    <n v="6"/>
    <s v="Open ended"/>
    <s v="NIFTY 500 - TRI"/>
    <n v="1000"/>
    <n v="1000"/>
  </r>
  <r>
    <x v="195"/>
    <x v="24"/>
    <n v="5"/>
    <n v="3.51"/>
    <n v="4.05"/>
    <n v="0.12"/>
    <n v="63.029001074113857"/>
    <n v="25.703500343170905"/>
    <n v="31.325301204819279"/>
    <n v="35.979500920183682"/>
    <n v="100"/>
    <n v="20.124289781033113"/>
    <n v="65.143707633011488"/>
    <n v="59.275677368344716"/>
    <n v="4.3460000000000001"/>
    <n v="-0.29600000000000026"/>
    <n v="196"/>
    <n v="4"/>
    <s v="Open ended"/>
    <s v="CRISIL Overnight Index"/>
    <n v="20000"/>
    <n v="1000"/>
  </r>
  <r>
    <x v="196"/>
    <x v="20"/>
    <n v="5.12"/>
    <n v="4.13"/>
    <n v="5.2"/>
    <n v="0.3"/>
    <n v="63.286788399570348"/>
    <n v="26.767330130404943"/>
    <n v="35.400425230333099"/>
    <n v="38.387769334202105"/>
    <n v="93.103448275862064"/>
    <n v="19.086864654714372"/>
    <n v="66.94058066084412"/>
    <n v="59.204891901277598"/>
    <n v="4.4280373831775703"/>
    <n v="0.77196261682242984"/>
    <n v="197"/>
    <n v="23"/>
    <s v="Open ended"/>
    <s v=""/>
    <n v="5000"/>
    <n v="1000"/>
  </r>
  <r>
    <x v="197"/>
    <x v="24"/>
    <n v="4.91"/>
    <n v="3.68"/>
    <n v="4.51"/>
    <n v="0.2"/>
    <n v="62.835660580021482"/>
    <n v="25.995195607412498"/>
    <n v="32.955350815024801"/>
    <n v="36.843366205740445"/>
    <n v="96.934865900383144"/>
    <n v="19.57249997472746"/>
    <n v="66.099435612631467"/>
    <n v="59.180258481123872"/>
    <n v="4.3460000000000001"/>
    <n v="0.1639999999999997"/>
    <n v="198"/>
    <n v="5"/>
    <s v="Open ended"/>
    <s v="CRISIL Overnight Index"/>
    <n v="1000"/>
    <n v="1000"/>
  </r>
  <r>
    <x v="198"/>
    <x v="10"/>
    <n v="11.86"/>
    <n v="20.48"/>
    <n v="12.19"/>
    <n v="1.86"/>
    <n v="77.765843179377001"/>
    <n v="54.821551132463973"/>
    <n v="60.170092133238825"/>
    <n v="62.084680042234005"/>
    <n v="33.333333333333329"/>
    <n v="12.004567764318427"/>
    <n v="79.20747870929695"/>
    <n v="59.177543031774576"/>
    <n v="10.563571428571427"/>
    <n v="1.6264285714285727"/>
    <n v="199"/>
    <n v="4"/>
    <s v="Open ended"/>
    <s v=""/>
    <n v="5000"/>
    <n v="1000"/>
  </r>
  <r>
    <x v="199"/>
    <x v="20"/>
    <n v="5.24"/>
    <n v="3.91"/>
    <n v="4.28"/>
    <n v="0.18"/>
    <n v="63.544575725026853"/>
    <n v="26.389842141386417"/>
    <n v="32.140326009922035"/>
    <n v="36.696030792382317"/>
    <n v="97.701149425287355"/>
    <n v="19.999038279220027"/>
    <n v="65.360649597876062"/>
    <n v="59.113465151982012"/>
    <n v="4.4280373831775703"/>
    <n v="-0.14803738317757009"/>
    <n v="200"/>
    <n v="24"/>
    <s v="Open ended"/>
    <s v=""/>
    <n v="5000"/>
    <n v="1000"/>
  </r>
  <r>
    <x v="200"/>
    <x v="20"/>
    <n v="5.15"/>
    <n v="4.08"/>
    <n v="5.15"/>
    <n v="0.3"/>
    <n v="63.351235230934478"/>
    <n v="26.68153740562801"/>
    <n v="35.223245924875975"/>
    <n v="38.28633123031328"/>
    <n v="93.103448275862064"/>
    <n v="19.186850121149906"/>
    <n v="66.767400752959304"/>
    <n v="59.110877872361982"/>
    <n v="4.4280373831775703"/>
    <n v="0.72196261682243001"/>
    <n v="201"/>
    <n v="25"/>
    <s v="Open ended"/>
    <s v=""/>
    <n v="1000"/>
    <n v="1000"/>
  </r>
  <r>
    <x v="201"/>
    <x v="21"/>
    <n v="7.16"/>
    <n v="23.32"/>
    <n v="13.37"/>
    <n v="2.31"/>
    <n v="67.669172932330824"/>
    <n v="59.694577899794112"/>
    <n v="64.351523742026927"/>
    <n v="63.617969827417859"/>
    <n v="16.09195402298851"/>
    <n v="4.0059977255022003"/>
    <n v="93.061408404424824"/>
    <n v="59.097325520562265"/>
    <n v="10.412619047619048"/>
    <n v="2.9573809523809516"/>
    <n v="202"/>
    <n v="7"/>
    <s v="Open ended"/>
    <s v="NIFTY LargeMidcap 250 - TRI"/>
    <n v="5000"/>
    <n v="1000"/>
  </r>
  <r>
    <x v="202"/>
    <x v="20"/>
    <n v="5.25"/>
    <n v="3.88"/>
    <n v="4.26"/>
    <n v="0.18"/>
    <n v="63.566058002148232"/>
    <n v="26.338366506520249"/>
    <n v="32.069454287739184"/>
    <n v="36.649448696255313"/>
    <n v="97.701149425287355"/>
    <n v="20.044876430949525"/>
    <n v="65.281255590155524"/>
    <n v="59.070325601988372"/>
    <n v="4.4280373831775703"/>
    <n v="-0.16803738317757055"/>
    <n v="203"/>
    <n v="26"/>
    <s v="Open ended"/>
    <s v=""/>
    <n v="5000"/>
    <n v="1000"/>
  </r>
  <r>
    <x v="203"/>
    <x v="20"/>
    <n v="5.14"/>
    <n v="4.1500000000000004"/>
    <n v="5.24"/>
    <n v="0.32"/>
    <n v="63.329752953813099"/>
    <n v="26.801647220315722"/>
    <n v="35.542168674698793"/>
    <n v="38.47752909420673"/>
    <n v="92.337164750957854"/>
    <n v="19.073756245344786"/>
    <n v="66.963285091878646"/>
    <n v="59.063877007812486"/>
    <n v="4.4280373831775703"/>
    <n v="0.81196261682242987"/>
    <n v="204"/>
    <n v="27"/>
    <s v="Open ended"/>
    <s v=""/>
    <n v="5000"/>
    <n v="1000"/>
  </r>
  <r>
    <x v="204"/>
    <x v="20"/>
    <n v="5.26"/>
    <n v="4.13"/>
    <n v="4.46"/>
    <n v="0.22"/>
    <n v="63.587540279269597"/>
    <n v="26.767330130404943"/>
    <n v="32.778171509567677"/>
    <n v="37.136792849759246"/>
    <n v="96.168582375478934"/>
    <n v="19.752954603803346"/>
    <n v="65.786879026611047"/>
    <n v="59.057261775402118"/>
    <n v="4.4280373831775703"/>
    <n v="3.1962616822429624E-2"/>
    <n v="205"/>
    <n v="28"/>
    <s v="Open ended"/>
    <s v="Nifty Liquid Fund Index"/>
    <n v="5000"/>
    <m/>
  </r>
  <r>
    <x v="205"/>
    <x v="20"/>
    <n v="4.9400000000000004"/>
    <n v="3.8"/>
    <n v="4.76"/>
    <n v="0.25"/>
    <n v="62.900107411385605"/>
    <n v="26.20109814687715"/>
    <n v="33.841247342310417"/>
    <n v="37.360974597495471"/>
    <n v="95.019157088122611"/>
    <n v="19.363223342370151"/>
    <n v="66.461913372711251"/>
    <n v="59.050754913956197"/>
    <n v="4.4280373831775703"/>
    <n v="0.33196261682242945"/>
    <n v="206"/>
    <n v="29"/>
    <s v="Open ended"/>
    <s v=""/>
    <n v="5000"/>
    <n v="1000"/>
  </r>
  <r>
    <x v="206"/>
    <x v="27"/>
    <n v="6.59"/>
    <n v="15.37"/>
    <n v="11"/>
    <n v="1.59"/>
    <n v="66.444683136412451"/>
    <n v="46.053534660260816"/>
    <n v="55.953224663359322"/>
    <n v="55.081609357040392"/>
    <n v="43.678160919540218"/>
    <n v="10.197005273001382"/>
    <n v="82.338268782113857"/>
    <n v="59.044912103933711"/>
    <n v="10.044583333333334"/>
    <n v="0.95541666666666636"/>
    <n v="207"/>
    <n v="2"/>
    <s v="Open ended"/>
    <s v="S&amp;P BSE 100 - TRI"/>
    <n v="5000"/>
    <n v="1000"/>
  </r>
  <r>
    <x v="207"/>
    <x v="27"/>
    <n v="6.59"/>
    <n v="15.37"/>
    <n v="10.99"/>
    <n v="1.59"/>
    <n v="66.444683136412451"/>
    <n v="46.053534660260816"/>
    <n v="55.9177888022679"/>
    <n v="55.063891426494685"/>
    <n v="43.678160919540218"/>
    <n v="10.197368535369062"/>
    <n v="82.33763959323656"/>
    <n v="59.035895841441537"/>
    <n v="10.044583333333334"/>
    <n v="0.94541666666666657"/>
    <n v="208"/>
    <n v="3"/>
    <s v="Open ended"/>
    <s v="S&amp;P BSE 100 - TRI"/>
    <n v="5000"/>
    <n v="1000"/>
  </r>
  <r>
    <x v="208"/>
    <x v="20"/>
    <n v="5.26"/>
    <n v="4.1100000000000003"/>
    <n v="4.45"/>
    <n v="0.22"/>
    <n v="63.587540279269597"/>
    <n v="26.733013040494168"/>
    <n v="32.742735648476256"/>
    <n v="37.108779792240298"/>
    <n v="96.168582375478934"/>
    <n v="19.77277133050373"/>
    <n v="65.752555449126277"/>
    <n v="59.034674352271452"/>
    <n v="4.4280373831775703"/>
    <n v="2.1962616822429837E-2"/>
    <n v="209"/>
    <n v="30"/>
    <s v="Open ended"/>
    <s v="Nifty Liquid Fund Index"/>
    <n v="5000"/>
    <m/>
  </r>
  <r>
    <x v="209"/>
    <x v="26"/>
    <n v="6.15"/>
    <n v="5.18"/>
    <n v="5.08"/>
    <n v="0.33"/>
    <n v="65.499462943071961"/>
    <n v="28.568977350720658"/>
    <n v="34.975194897236001"/>
    <n v="39.158183242448587"/>
    <n v="91.954022988505741"/>
    <n v="19.734197598222696"/>
    <n v="65.819367113274581"/>
    <n v="59.022439146669377"/>
    <n v="4.4728846153846158"/>
    <n v="0.60711538461538428"/>
    <n v="210"/>
    <n v="5"/>
    <s v="Open ended"/>
    <s v="Nifty Money Market Index"/>
    <n v="1000"/>
    <n v="1000"/>
  </r>
  <r>
    <x v="210"/>
    <x v="20"/>
    <n v="5.1100000000000003"/>
    <n v="3.78"/>
    <n v="4.78"/>
    <n v="0.25"/>
    <n v="63.265306122448969"/>
    <n v="26.166781056966371"/>
    <n v="33.912119064493261"/>
    <n v="37.459155073826338"/>
    <n v="95.019157088122611"/>
    <n v="19.569961732820786"/>
    <n v="66.103831976575734"/>
    <n v="59.010324803087755"/>
    <n v="4.4280373831775703"/>
    <n v="0.35196261682242991"/>
    <n v="211"/>
    <n v="31"/>
    <s v="Open ended"/>
    <s v=""/>
    <n v="5000"/>
    <n v="1000"/>
  </r>
  <r>
    <x v="211"/>
    <x v="20"/>
    <n v="5.22"/>
    <n v="3.97"/>
    <n v="4.4000000000000004"/>
    <n v="0.21"/>
    <n v="63.501611170784102"/>
    <n v="26.492793411118743"/>
    <n v="32.565556343019132"/>
    <n v="36.930938429002012"/>
    <n v="96.551724137931032"/>
    <n v="19.847630126800468"/>
    <n v="65.62289621054687"/>
    <n v="59.009124301620474"/>
    <n v="4.4280373831775703"/>
    <n v="-2.8037383177569986E-2"/>
    <n v="212"/>
    <n v="32"/>
    <s v="Open ended"/>
    <s v=""/>
    <n v="10000"/>
    <n v="1000"/>
  </r>
  <r>
    <x v="212"/>
    <x v="21"/>
    <n v="7.02"/>
    <n v="23.16"/>
    <n v="13.35"/>
    <n v="2.31"/>
    <n v="67.368421052631575"/>
    <n v="59.420041180507901"/>
    <n v="64.280652019844069"/>
    <n v="63.440022574600718"/>
    <n v="16.09195402298851"/>
    <n v="4.0070063206608184"/>
    <n v="93.059661466365839"/>
    <n v="59.007915159638948"/>
    <n v="10.412619047619048"/>
    <n v="2.937380952380952"/>
    <n v="213"/>
    <n v="8"/>
    <s v="Open ended"/>
    <s v="NIFTY LargeMidcap 250 - TRI"/>
    <n v="5000"/>
    <n v="1000"/>
  </r>
  <r>
    <x v="213"/>
    <x v="27"/>
    <n v="5.63"/>
    <n v="16.079999999999998"/>
    <n v="11.04"/>
    <n v="1.67"/>
    <n v="64.382384532760469"/>
    <n v="47.271791352093345"/>
    <n v="56.094968107725009"/>
    <n v="55.105498366042603"/>
    <n v="40.613026819923384"/>
    <n v="8.5566944363011146"/>
    <n v="85.179370491484534"/>
    <n v="59.000848510873283"/>
    <n v="10.044583333333334"/>
    <n v="0.99541666666666551"/>
    <n v="214"/>
    <n v="4"/>
    <s v="Open ended"/>
    <s v="NIFTY 100 - TRI"/>
    <n v="1000"/>
    <n v="1000"/>
  </r>
  <r>
    <x v="214"/>
    <x v="20"/>
    <n v="5.29"/>
    <n v="4.12"/>
    <n v="4.42"/>
    <n v="0.22"/>
    <n v="63.651987110633726"/>
    <n v="26.750171585449557"/>
    <n v="32.636428065201983"/>
    <n v="37.073662930362602"/>
    <n v="96.168582375478934"/>
    <n v="19.825727844145735"/>
    <n v="65.660832076906601"/>
    <n v="58.994185078277681"/>
    <n v="4.4280373831775703"/>
    <n v="-8.0373831775704119E-3"/>
    <n v="215"/>
    <n v="33"/>
    <s v="Open ended"/>
    <s v=""/>
    <n v="5000"/>
    <m/>
  </r>
  <r>
    <x v="215"/>
    <x v="20"/>
    <n v="5.36"/>
    <n v="4.0199999999999996"/>
    <n v="4.3099999999999996"/>
    <n v="0.2"/>
    <n v="63.802363050483343"/>
    <n v="26.578586135895677"/>
    <n v="32.246633593196314"/>
    <n v="36.857365247463534"/>
    <n v="96.934865900383144"/>
    <n v="20.056172746175903"/>
    <n v="65.261689798245129"/>
    <n v="58.977821548388832"/>
    <n v="4.4280373831775703"/>
    <n v="-0.11803738317757073"/>
    <n v="216"/>
    <n v="34"/>
    <s v="Open ended"/>
    <s v=""/>
    <n v="1000"/>
    <n v="1000"/>
  </r>
  <r>
    <x v="216"/>
    <x v="26"/>
    <n v="6.09"/>
    <n v="5.0999999999999996"/>
    <n v="4.9000000000000004"/>
    <n v="0.31"/>
    <n v="65.370569280343716"/>
    <n v="28.43170899107756"/>
    <n v="34.337349397590359"/>
    <n v="38.772301252187191"/>
    <n v="92.720306513409966"/>
    <n v="19.842785105138674"/>
    <n v="65.631288034228874"/>
    <n v="58.974049263003309"/>
    <n v="4.4728846153846158"/>
    <n v="0.42711538461538456"/>
    <n v="217"/>
    <n v="6"/>
    <s v="Open ended"/>
    <s v="CRISIL Money Market Index"/>
    <n v="1000"/>
    <n v="1000"/>
  </r>
  <r>
    <x v="217"/>
    <x v="20"/>
    <n v="5.22"/>
    <n v="3.96"/>
    <n v="4.37"/>
    <n v="0.21"/>
    <n v="63.501611170784102"/>
    <n v="26.475634866163354"/>
    <n v="32.459248759744867"/>
    <n v="36.872637073878259"/>
    <n v="96.551724137931032"/>
    <n v="19.876094605480645"/>
    <n v="65.573594287261841"/>
    <n v="58.967648143237348"/>
    <n v="4.4280373831775703"/>
    <n v="-5.8037383177570234E-2"/>
    <n v="218"/>
    <n v="35"/>
    <s v="Open ended"/>
    <s v=""/>
    <n v="2500000"/>
    <n v="1000"/>
  </r>
  <r>
    <x v="218"/>
    <x v="20"/>
    <n v="5.29"/>
    <n v="4.09"/>
    <n v="4.41"/>
    <n v="0.22"/>
    <n v="63.651987110633726"/>
    <n v="26.698695950583396"/>
    <n v="32.600992204110554"/>
    <n v="37.040502309357038"/>
    <n v="96.168582375478934"/>
    <n v="19.851730039255113"/>
    <n v="65.615794953868829"/>
    <n v="58.96634548701546"/>
    <n v="4.4280373831775703"/>
    <n v="-1.8037383177570199E-2"/>
    <n v="219"/>
    <n v="36"/>
    <s v="Open ended"/>
    <s v=""/>
    <n v="5000"/>
    <m/>
  </r>
  <r>
    <x v="219"/>
    <x v="3"/>
    <n v="3.3"/>
    <n v="5.0199999999999996"/>
    <n v="5.84"/>
    <n v="0.51"/>
    <n v="59.377013963480131"/>
    <n v="28.294440631434458"/>
    <n v="37.668320340184266"/>
    <n v="39.1978951522185"/>
    <n v="85.057471264367805"/>
    <n v="15.943981960634526"/>
    <n v="72.38421316921935"/>
    <n v="58.959368684506039"/>
    <n v="7.5967647058823538"/>
    <n v="-1.7567647058823539"/>
    <n v="220"/>
    <n v="12"/>
    <s v="Open ended"/>
    <s v="NIFTY Medium Duration Debt Index"/>
    <n v="1000"/>
    <n v="1000"/>
  </r>
  <r>
    <x v="220"/>
    <x v="22"/>
    <n v="5.81"/>
    <n v="18.420000000000002"/>
    <n v="11.54"/>
    <n v="1.87"/>
    <n v="64.769065520945219"/>
    <n v="51.286890871654087"/>
    <n v="57.866761162296228"/>
    <n v="57.273260946833389"/>
    <n v="32.950191570881216"/>
    <n v="6.7417298939155614"/>
    <n v="88.32298129283231"/>
    <n v="58.95492368934508"/>
    <n v="9.83"/>
    <n v="1.7099999999999991"/>
    <n v="221"/>
    <n v="4"/>
    <s v="Open ended"/>
    <s v="NIFTY 500 - TRI"/>
    <n v="5000"/>
    <n v="1000"/>
  </r>
  <r>
    <x v="221"/>
    <x v="20"/>
    <n v="5.12"/>
    <n v="4.08"/>
    <n v="5.17"/>
    <n v="0.32"/>
    <n v="63.286788399570348"/>
    <n v="26.68153740562801"/>
    <n v="35.294117647058819"/>
    <n v="38.308877725131879"/>
    <n v="92.337164750957854"/>
    <n v="19.138576029419028"/>
    <n v="66.851013932526413"/>
    <n v="58.951483533437013"/>
    <n v="4.4280373831775703"/>
    <n v="0.74196261682242959"/>
    <n v="222"/>
    <n v="37"/>
    <s v="Open ended"/>
    <s v="Nifty Liquid Fund Index"/>
    <n v="1000"/>
    <m/>
  </r>
  <r>
    <x v="222"/>
    <x v="26"/>
    <n v="6.15"/>
    <n v="5.19"/>
    <n v="5.01"/>
    <n v="0.33"/>
    <n v="65.499462943071961"/>
    <n v="28.586135895676051"/>
    <n v="34.727143869596027"/>
    <n v="39.039305292115216"/>
    <n v="91.954022988505741"/>
    <n v="19.778950569580992"/>
    <n v="65.741852693092341"/>
    <n v="58.943621566457132"/>
    <n v="4.4728846153846158"/>
    <n v="0.537115384615384"/>
    <n v="223"/>
    <n v="7"/>
    <s v="Open ended"/>
    <s v="Nifty Money Market Index"/>
    <n v="1000"/>
    <n v="1000"/>
  </r>
  <r>
    <x v="223"/>
    <x v="20"/>
    <n v="5.21"/>
    <n v="4.1100000000000003"/>
    <n v="4.4400000000000004"/>
    <n v="0.23"/>
    <n v="63.480128893662723"/>
    <n v="26.733013040494168"/>
    <n v="32.707299787384834"/>
    <n v="37.069579584573212"/>
    <n v="95.785440613026822"/>
    <n v="19.718898028982455"/>
    <n v="65.8458667445326"/>
    <n v="58.942616631676458"/>
    <n v="4.4280373831775703"/>
    <n v="1.196261682243005E-2"/>
    <n v="224"/>
    <n v="38"/>
    <s v="Open ended"/>
    <s v=""/>
    <n v="20000"/>
    <m/>
  </r>
  <r>
    <x v="224"/>
    <x v="13"/>
    <n v="2.93"/>
    <n v="17.95"/>
    <n v="10.72"/>
    <n v="1.84"/>
    <n v="58.582169709989252"/>
    <n v="50.480439258750863"/>
    <n v="54.961020552799432"/>
    <n v="54.341075996022823"/>
    <n v="34.099616858237546"/>
    <n v="4.0584554996475743"/>
    <n v="92.970548874353071"/>
    <n v="58.938079431159068"/>
    <n v="10.461"/>
    <n v="0.25900000000000034"/>
    <n v="225"/>
    <n v="6"/>
    <s v="Open ended"/>
    <s v="NIFTY 500 - TRI"/>
    <n v="5000"/>
    <n v="1000"/>
  </r>
  <r>
    <x v="225"/>
    <x v="20"/>
    <n v="5.33"/>
    <n v="3.96"/>
    <n v="4.29"/>
    <n v="0.2"/>
    <n v="63.737916219119214"/>
    <n v="26.475634866163354"/>
    <n v="32.175761871013464"/>
    <n v="36.778154639179583"/>
    <n v="96.934865900383144"/>
    <n v="20.071283992277436"/>
    <n v="65.235516352231585"/>
    <n v="58.93167288274347"/>
    <n v="4.4280373831775703"/>
    <n v="-0.13803738317757031"/>
    <n v="226"/>
    <n v="39"/>
    <s v="Open ended"/>
    <s v=""/>
    <n v="1000"/>
    <n v="1000"/>
  </r>
  <r>
    <x v="226"/>
    <x v="20"/>
    <n v="5.22"/>
    <n v="4.05"/>
    <n v="4.38"/>
    <n v="0.22"/>
    <n v="63.501611170784102"/>
    <n v="26.630061770761841"/>
    <n v="32.494684620836281"/>
    <n v="36.936683075803515"/>
    <n v="96.168582375478934"/>
    <n v="19.813019500679161"/>
    <n v="65.682843573470748"/>
    <n v="58.931198025139182"/>
    <n v="4.4280373831775703"/>
    <n v="-4.8037383177570447E-2"/>
    <n v="227"/>
    <n v="40"/>
    <s v="Open ended"/>
    <s v="Nifty Liquid Fund Index"/>
    <n v="1000"/>
    <n v="1000"/>
  </r>
  <r>
    <x v="227"/>
    <x v="20"/>
    <n v="5.21"/>
    <n v="4.04"/>
    <n v="4.38"/>
    <n v="0.22"/>
    <n v="63.480128893662723"/>
    <n v="26.612903225806456"/>
    <n v="32.494684620836281"/>
    <n v="36.927239056892624"/>
    <n v="96.168582375478934"/>
    <n v="19.806924031795848"/>
    <n v="65.693401235272603"/>
    <n v="58.9291154311342"/>
    <n v="4.4280373831775703"/>
    <n v="-4.8037383177570447E-2"/>
    <n v="228"/>
    <n v="41"/>
    <s v="Open ended"/>
    <s v="Nifty Liquid Fund Index"/>
    <n v="1000"/>
    <n v="1000"/>
  </r>
  <r>
    <x v="228"/>
    <x v="20"/>
    <n v="5.2"/>
    <n v="4.01"/>
    <n v="4.3899999999999997"/>
    <n v="0.22"/>
    <n v="63.458646616541344"/>
    <n v="26.561427590940291"/>
    <n v="32.530120481927703"/>
    <n v="36.925217841554208"/>
    <n v="96.168582375478934"/>
    <n v="19.805739048356578"/>
    <n v="65.695453686795531"/>
    <n v="58.928617936345717"/>
    <n v="4.4280373831775703"/>
    <n v="-3.8037383177570661E-2"/>
    <n v="229"/>
    <n v="42"/>
    <s v="Open ended"/>
    <s v="Nifty Liquid Fund Index"/>
    <n v="100000"/>
    <n v="1000"/>
  </r>
  <r>
    <x v="229"/>
    <x v="20"/>
    <n v="5.21"/>
    <n v="4.09"/>
    <n v="4.43"/>
    <n v="0.23"/>
    <n v="63.480128893662723"/>
    <n v="26.698695950583396"/>
    <n v="32.671863926293412"/>
    <n v="37.041566527054272"/>
    <n v="95.785440613026822"/>
    <n v="19.738717179323498"/>
    <n v="65.811538969179054"/>
    <n v="58.920028159078605"/>
    <n v="4.4280373831775703"/>
    <n v="1.962616822429375E-3"/>
    <n v="230"/>
    <n v="43"/>
    <s v="Open ended"/>
    <s v=""/>
    <n v="20000"/>
    <m/>
  </r>
  <r>
    <x v="230"/>
    <x v="26"/>
    <n v="6.16"/>
    <n v="5.18"/>
    <n v="4.99"/>
    <n v="0.33"/>
    <n v="65.52094522019334"/>
    <n v="28.568977350720658"/>
    <n v="34.656272147413183"/>
    <n v="39.003018322961452"/>
    <n v="91.954022988505741"/>
    <n v="19.812164324214145"/>
    <n v="65.684324782557582"/>
    <n v="58.91109610424656"/>
    <n v="4.4728846153846158"/>
    <n v="0.51711538461538442"/>
    <n v="231"/>
    <n v="8"/>
    <s v="Open ended"/>
    <s v="Nifty Money Market Index"/>
    <n v="1000"/>
    <n v="1000"/>
  </r>
  <r>
    <x v="231"/>
    <x v="20"/>
    <n v="5.21"/>
    <n v="4.17"/>
    <n v="5.28"/>
    <n v="0.34"/>
    <n v="63.480128893662723"/>
    <n v="26.835964310226494"/>
    <n v="35.683912119064495"/>
    <n v="38.588771131332742"/>
    <n v="91.570881226053629"/>
    <n v="19.121151662606252"/>
    <n v="66.881193821135867"/>
    <n v="58.907404327463745"/>
    <n v="4.4280373831775703"/>
    <n v="0.85196261682242991"/>
    <n v="232"/>
    <n v="44"/>
    <s v="Open ended"/>
    <s v=""/>
    <n v="1000"/>
    <n v="1000"/>
  </r>
  <r>
    <x v="232"/>
    <x v="26"/>
    <n v="5.78"/>
    <n v="4.7699999999999996"/>
    <n v="4.66"/>
    <n v="0.28000000000000003"/>
    <n v="64.704618689581096"/>
    <n v="27.865477007549767"/>
    <n v="33.486888731396171"/>
    <n v="38.044011205879229"/>
    <n v="93.869731800766274"/>
    <n v="19.846365298545781"/>
    <n v="65.625086957346838"/>
    <n v="58.895710292467889"/>
    <n v="4.4728846153846158"/>
    <n v="0.18711538461538435"/>
    <n v="233"/>
    <n v="9"/>
    <s v="Open ended"/>
    <s v="Nifty Money Market Index"/>
    <n v="10000"/>
    <n v="1000"/>
  </r>
  <r>
    <x v="233"/>
    <x v="20"/>
    <n v="5.21"/>
    <n v="4.0199999999999996"/>
    <n v="4.3600000000000003"/>
    <n v="0.22"/>
    <n v="63.480128893662723"/>
    <n v="26.578586135895677"/>
    <n v="32.423812898653438"/>
    <n v="36.881508068827969"/>
    <n v="96.168582375478934"/>
    <n v="19.834251926878238"/>
    <n v="65.646067932525995"/>
    <n v="58.894416611415217"/>
    <n v="4.4280373831775703"/>
    <n v="-6.8037383177570021E-2"/>
    <n v="234"/>
    <n v="45"/>
    <s v="Open ended"/>
    <s v="Nifty Liquid Fund Index"/>
    <n v="1000"/>
    <n v="1000"/>
  </r>
  <r>
    <x v="234"/>
    <x v="27"/>
    <n v="2.14"/>
    <n v="13.78"/>
    <n v="10.96"/>
    <n v="1.58"/>
    <n v="56.885069817400648"/>
    <n v="43.325326012354161"/>
    <n v="55.81148121899362"/>
    <n v="52.28035237668319"/>
    <n v="44.061302681992331"/>
    <n v="7.5379408813173887"/>
    <n v="86.943903409107762"/>
    <n v="58.891477711116622"/>
    <n v="10.044583333333334"/>
    <n v="0.91541666666666721"/>
    <n v="235"/>
    <n v="5"/>
    <s v="Open ended"/>
    <s v="NIFTY 100 - TRI"/>
    <n v="5000"/>
    <n v="1000"/>
  </r>
  <r>
    <x v="235"/>
    <x v="20"/>
    <n v="5.14"/>
    <n v="4.13"/>
    <n v="5.26"/>
    <n v="0.34"/>
    <n v="63.329752953813099"/>
    <n v="26.767330130404943"/>
    <n v="35.613040396881637"/>
    <n v="38.502669828324926"/>
    <n v="91.570881226053629"/>
    <n v="19.075610552918487"/>
    <n v="66.960073336948142"/>
    <n v="58.884073554912902"/>
    <n v="4.4280373831775703"/>
    <n v="0.83196261682242945"/>
    <n v="236"/>
    <n v="46"/>
    <s v="Open ended"/>
    <s v="Nifty Liquid Fund Index"/>
    <n v="1000"/>
    <n v="1000"/>
  </r>
  <r>
    <x v="236"/>
    <x v="26"/>
    <n v="6.08"/>
    <n v="5.0999999999999996"/>
    <n v="4.82"/>
    <n v="0.31"/>
    <n v="65.349087003222337"/>
    <n v="28.43170899107756"/>
    <n v="34.05386250885897"/>
    <n v="38.626261352397222"/>
    <n v="92.720306513409966"/>
    <n v="19.890921235669694"/>
    <n v="65.547913810469367"/>
    <n v="58.880185757168448"/>
    <n v="4.4728846153846158"/>
    <n v="0.34711538461538449"/>
    <n v="237"/>
    <n v="10"/>
    <s v="Open ended"/>
    <s v="CRISIL Money Market Index"/>
    <n v="1000"/>
    <n v="1000"/>
  </r>
  <r>
    <x v="237"/>
    <x v="26"/>
    <n v="6.09"/>
    <n v="5.0999999999999996"/>
    <n v="4.82"/>
    <n v="0.31"/>
    <n v="65.370569280343716"/>
    <n v="28.43170899107756"/>
    <n v="34.05386250885897"/>
    <n v="38.630557807821496"/>
    <n v="92.720306513409966"/>
    <n v="19.903199628278298"/>
    <n v="65.526647010635998"/>
    <n v="58.877017284922239"/>
    <n v="4.4728846153846158"/>
    <n v="0.34711538461538449"/>
    <n v="238"/>
    <n v="11"/>
    <s v="Open ended"/>
    <s v="CRISIL Money Market Index"/>
    <n v="1000"/>
    <n v="1000"/>
  </r>
  <r>
    <x v="238"/>
    <x v="20"/>
    <n v="4.9800000000000004"/>
    <n v="3.9"/>
    <n v="5.07"/>
    <n v="0.31"/>
    <n v="62.986036519871099"/>
    <n v="26.372683596431024"/>
    <n v="34.939759036144579"/>
    <n v="37.978891900975817"/>
    <n v="92.720306513409966"/>
    <n v="19.150831464022243"/>
    <n v="66.829786897124819"/>
    <n v="58.876969303121605"/>
    <n v="4.4280373831775703"/>
    <n v="0.64196261682242994"/>
    <n v="239"/>
    <n v="47"/>
    <s v="Open ended"/>
    <s v=""/>
    <n v="1000"/>
    <n v="1000"/>
  </r>
  <r>
    <x v="239"/>
    <x v="20"/>
    <n v="5.21"/>
    <n v="4.05"/>
    <n v="4.41"/>
    <n v="0.23"/>
    <n v="63.480128893662723"/>
    <n v="26.630061770761841"/>
    <n v="32.600992204110554"/>
    <n v="36.985540412016377"/>
    <n v="95.785440613026822"/>
    <n v="19.778357447364183"/>
    <n v="65.742880010906944"/>
    <n v="58.874850361991633"/>
    <n v="4.4280373831775703"/>
    <n v="-1.8037383177570199E-2"/>
    <n v="240"/>
    <n v="48"/>
    <s v="Open ended"/>
    <s v=""/>
    <n v="20000"/>
    <m/>
  </r>
  <r>
    <x v="240"/>
    <x v="20"/>
    <n v="5.16"/>
    <n v="3.94"/>
    <n v="4.3499999999999996"/>
    <n v="0.22"/>
    <n v="63.372717508055857"/>
    <n v="26.441317776252575"/>
    <n v="32.388377037562009"/>
    <n v="36.801127353267944"/>
    <n v="96.168582375478934"/>
    <n v="19.829797252280255"/>
    <n v="65.653783655260881"/>
    <n v="58.856155184318922"/>
    <n v="4.4280373831775703"/>
    <n v="-7.8037383177570696E-2"/>
    <n v="241"/>
    <n v="49"/>
    <s v="Open ended"/>
    <s v="Nifty Liquid Fund Index"/>
    <n v="100000"/>
    <n v="1000"/>
  </r>
  <r>
    <x v="241"/>
    <x v="28"/>
    <n v="7.38"/>
    <n v="23.58"/>
    <n v="12.98"/>
    <n v="2.31"/>
    <n v="68.141783029001061"/>
    <n v="60.140700068634189"/>
    <n v="62.969525159461369"/>
    <n v="63.155329206121152"/>
    <n v="16.09195402298851"/>
    <n v="4.0573355666451389"/>
    <n v="92.972488655214363"/>
    <n v="58.843775272611296"/>
    <n v="10.248999999999999"/>
    <n v="2.7310000000000016"/>
    <n v="242"/>
    <n v="1"/>
    <s v="Open ended"/>
    <s v="Nifty Dividend Opportunities 50"/>
    <n v="5000"/>
    <n v="1000"/>
  </r>
  <r>
    <x v="242"/>
    <x v="3"/>
    <n v="3.3"/>
    <n v="4.76"/>
    <n v="5.86"/>
    <n v="0.51"/>
    <n v="59.377013963480131"/>
    <n v="27.848318462594374"/>
    <n v="37.73919206236711"/>
    <n v="39.099494362657893"/>
    <n v="85.057471264367805"/>
    <n v="16.124946290238928"/>
    <n v="72.070773755986892"/>
    <n v="58.831808436417624"/>
    <n v="7.5967647058823538"/>
    <n v="-1.7367647058823534"/>
    <n v="243"/>
    <n v="13"/>
    <s v="Open ended"/>
    <s v="NIFTY Medium Duration Debt Index"/>
    <n v="1000"/>
    <n v="1000"/>
  </r>
  <r>
    <x v="243"/>
    <x v="20"/>
    <n v="5.23"/>
    <n v="4.1100000000000003"/>
    <n v="3.87"/>
    <n v="0.17"/>
    <n v="63.523093447905474"/>
    <n v="26.733013040494168"/>
    <n v="30.687455705173633"/>
    <n v="36.068250454316164"/>
    <n v="98.084291187739453"/>
    <n v="20.196232070792902"/>
    <n v="65.01909993193469"/>
    <n v="58.809973007076621"/>
    <n v="4.4280373831775703"/>
    <n v="-0.55803738317757023"/>
    <n v="244"/>
    <n v="50"/>
    <s v="Open ended"/>
    <s v=""/>
    <n v="5000"/>
    <n v="1000"/>
  </r>
  <r>
    <x v="244"/>
    <x v="20"/>
    <n v="5.23"/>
    <n v="4.1100000000000003"/>
    <n v="3.87"/>
    <n v="0.17"/>
    <n v="63.523093447905474"/>
    <n v="26.733013040494168"/>
    <n v="30.687455705173633"/>
    <n v="36.068250454316164"/>
    <n v="98.084291187739453"/>
    <n v="20.196232070792902"/>
    <n v="65.01909993193469"/>
    <n v="58.809973007076621"/>
    <n v="4.4280373831775703"/>
    <n v="-0.55803738317757023"/>
    <n v="244"/>
    <n v="50"/>
    <s v="Open ended"/>
    <s v=""/>
    <n v="5000"/>
    <n v="1000"/>
  </r>
  <r>
    <x v="245"/>
    <x v="20"/>
    <n v="4.93"/>
    <n v="4.03"/>
    <n v="3.82"/>
    <n v="0.17"/>
    <n v="62.878625134264233"/>
    <n v="26.59574468085107"/>
    <n v="30.510276399716506"/>
    <n v="35.809586630966422"/>
    <n v="98.084291187739453"/>
    <n v="19.914320527265346"/>
    <n v="65.507385048564586"/>
    <n v="58.802712374559221"/>
    <n v="4.4280373831775703"/>
    <n v="-0.6080373831775705"/>
    <n v="246"/>
    <n v="52"/>
    <s v="Open ended"/>
    <s v=""/>
    <n v="5000"/>
    <n v="1000"/>
  </r>
  <r>
    <x v="246"/>
    <x v="20"/>
    <n v="4.93"/>
    <n v="4.03"/>
    <n v="3.82"/>
    <n v="0.17"/>
    <n v="62.878625134264233"/>
    <n v="26.59574468085107"/>
    <n v="30.510276399716506"/>
    <n v="35.809586630966422"/>
    <n v="98.084291187739453"/>
    <n v="19.914320527265346"/>
    <n v="65.507385048564586"/>
    <n v="58.802712374559221"/>
    <n v="4.4280373831775703"/>
    <n v="-0.6080373831775705"/>
    <n v="246"/>
    <n v="52"/>
    <s v="Open ended"/>
    <s v=""/>
    <n v="5000"/>
    <n v="1000"/>
  </r>
  <r>
    <x v="247"/>
    <x v="26"/>
    <n v="6.2"/>
    <n v="5.31"/>
    <n v="4.92"/>
    <n v="0.34"/>
    <n v="65.606874328678842"/>
    <n v="28.792038435140704"/>
    <n v="34.408221119773209"/>
    <n v="38.963096956164584"/>
    <n v="91.570881226053629"/>
    <n v="19.833597807192675"/>
    <n v="65.647200901055612"/>
    <n v="58.786069009859602"/>
    <n v="4.4728846153846158"/>
    <n v="0.44711538461538414"/>
    <n v="248"/>
    <n v="12"/>
    <s v="Open ended"/>
    <s v="CRISIL Money Market Index"/>
    <n v="1000"/>
    <n v="1000"/>
  </r>
  <r>
    <x v="248"/>
    <x v="22"/>
    <n v="2.69"/>
    <n v="16.79"/>
    <n v="15.98"/>
    <n v="1.92"/>
    <n v="58.066595059076256"/>
    <n v="48.490048043925874"/>
    <n v="73.600283486888713"/>
    <n v="62.96047516843737"/>
    <n v="31.034482758620683"/>
    <n v="12.672342935876587"/>
    <n v="78.050858184125204"/>
    <n v="58.751572819905164"/>
    <n v="9.83"/>
    <n v="6.15"/>
    <n v="249"/>
    <n v="5"/>
    <s v="Open ended"/>
    <s v="S&amp;P BSE 500 - TRI"/>
    <n v="1000"/>
    <n v="1000"/>
  </r>
  <r>
    <x v="249"/>
    <x v="22"/>
    <n v="2.69"/>
    <n v="16.79"/>
    <n v="15.97"/>
    <n v="1.92"/>
    <n v="58.066595059076256"/>
    <n v="48.490048043925874"/>
    <n v="73.564847625797313"/>
    <n v="62.942757237891669"/>
    <n v="31.034482758620683"/>
    <n v="12.653403095783373"/>
    <n v="78.083662949453867"/>
    <n v="58.750915045964476"/>
    <n v="9.83"/>
    <n v="6.1400000000000006"/>
    <n v="250"/>
    <n v="6"/>
    <s v="Open ended"/>
    <s v="S&amp;P BSE 500 - TRI"/>
    <n v="1000"/>
    <n v="1000"/>
  </r>
  <r>
    <x v="250"/>
    <x v="3"/>
    <n v="3.3"/>
    <n v="4.8"/>
    <n v="5.76"/>
    <n v="0.51"/>
    <n v="59.377013963480131"/>
    <n v="27.916952642415925"/>
    <n v="37.38483345145287"/>
    <n v="38.942905311147243"/>
    <n v="85.057471264367805"/>
    <n v="16.140178793995446"/>
    <n v="72.04439028555413"/>
    <n v="58.746918043054109"/>
    <n v="7.5967647058823538"/>
    <n v="-1.836764705882354"/>
    <n v="251"/>
    <n v="14"/>
    <s v="Open ended"/>
    <s v="NIFTY Medium Duration Debt Index"/>
    <n v="1000"/>
    <n v="1000"/>
  </r>
  <r>
    <x v="251"/>
    <x v="11"/>
    <n v="0.03"/>
    <n v="16.010000000000002"/>
    <n v="14.98"/>
    <n v="1.78"/>
    <n v="52.352309344790548"/>
    <n v="47.151681537405636"/>
    <n v="70.056697377746275"/>
    <n v="59.644315019052939"/>
    <n v="36.398467432950184"/>
    <n v="12.007856010814105"/>
    <n v="79.201783299298626"/>
    <n v="58.722220192588672"/>
    <n v="11.362272727272726"/>
    <n v="3.617727272727274"/>
    <n v="252"/>
    <n v="15"/>
    <s v="Open ended"/>
    <s v="S&amp;P BSE 150 MidCap - TRI"/>
    <n v="1000"/>
    <n v="1000"/>
  </r>
  <r>
    <x v="252"/>
    <x v="26"/>
    <n v="6.21"/>
    <n v="5.31"/>
    <n v="4.87"/>
    <n v="0.34"/>
    <n v="65.628356605800207"/>
    <n v="28.792038435140704"/>
    <n v="34.231041814316086"/>
    <n v="38.878803758860293"/>
    <n v="91.570881226053629"/>
    <n v="19.88420005198553"/>
    <n v="65.55955524209736"/>
    <n v="58.722010996467894"/>
    <n v="4.4728846153846158"/>
    <n v="0.39711538461538431"/>
    <n v="253"/>
    <n v="13"/>
    <s v="Open ended"/>
    <s v="CRISIL Money Market Index"/>
    <n v="1000"/>
    <n v="1000"/>
  </r>
  <r>
    <x v="253"/>
    <x v="26"/>
    <n v="6.21"/>
    <n v="5.31"/>
    <n v="4.8600000000000003"/>
    <n v="0.34"/>
    <n v="65.628356605800207"/>
    <n v="28.792038435140704"/>
    <n v="34.195605953224664"/>
    <n v="38.861085828314586"/>
    <n v="91.570881226053629"/>
    <n v="19.891919179571136"/>
    <n v="65.54618532092897"/>
    <n v="58.709809550902939"/>
    <n v="4.4728846153846158"/>
    <n v="0.38711538461538453"/>
    <n v="254"/>
    <n v="14"/>
    <s v="Open ended"/>
    <s v="CRISIL Money Market Index"/>
    <n v="1000"/>
    <n v="1000"/>
  </r>
  <r>
    <x v="254"/>
    <x v="20"/>
    <n v="5.36"/>
    <n v="3.79"/>
    <n v="4.18"/>
    <n v="0.2"/>
    <n v="63.802363050483343"/>
    <n v="26.183939601921765"/>
    <n v="31.785967399007792"/>
    <n v="36.508638190177095"/>
    <n v="96.934865900383144"/>
    <n v="20.296050883141589"/>
    <n v="64.84620867739558"/>
    <n v="58.699587739533229"/>
    <n v="4.4280373831775703"/>
    <n v="-0.24803738317757063"/>
    <n v="255"/>
    <n v="54"/>
    <s v="Open ended"/>
    <s v=""/>
    <n v="1000"/>
    <n v="1000"/>
  </r>
  <r>
    <x v="255"/>
    <x v="21"/>
    <n v="-0.28000000000000003"/>
    <n v="15.38"/>
    <n v="11.05"/>
    <n v="1.71"/>
    <n v="51.686358754027928"/>
    <n v="46.070693205216209"/>
    <n v="56.130403968816431"/>
    <n v="52.223681696778669"/>
    <n v="39.080459770114942"/>
    <n v="5.0412137770330929"/>
    <n v="91.268361606362475"/>
    <n v="58.699046192508689"/>
    <n v="10.412619047619048"/>
    <n v="0.63738095238095305"/>
    <n v="256"/>
    <n v="9"/>
    <s v="Open ended"/>
    <s v="NIFTY LargeMidcap 250 - TRI"/>
    <n v="5000"/>
    <n v="1000"/>
  </r>
  <r>
    <x v="256"/>
    <x v="26"/>
    <n v="6.21"/>
    <n v="5.31"/>
    <n v="4.8499999999999996"/>
    <n v="0.34"/>
    <n v="65.628356605800207"/>
    <n v="28.792038435140704"/>
    <n v="34.160170092133235"/>
    <n v="38.843367897768871"/>
    <n v="91.570881226053629"/>
    <n v="19.899656346763866"/>
    <n v="65.53278415424451"/>
    <n v="58.69760029395897"/>
    <n v="4.4728846153846158"/>
    <n v="0.37711538461538385"/>
    <n v="257"/>
    <n v="15"/>
    <s v="Open ended"/>
    <s v="CRISIL Money Market Index"/>
    <n v="10000"/>
    <n v="10000"/>
  </r>
  <r>
    <x v="257"/>
    <x v="20"/>
    <n v="5.19"/>
    <n v="4.05"/>
    <n v="4.57"/>
    <n v="0.27"/>
    <n v="63.437164339419972"/>
    <n v="26.630061770761841"/>
    <n v="33.167965981573353"/>
    <n v="37.260434389899224"/>
    <n v="94.252873563218387"/>
    <n v="19.637257786310741"/>
    <n v="65.987271792782252"/>
    <n v="58.690253533949772"/>
    <n v="4.4280373831775703"/>
    <n v="0.14196261682242994"/>
    <n v="258"/>
    <n v="55"/>
    <s v="Open ended"/>
    <s v=""/>
    <n v="5000"/>
    <n v="1000"/>
  </r>
  <r>
    <x v="258"/>
    <x v="21"/>
    <n v="7.25"/>
    <n v="15.92"/>
    <n v="12.44"/>
    <n v="1.77"/>
    <n v="67.862513426423192"/>
    <n v="46.997254632807142"/>
    <n v="61.055988660524442"/>
    <n v="58.199673405389007"/>
    <n v="36.781609195402297"/>
    <n v="10.640612500975223"/>
    <n v="81.569918524658377"/>
    <n v="58.687718632709675"/>
    <n v="10.412619047619048"/>
    <n v="2.0273809523809518"/>
    <n v="259"/>
    <n v="10"/>
    <s v="Open ended"/>
    <s v="NIFTY LargeMidcap 250 - TRI"/>
    <n v="1000"/>
    <n v="1000"/>
  </r>
  <r>
    <x v="259"/>
    <x v="20"/>
    <n v="5.25"/>
    <n v="4.12"/>
    <n v="4.47"/>
    <n v="0.26"/>
    <n v="63.566058002148232"/>
    <n v="26.750171585449557"/>
    <n v="32.813607370659106"/>
    <n v="37.145066761394062"/>
    <n v="94.636015325670499"/>
    <n v="19.739503396365681"/>
    <n v="65.810177201316236"/>
    <n v="58.684081512443719"/>
    <n v="4.4280373831775703"/>
    <n v="4.196261682242941E-2"/>
    <n v="260"/>
    <n v="56"/>
    <s v="Open ended"/>
    <s v=""/>
    <n v="1000"/>
    <m/>
  </r>
  <r>
    <x v="260"/>
    <x v="20"/>
    <n v="5.25"/>
    <n v="4.13"/>
    <n v="4.46"/>
    <n v="0.26"/>
    <n v="63.566058002148232"/>
    <n v="26.767330130404943"/>
    <n v="32.778171509567677"/>
    <n v="37.132496394334964"/>
    <n v="94.636015325670499"/>
    <n v="19.740696297007421"/>
    <n v="65.808111036796362"/>
    <n v="58.677279787784194"/>
    <n v="4.4280373831775703"/>
    <n v="3.1962616822429624E-2"/>
    <n v="261"/>
    <n v="57"/>
    <s v="Open ended"/>
    <s v=""/>
    <n v="1000"/>
    <m/>
  </r>
  <r>
    <x v="261"/>
    <x v="20"/>
    <n v="5.23"/>
    <n v="4.01"/>
    <n v="3.8"/>
    <n v="0.17"/>
    <n v="63.523093447905474"/>
    <n v="26.561427590940291"/>
    <n v="30.439404677533659"/>
    <n v="35.892749305630012"/>
    <n v="98.084291187739453"/>
    <n v="20.313107065229726"/>
    <n v="64.816666503435783"/>
    <n v="58.671614075608815"/>
    <n v="4.4280373831775703"/>
    <n v="-0.62803738317757052"/>
    <n v="262"/>
    <n v="58"/>
    <s v="Open ended"/>
    <s v=""/>
    <n v="5000"/>
    <n v="1000"/>
  </r>
  <r>
    <x v="262"/>
    <x v="20"/>
    <n v="5.23"/>
    <n v="4.01"/>
    <n v="3.8"/>
    <n v="0.17"/>
    <n v="63.523093447905474"/>
    <n v="26.561427590940291"/>
    <n v="30.439404677533659"/>
    <n v="35.892749305630012"/>
    <n v="98.084291187739453"/>
    <n v="20.313107065229726"/>
    <n v="64.816666503435783"/>
    <n v="58.671614075608815"/>
    <n v="4.4280373831775703"/>
    <n v="-0.62803738317757052"/>
    <n v="262"/>
    <n v="58"/>
    <s v="Open ended"/>
    <s v=""/>
    <n v="5000"/>
    <n v="1000"/>
  </r>
  <r>
    <x v="263"/>
    <x v="27"/>
    <n v="2.14"/>
    <n v="13.78"/>
    <n v="10.54"/>
    <n v="1.58"/>
    <n v="56.885069817400648"/>
    <n v="43.325326012354161"/>
    <n v="54.323175053153783"/>
    <n v="51.536199293763275"/>
    <n v="44.061302681992331"/>
    <n v="7.2039646534135313"/>
    <n v="87.522367204357451"/>
    <n v="58.66401711846909"/>
    <n v="10.044583333333334"/>
    <n v="0.49541666666666551"/>
    <n v="264"/>
    <n v="6"/>
    <s v="Open ended"/>
    <s v="NIFTY 100 - TRI"/>
    <n v="5000"/>
    <n v="1000"/>
  </r>
  <r>
    <x v="264"/>
    <x v="26"/>
    <n v="6.2"/>
    <n v="5.31"/>
    <n v="4.8099999999999996"/>
    <n v="0.34"/>
    <n v="65.606874328678842"/>
    <n v="28.792038435140704"/>
    <n v="34.018426647767534"/>
    <n v="38.768199720161746"/>
    <n v="91.570881226053629"/>
    <n v="19.91848932736826"/>
    <n v="65.500164474979741"/>
    <n v="58.651861285339209"/>
    <n v="4.4728846153846158"/>
    <n v="0.33711538461538382"/>
    <n v="265"/>
    <n v="16"/>
    <s v="Open ended"/>
    <s v="CRISIL Money Market Index"/>
    <n v="1000"/>
    <n v="1000"/>
  </r>
  <r>
    <x v="265"/>
    <x v="20"/>
    <n v="5.19"/>
    <n v="4.0199999999999996"/>
    <n v="4.38"/>
    <n v="0.25"/>
    <n v="63.437164339419972"/>
    <n v="26.578586135895677"/>
    <n v="32.494684620836281"/>
    <n v="36.908351019070835"/>
    <n v="95.019157088122611"/>
    <n v="19.794747028794433"/>
    <n v="65.714492423154965"/>
    <n v="58.637587887354812"/>
    <n v="4.4280373831775703"/>
    <n v="-4.8037383177570447E-2"/>
    <n v="266"/>
    <n v="60"/>
    <s v="Open ended"/>
    <s v=""/>
    <n v="5000"/>
    <n v="1000"/>
  </r>
  <r>
    <x v="266"/>
    <x v="21"/>
    <n v="-0.31"/>
    <n v="15.37"/>
    <n v="10.74"/>
    <n v="1.71"/>
    <n v="51.621911922663799"/>
    <n v="46.053534660260816"/>
    <n v="55.031892274982283"/>
    <n v="51.656388920102145"/>
    <n v="39.080459770114942"/>
    <n v="4.5322124251015934"/>
    <n v="92.149977809029082"/>
    <n v="58.635803854837079"/>
    <n v="10.412619047619048"/>
    <n v="0.32738095238095255"/>
    <n v="267"/>
    <n v="11"/>
    <s v="Open ended"/>
    <s v="NIFTY LargeMidcap 250 - TRI"/>
    <n v="5000"/>
    <n v="1000"/>
  </r>
  <r>
    <x v="267"/>
    <x v="20"/>
    <n v="5.2"/>
    <n v="4.01"/>
    <n v="4.38"/>
    <n v="0.25"/>
    <n v="63.458646616541344"/>
    <n v="26.561427590940291"/>
    <n v="32.494684620836281"/>
    <n v="36.9074999110085"/>
    <n v="95.019157088122611"/>
    <n v="19.813191116347436"/>
    <n v="65.682546326413913"/>
    <n v="58.629175809138374"/>
    <n v="4.4280373831775703"/>
    <n v="-4.8037383177570447E-2"/>
    <n v="268"/>
    <n v="61"/>
    <s v="Open ended"/>
    <s v=""/>
    <n v="5000"/>
    <n v="1000"/>
  </r>
  <r>
    <x v="268"/>
    <x v="29"/>
    <n v="5.76"/>
    <n v="4.2699999999999996"/>
    <n v="6.25"/>
    <n v="0.47"/>
    <n v="64.661654135338338"/>
    <n v="27.007549759780375"/>
    <n v="39.121190644932668"/>
    <n v="40.595191077468115"/>
    <n v="86.59003831417624"/>
    <n v="19.221893538031885"/>
    <n v="66.706703774448897"/>
    <n v="58.621781060890342"/>
    <n v="5.0554237288135591"/>
    <n v="1.1945762711864409"/>
    <n v="269"/>
    <n v="1"/>
    <s v="Open ended"/>
    <s v="NIFTY Corporate Bond Index"/>
    <n v="1000"/>
    <n v="1000"/>
  </r>
  <r>
    <x v="269"/>
    <x v="20"/>
    <n v="5.21"/>
    <n v="4.04"/>
    <n v="4.34"/>
    <n v="0.25"/>
    <n v="63.480128893662723"/>
    <n v="26.612903225806456"/>
    <n v="32.352941176470587"/>
    <n v="36.856367334709773"/>
    <n v="95.019157088122611"/>
    <n v="19.837011616760819"/>
    <n v="65.641288009436224"/>
    <n v="58.593294941744588"/>
    <n v="4.4280373831775703"/>
    <n v="-8.8037383177570483E-2"/>
    <n v="270"/>
    <n v="62"/>
    <s v="Open ended"/>
    <s v="Nifty Liquid Fund Index"/>
    <n v="1000"/>
    <n v="1000"/>
  </r>
  <r>
    <x v="270"/>
    <x v="23"/>
    <n v="3.1"/>
    <n v="16.3"/>
    <n v="12.09"/>
    <n v="1.84"/>
    <n v="58.947368421052623"/>
    <n v="47.649279341111878"/>
    <n v="59.815733522324585"/>
    <n v="55.992124247706386"/>
    <n v="34.099616858237546"/>
    <n v="6.7875312418057119"/>
    <n v="88.243651031231437"/>
    <n v="58.581879096220433"/>
    <n v="10.023387096774194"/>
    <n v="2.0666129032258063"/>
    <n v="271"/>
    <n v="7"/>
    <s v="Open ended"/>
    <s v="NIFTY 500 - TRI"/>
    <n v="1000"/>
    <n v="1000"/>
  </r>
  <r>
    <x v="271"/>
    <x v="20"/>
    <n v="5.19"/>
    <n v="4.07"/>
    <n v="4.47"/>
    <n v="0.27"/>
    <n v="63.437164339419972"/>
    <n v="26.66437886067262"/>
    <n v="32.813607370659106"/>
    <n v="37.093550211415334"/>
    <n v="94.252873563218387"/>
    <n v="19.697093713510736"/>
    <n v="65.883632926753876"/>
    <n v="58.580901728200729"/>
    <n v="4.4280373831775703"/>
    <n v="4.196261682242941E-2"/>
    <n v="272"/>
    <n v="63"/>
    <s v="Open ended"/>
    <s v=""/>
    <n v="5000"/>
    <n v="1000"/>
  </r>
  <r>
    <x v="272"/>
    <x v="20"/>
    <n v="5.18"/>
    <n v="4.0199999999999996"/>
    <n v="4.33"/>
    <n v="0.25"/>
    <n v="63.415682062298593"/>
    <n v="26.578586135895677"/>
    <n v="32.317505315379158"/>
    <n v="36.815464910917996"/>
    <n v="95.019157088122611"/>
    <n v="19.820037952462378"/>
    <n v="65.670687258391752"/>
    <n v="58.580193542087585"/>
    <n v="4.4280373831775703"/>
    <n v="-9.803738317757027E-2"/>
    <n v="273"/>
    <n v="64"/>
    <s v="Open ended"/>
    <s v="Nifty Liquid Fund Index"/>
    <n v="1000"/>
    <n v="1000"/>
  </r>
  <r>
    <x v="273"/>
    <x v="20"/>
    <n v="5.19"/>
    <n v="4.09"/>
    <n v="4.45"/>
    <n v="0.27"/>
    <n v="63.437164339419972"/>
    <n v="26.698695950583396"/>
    <n v="32.742735648476256"/>
    <n v="37.068409477297138"/>
    <n v="94.252873563218387"/>
    <n v="19.699379973705931"/>
    <n v="65.879673007936475"/>
    <n v="58.567341381437281"/>
    <n v="4.4280373831775703"/>
    <n v="2.1962616822429837E-2"/>
    <n v="274"/>
    <n v="65"/>
    <s v="Open ended"/>
    <s v=""/>
    <n v="5000"/>
    <n v="1000"/>
  </r>
  <r>
    <x v="274"/>
    <x v="11"/>
    <n v="5.79"/>
    <n v="21.16"/>
    <n v="11.88"/>
    <n v="2.12"/>
    <n v="64.726100966702475"/>
    <n v="55.988332189430338"/>
    <n v="59.071580439404684"/>
    <n v="59.277510069871937"/>
    <n v="23.371647509578541"/>
    <n v="4.4314900686201435"/>
    <n v="92.324434047913016"/>
    <n v="58.562775424308853"/>
    <n v="11.362272727272726"/>
    <n v="0.51772727272727437"/>
    <n v="275"/>
    <n v="16"/>
    <s v="Open ended"/>
    <s v="Nifty Midcap 150 - TRI"/>
    <n v="5000"/>
    <n v="1000"/>
  </r>
  <r>
    <x v="275"/>
    <x v="20"/>
    <n v="5.18"/>
    <n v="4"/>
    <n v="4.32"/>
    <n v="0.25"/>
    <n v="63.415682062298593"/>
    <n v="26.544269045984905"/>
    <n v="32.282069454287736"/>
    <n v="36.787451853399062"/>
    <n v="95.019157088122611"/>
    <n v="19.839881070589442"/>
    <n v="65.636317969615078"/>
    <n v="58.55759469113395"/>
    <n v="4.4280373831775703"/>
    <n v="-0.10803738317757006"/>
    <n v="276"/>
    <n v="66"/>
    <s v="Open ended"/>
    <s v="Nifty Liquid Fund Index"/>
    <n v="1000"/>
    <n v="1000"/>
  </r>
  <r>
    <x v="276"/>
    <x v="26"/>
    <n v="5.78"/>
    <n v="4.7699999999999996"/>
    <n v="4.38"/>
    <n v="0.28000000000000003"/>
    <n v="64.704618689581096"/>
    <n v="27.865477007549767"/>
    <n v="32.494684620836281"/>
    <n v="37.547909150599288"/>
    <n v="93.869731800766274"/>
    <n v="20.0666878836069"/>
    <n v="65.243477045966074"/>
    <n v="58.552256786982731"/>
    <n v="4.4728846153846158"/>
    <n v="-9.2884615384615898E-2"/>
    <n v="277"/>
    <n v="17"/>
    <s v="Open ended"/>
    <s v="Nifty Money Market Index"/>
    <n v="10000"/>
    <n v="1000"/>
  </r>
  <r>
    <x v="277"/>
    <x v="20"/>
    <n v="5.22"/>
    <n v="4.1100000000000003"/>
    <n v="4.43"/>
    <n v="0.27"/>
    <n v="63.501611170784102"/>
    <n v="26.733013040494168"/>
    <n v="32.671863926293412"/>
    <n v="37.056158109451779"/>
    <n v="94.252873563218387"/>
    <n v="19.738596173781374"/>
    <n v="65.81174855692602"/>
    <n v="58.544234584761995"/>
    <n v="4.4280373831775703"/>
    <n v="1.962616822429375E-3"/>
    <n v="278"/>
    <n v="67"/>
    <s v="Open ended"/>
    <s v=""/>
    <n v="5000"/>
    <n v="1000"/>
  </r>
  <r>
    <x v="278"/>
    <x v="26"/>
    <n v="6.05"/>
    <n v="5.12"/>
    <n v="4.92"/>
    <n v="0.36"/>
    <n v="65.284640171858214"/>
    <n v="28.466026080988339"/>
    <n v="34.408221119773209"/>
    <n v="38.800846418554755"/>
    <n v="90.804597701149419"/>
    <n v="19.766441590615642"/>
    <n v="65.763518880211137"/>
    <n v="58.542452354617517"/>
    <n v="4.4728846153846158"/>
    <n v="0.44711538461538414"/>
    <n v="279"/>
    <n v="18"/>
    <s v="Open ended"/>
    <s v="Nifty Money Market Index"/>
    <n v="5000"/>
    <n v="1000"/>
  </r>
  <r>
    <x v="279"/>
    <x v="26"/>
    <n v="6.05"/>
    <n v="5.12"/>
    <n v="4.92"/>
    <n v="0.36"/>
    <n v="65.284640171858214"/>
    <n v="28.466026080988339"/>
    <n v="34.408221119773209"/>
    <n v="38.800846418554755"/>
    <n v="90.804597701149419"/>
    <n v="19.766441590615642"/>
    <n v="65.763518880211137"/>
    <n v="58.542452354617517"/>
    <n v="4.4728846153846158"/>
    <n v="0.44711538461538414"/>
    <n v="279"/>
    <n v="18"/>
    <s v="Open ended"/>
    <s v="Nifty Money Market Index"/>
    <n v="5000"/>
    <n v="1000"/>
  </r>
  <r>
    <x v="280"/>
    <x v="3"/>
    <n v="3.16"/>
    <n v="5.0599999999999996"/>
    <n v="6.37"/>
    <n v="0.62"/>
    <n v="59.076262083780875"/>
    <n v="28.363074811256006"/>
    <n v="39.546420978029758"/>
    <n v="40.097385349147856"/>
    <n v="80.842911877394627"/>
    <n v="15.544462023171697"/>
    <n v="73.076201999541723"/>
    <n v="58.528471143808012"/>
    <n v="7.5967647058823538"/>
    <n v="-1.2267647058823536"/>
    <n v="281"/>
    <n v="15"/>
    <s v="Open ended"/>
    <s v=""/>
    <n v="1000"/>
    <n v="1000"/>
  </r>
  <r>
    <x v="281"/>
    <x v="3"/>
    <n v="3.16"/>
    <n v="5.0599999999999996"/>
    <n v="6.37"/>
    <n v="0.62"/>
    <n v="59.076262083780875"/>
    <n v="28.363074811256006"/>
    <n v="39.546420978029758"/>
    <n v="40.097385349147856"/>
    <n v="80.842911877394627"/>
    <n v="15.544462023171697"/>
    <n v="73.076201999541723"/>
    <n v="58.528471143808012"/>
    <n v="7.5967647058823538"/>
    <n v="-1.2267647058823536"/>
    <n v="281"/>
    <n v="15"/>
    <s v="Open ended"/>
    <s v=""/>
    <n v="1000"/>
    <n v="1000"/>
  </r>
  <r>
    <x v="282"/>
    <x v="3"/>
    <n v="3.16"/>
    <n v="5.05"/>
    <n v="6.37"/>
    <n v="0.62"/>
    <n v="59.076262083780875"/>
    <n v="28.34591626630062"/>
    <n v="39.546420978029758"/>
    <n v="40.09223778566124"/>
    <n v="80.842911877394627"/>
    <n v="15.552171088925595"/>
    <n v="73.062849505977084"/>
    <n v="58.522559238673544"/>
    <n v="7.5967647058823538"/>
    <n v="-1.2267647058823536"/>
    <n v="283"/>
    <n v="17"/>
    <s v="Open ended"/>
    <s v=""/>
    <n v="1000"/>
    <n v="1000"/>
  </r>
  <r>
    <x v="283"/>
    <x v="29"/>
    <n v="5.76"/>
    <n v="4.2699999999999996"/>
    <n v="6.15"/>
    <n v="0.47"/>
    <n v="64.661654135338338"/>
    <n v="27.007549759780375"/>
    <n v="38.766832034018428"/>
    <n v="40.418011772010999"/>
    <n v="86.59003831417624"/>
    <n v="19.264190040892061"/>
    <n v="66.633444082512582"/>
    <n v="58.514876485177709"/>
    <n v="5.0554237288135591"/>
    <n v="1.0945762711864413"/>
    <n v="284"/>
    <n v="2"/>
    <s v="Open ended"/>
    <s v="NIFTY Corporate Bond Index"/>
    <n v="1000"/>
    <n v="1000"/>
  </r>
  <r>
    <x v="284"/>
    <x v="20"/>
    <n v="5.22"/>
    <n v="4.09"/>
    <n v="4.41"/>
    <n v="0.27"/>
    <n v="63.501611170784102"/>
    <n v="26.698695950583396"/>
    <n v="32.600992204110554"/>
    <n v="37.010427121387117"/>
    <n v="94.252873563218387"/>
    <n v="19.765879364421689"/>
    <n v="65.764492684544408"/>
    <n v="58.509555122634254"/>
    <n v="4.4280373831775703"/>
    <n v="-1.8037383177570199E-2"/>
    <n v="285"/>
    <n v="68"/>
    <s v="Open ended"/>
    <s v=""/>
    <n v="5000"/>
    <n v="1000"/>
  </r>
  <r>
    <x v="285"/>
    <x v="11"/>
    <n v="0.02"/>
    <n v="15.64"/>
    <n v="14.49"/>
    <n v="1.78"/>
    <n v="52.330827067669169"/>
    <n v="46.516815374056286"/>
    <n v="68.32034018426647"/>
    <n v="58.581380117883953"/>
    <n v="36.398467432950184"/>
    <n v="11.290563580772186"/>
    <n v="80.444170232015779"/>
    <n v="58.501349475183467"/>
    <n v="11.362272727272726"/>
    <n v="3.1277272727272738"/>
    <n v="286"/>
    <n v="17"/>
    <s v="Open ended"/>
    <s v="S&amp;P BSE 150 MidCap - TRI"/>
    <n v="1000"/>
    <n v="1000"/>
  </r>
  <r>
    <x v="286"/>
    <x v="26"/>
    <n v="6.05"/>
    <n v="5.12"/>
    <n v="4.87"/>
    <n v="0.36"/>
    <n v="65.284640171858214"/>
    <n v="28.466026080988339"/>
    <n v="34.231041814316086"/>
    <n v="38.71225676582619"/>
    <n v="90.804597701149419"/>
    <n v="19.80392099614561"/>
    <n v="65.698602645595741"/>
    <n v="58.481928469599389"/>
    <n v="4.4728846153846158"/>
    <n v="0.39711538461538431"/>
    <n v="287"/>
    <n v="20"/>
    <s v="Open ended"/>
    <s v="Nifty Money Market Index"/>
    <n v="5000"/>
    <n v="1000"/>
  </r>
  <r>
    <x v="287"/>
    <x v="20"/>
    <n v="5.2"/>
    <n v="4.05"/>
    <n v="4.3899999999999997"/>
    <n v="0.27"/>
    <n v="63.458646616541344"/>
    <n v="26.630061770761841"/>
    <n v="32.530120481927703"/>
    <n v="36.945808095500674"/>
    <n v="94.252873563218387"/>
    <n v="19.781005549927027"/>
    <n v="65.738293362724448"/>
    <n v="58.470695779236046"/>
    <n v="4.4280373831775703"/>
    <n v="-3.8037383177570661E-2"/>
    <n v="288"/>
    <n v="69"/>
    <s v="Open ended"/>
    <s v=""/>
    <n v="1000"/>
    <n v="1000"/>
  </r>
  <r>
    <x v="288"/>
    <x v="13"/>
    <n v="14.07"/>
    <n v="19.68"/>
    <n v="11.78"/>
    <n v="1.77"/>
    <n v="82.513426423200855"/>
    <n v="53.448867536032949"/>
    <n v="58.71722182849043"/>
    <n v="61.89595645969527"/>
    <n v="36.781609195402297"/>
    <n v="15.485280609715707"/>
    <n v="73.178707214511235"/>
    <n v="58.438057332326018"/>
    <n v="10.461"/>
    <n v="1.3189999999999991"/>
    <n v="289"/>
    <n v="7"/>
    <s v="Open ended"/>
    <s v="NIFTY 500 - TRI"/>
    <n v="1000"/>
    <n v="1000"/>
  </r>
  <r>
    <x v="289"/>
    <x v="26"/>
    <n v="6.05"/>
    <n v="5.12"/>
    <n v="4.83"/>
    <n v="0.36"/>
    <n v="65.284640171858214"/>
    <n v="28.466026080988339"/>
    <n v="34.089298369950392"/>
    <n v="38.641385043643339"/>
    <n v="90.804597701149419"/>
    <n v="19.834233389714814"/>
    <n v="65.646100039834863"/>
    <n v="58.43336695706774"/>
    <n v="4.4728846153846158"/>
    <n v="0.35711538461538428"/>
    <n v="290"/>
    <n v="21"/>
    <s v="Open ended"/>
    <s v="Nifty Money Market Index"/>
    <n v="5000"/>
    <n v="1000"/>
  </r>
  <r>
    <x v="290"/>
    <x v="28"/>
    <n v="7.38"/>
    <n v="23.58"/>
    <n v="12.61"/>
    <n v="2.31"/>
    <n v="68.141783029001061"/>
    <n v="60.140700068634189"/>
    <n v="61.658398299078662"/>
    <n v="62.499765775929802"/>
    <n v="16.09195402298851"/>
    <n v="4.2496080998439991"/>
    <n v="92.639462858813957"/>
    <n v="58.432737108415523"/>
    <n v="10.248999999999999"/>
    <n v="2.3610000000000007"/>
    <n v="291"/>
    <n v="2"/>
    <s v="Open ended"/>
    <s v="Nifty Dividend Opportunities 50"/>
    <n v="5000"/>
    <n v="1000"/>
  </r>
  <r>
    <x v="291"/>
    <x v="30"/>
    <n v="3.59"/>
    <n v="7.42"/>
    <n v="6.53"/>
    <n v="0.78"/>
    <n v="60"/>
    <n v="32.412491420727527"/>
    <n v="40.113394755492557"/>
    <n v="41.780444803964542"/>
    <n v="74.712643678160916"/>
    <n v="14.235235684348529"/>
    <n v="75.343848536990834"/>
    <n v="58.404345455770212"/>
    <n v="6.1480952380952392"/>
    <n v="0.38190476190476108"/>
    <n v="292"/>
    <n v="1"/>
    <s v="Open ended"/>
    <s v="NIFTY 50 Equity Savings Index"/>
    <n v="5000"/>
    <n v="1000"/>
  </r>
  <r>
    <x v="292"/>
    <x v="20"/>
    <n v="5.15"/>
    <n v="4.07"/>
    <n v="4.3899999999999997"/>
    <n v="0.28000000000000003"/>
    <n v="63.351235230934478"/>
    <n v="26.66437886067262"/>
    <n v="32.530120481927703"/>
    <n v="36.934620945352535"/>
    <n v="93.869731800766274"/>
    <n v="19.707331416975215"/>
    <n v="65.86590070420057"/>
    <n v="58.401218598917978"/>
    <n v="4.4280373831775703"/>
    <n v="-3.8037383177570661E-2"/>
    <n v="293"/>
    <n v="70"/>
    <s v="Open ended"/>
    <s v=""/>
    <n v="5000"/>
    <m/>
  </r>
  <r>
    <x v="293"/>
    <x v="26"/>
    <n v="5.9"/>
    <n v="5.05"/>
    <n v="4.4000000000000004"/>
    <n v="0.31"/>
    <n v="64.962406015037587"/>
    <n v="28.34591626630062"/>
    <n v="32.565556343019132"/>
    <n v="37.779034254407264"/>
    <n v="92.720306513409966"/>
    <n v="20.033840339817402"/>
    <n v="65.300370660713313"/>
    <n v="58.394686420734459"/>
    <n v="4.4728846153846158"/>
    <n v="-7.2884615384615437E-2"/>
    <n v="294"/>
    <n v="22"/>
    <s v="Open ended"/>
    <s v="Nifty Money Market Index"/>
    <n v="1000"/>
    <n v="1000"/>
  </r>
  <r>
    <x v="294"/>
    <x v="7"/>
    <n v="0"/>
    <n v="18"/>
    <n v="11.76"/>
    <n v="1.92"/>
    <n v="52.287862513426418"/>
    <n v="50.566231983527807"/>
    <n v="58.64635010630758"/>
    <n v="54.950617150897415"/>
    <n v="31.034482758620683"/>
    <n v="4.2560287637729601"/>
    <n v="92.628341942670673"/>
    <n v="58.391014750771546"/>
    <n v="8.6526315789473696"/>
    <n v="3.1073684210526302"/>
    <n v="295"/>
    <n v="3"/>
    <s v="Open ended"/>
    <s v="Nifty500 Shariah - TRI"/>
    <n v="5000"/>
    <n v="1000"/>
  </r>
  <r>
    <x v="295"/>
    <x v="30"/>
    <n v="3.55"/>
    <n v="7.41"/>
    <n v="6.51"/>
    <n v="0.78"/>
    <n v="59.914070891514491"/>
    <n v="32.395332875772141"/>
    <n v="40.042523033309706"/>
    <n v="41.722675557689392"/>
    <n v="74.712643678160916"/>
    <n v="14.204687451480737"/>
    <n v="75.396759628399295"/>
    <n v="58.388688605484745"/>
    <n v="6.1480952380952392"/>
    <n v="0.36190476190476062"/>
    <n v="296"/>
    <n v="2"/>
    <s v="Open ended"/>
    <s v="NIFTY 50 Equity Savings Index"/>
    <n v="5000"/>
    <n v="1000"/>
  </r>
  <r>
    <x v="296"/>
    <x v="26"/>
    <n v="5.84"/>
    <n v="5.01"/>
    <n v="4.3899999999999997"/>
    <n v="0.31"/>
    <n v="64.833512352309342"/>
    <n v="28.277282086479072"/>
    <n v="32.530120481927703"/>
    <n v="37.714947337369438"/>
    <n v="92.720306513409966"/>
    <n v="19.991472065181718"/>
    <n v="65.373754665011347"/>
    <n v="58.380988963290051"/>
    <n v="4.4728846153846158"/>
    <n v="-8.2884615384616112E-2"/>
    <n v="297"/>
    <n v="23"/>
    <s v="Open ended"/>
    <s v="Nifty Money Market Index"/>
    <n v="1000"/>
    <n v="1000"/>
  </r>
  <r>
    <x v="297"/>
    <x v="26"/>
    <n v="6.05"/>
    <n v="5.12"/>
    <n v="4.78"/>
    <n v="0.36"/>
    <n v="65.284640171858214"/>
    <n v="28.466026080988339"/>
    <n v="33.912119064493261"/>
    <n v="38.552795390914781"/>
    <n v="90.804597701149419"/>
    <n v="19.872532773443194"/>
    <n v="65.579763561318742"/>
    <n v="58.372488011074431"/>
    <n v="4.4728846153846158"/>
    <n v="0.30711538461538446"/>
    <n v="298"/>
    <n v="24"/>
    <s v="Open ended"/>
    <s v="Nifty Money Market Index"/>
    <n v="5000"/>
    <n v="1000"/>
  </r>
  <r>
    <x v="298"/>
    <x v="20"/>
    <n v="5.15"/>
    <n v="4.0599999999999996"/>
    <n v="4.37"/>
    <n v="0.28000000000000003"/>
    <n v="63.351235230934478"/>
    <n v="26.647220315717231"/>
    <n v="32.459248759744867"/>
    <n v="36.894037520774496"/>
    <n v="93.869731800766274"/>
    <n v="19.728487075237329"/>
    <n v="65.829258029223027"/>
    <n v="58.37176621788457"/>
    <n v="4.4280373831775703"/>
    <n v="-5.8037383177570234E-2"/>
    <n v="299"/>
    <n v="71"/>
    <s v="Open ended"/>
    <s v=""/>
    <n v="5000"/>
    <m/>
  </r>
  <r>
    <x v="299"/>
    <x v="20"/>
    <n v="5.15"/>
    <n v="4.05"/>
    <n v="4.37"/>
    <n v="0.28000000000000003"/>
    <n v="63.351235230934478"/>
    <n v="26.630061770761841"/>
    <n v="32.459248759744867"/>
    <n v="36.88888995728788"/>
    <n v="93.869731800766274"/>
    <n v="19.734651544009157"/>
    <n v="65.818580856108554"/>
    <n v="58.366523142862647"/>
    <n v="4.4280373831775703"/>
    <n v="-5.8037383177570234E-2"/>
    <n v="300"/>
    <n v="72"/>
    <s v="Open ended"/>
    <s v=""/>
    <n v="5000"/>
    <m/>
  </r>
  <r>
    <x v="300"/>
    <x v="31"/>
    <n v="6.07"/>
    <n v="5.1100000000000003"/>
    <n v="5.5"/>
    <n v="0.45"/>
    <n v="65.327604726100958"/>
    <n v="28.448867536032949"/>
    <n v="36.463501063075832"/>
    <n v="39.831931737567999"/>
    <n v="87.356321839080465"/>
    <n v="19.396787051711964"/>
    <n v="66.403779322840748"/>
    <n v="58.355991159264306"/>
    <n v="5.2778260869565221"/>
    <n v="0.22217391304347789"/>
    <n v="301"/>
    <n v="1"/>
    <s v="Open ended"/>
    <s v="CRISIL Low Duration Debt Index"/>
    <n v="1000"/>
    <n v="1000"/>
  </r>
  <r>
    <x v="301"/>
    <x v="26"/>
    <n v="5.88"/>
    <n v="5.08"/>
    <n v="4.3499999999999996"/>
    <n v="0.31"/>
    <n v="64.919441460794843"/>
    <n v="28.397391901166785"/>
    <n v="32.388377037562009"/>
    <n v="37.697294381290007"/>
    <n v="92.720306513409966"/>
    <n v="20.033547775765946"/>
    <n v="65.300877396514906"/>
    <n v="58.353943168126222"/>
    <n v="4.4728846153846158"/>
    <n v="-0.12288461538461615"/>
    <n v="302"/>
    <n v="25"/>
    <s v="Open ended"/>
    <s v="Nifty Money Market Index"/>
    <n v="1000"/>
    <n v="1000"/>
  </r>
  <r>
    <x v="302"/>
    <x v="7"/>
    <n v="-0.06"/>
    <n v="17.940000000000001"/>
    <n v="11.51"/>
    <n v="1.92"/>
    <n v="52.158968850698173"/>
    <n v="50.463280713795477"/>
    <n v="57.760453579021963"/>
    <n v="54.451004773789258"/>
    <n v="31.034482758620683"/>
    <n v="3.8188288179378351"/>
    <n v="93.385594461923475"/>
    <n v="58.330521692030672"/>
    <n v="8.6526315789473696"/>
    <n v="2.8573684210526302"/>
    <n v="303"/>
    <n v="4"/>
    <s v="Open ended"/>
    <s v="Nifty500 Shariah - TRI"/>
    <n v="5000"/>
    <n v="1000"/>
  </r>
  <r>
    <x v="303"/>
    <x v="20"/>
    <n v="5.14"/>
    <n v="4.0599999999999996"/>
    <n v="4.41"/>
    <n v="0.28999999999999998"/>
    <n v="63.329752953813099"/>
    <n v="26.647220315717231"/>
    <n v="32.600992204110554"/>
    <n v="36.960612787533066"/>
    <n v="93.486590038314176"/>
    <n v="19.686341871360334"/>
    <n v="65.902255663633326"/>
    <n v="58.327517819253409"/>
    <n v="4.4280373831775703"/>
    <n v="-1.8037383177570199E-2"/>
    <n v="304"/>
    <n v="73"/>
    <s v="Open ended"/>
    <s v=""/>
    <n v="1000"/>
    <n v="1000"/>
  </r>
  <r>
    <x v="304"/>
    <x v="26"/>
    <n v="5.84"/>
    <n v="5.01"/>
    <n v="4.34"/>
    <n v="0.31"/>
    <n v="64.833512352309342"/>
    <n v="28.277282086479072"/>
    <n v="32.352941176470587"/>
    <n v="37.62635768464088"/>
    <n v="92.720306513409966"/>
    <n v="20.033124536522681"/>
    <n v="65.301610468387992"/>
    <n v="58.318658087769933"/>
    <n v="4.4728846153846158"/>
    <n v="-0.13288461538461593"/>
    <n v="305"/>
    <n v="26"/>
    <s v="Open ended"/>
    <s v="Nifty Money Market Index"/>
    <n v="1000"/>
    <n v="1000"/>
  </r>
  <r>
    <x v="305"/>
    <x v="26"/>
    <n v="5.78"/>
    <n v="4.7699999999999996"/>
    <n v="4.1900000000000004"/>
    <n v="0.28000000000000003"/>
    <n v="64.704618689581096"/>
    <n v="27.865477007549767"/>
    <n v="31.821403260099224"/>
    <n v="37.211268470230763"/>
    <n v="93.869731800766274"/>
    <n v="20.224068043489265"/>
    <n v="64.970886612946487"/>
    <n v="58.315788838543575"/>
    <n v="4.4728846153846158"/>
    <n v="-0.2828846153846154"/>
    <n v="306"/>
    <n v="27"/>
    <s v="Open ended"/>
    <s v="Nifty Money Market Index"/>
    <n v="10000"/>
    <n v="1000"/>
  </r>
  <r>
    <x v="306"/>
    <x v="20"/>
    <n v="5.14"/>
    <n v="4.0599999999999996"/>
    <n v="4.4000000000000004"/>
    <n v="0.28999999999999998"/>
    <n v="63.329752953813099"/>
    <n v="26.647220315717231"/>
    <n v="32.565556343019132"/>
    <n v="36.942894856987351"/>
    <n v="93.486590038314176"/>
    <n v="19.693783685825903"/>
    <n v="65.889366062878466"/>
    <n v="58.315436453791833"/>
    <n v="4.4280373831775703"/>
    <n v="-2.8037383177569986E-2"/>
    <n v="307"/>
    <n v="74"/>
    <s v="Open ended"/>
    <s v=""/>
    <n v="1000"/>
    <n v="1000"/>
  </r>
  <r>
    <x v="307"/>
    <x v="20"/>
    <n v="5.04"/>
    <n v="4.05"/>
    <n v="5.18"/>
    <n v="0.39"/>
    <n v="63.114930182599352"/>
    <n v="26.630061770761841"/>
    <n v="35.329553508150248"/>
    <n v="38.276781321823549"/>
    <n v="89.65517241379311"/>
    <n v="19.056293520597546"/>
    <n v="66.993531418379462"/>
    <n v="58.300566618954917"/>
    <n v="4.4280373831775703"/>
    <n v="0.75196261682242937"/>
    <n v="308"/>
    <n v="75"/>
    <s v="Open ended"/>
    <s v="Nifty Liquid Fund Index"/>
    <n v="5000"/>
    <n v="1000"/>
  </r>
  <r>
    <x v="308"/>
    <x v="26"/>
    <n v="5.85"/>
    <n v="5.0199999999999996"/>
    <n v="4.32"/>
    <n v="0.31"/>
    <n v="64.85499462943072"/>
    <n v="28.294440631434458"/>
    <n v="32.282069454287736"/>
    <n v="37.600365842460349"/>
    <n v="92.720306513409966"/>
    <n v="20.05646507045677"/>
    <n v="65.261183477738371"/>
    <n v="58.295555419017262"/>
    <n v="4.4728846153846158"/>
    <n v="-0.15288461538461551"/>
    <n v="309"/>
    <n v="28"/>
    <s v="Open ended"/>
    <s v="Nifty Money Market Index"/>
    <n v="1000"/>
    <n v="1000"/>
  </r>
  <r>
    <x v="309"/>
    <x v="32"/>
    <n v="2.98"/>
    <n v="31"/>
    <n v="18.93"/>
    <n v="2.63"/>
    <n v="58.689581095596132"/>
    <n v="72.872340425531917"/>
    <n v="84.053862508858955"/>
    <n v="75.626549601208268"/>
    <n v="3.8314176245210607"/>
    <n v="12.711699794034894"/>
    <n v="77.982690106168732"/>
    <n v="58.26680173327658"/>
    <n v="12.057857142857143"/>
    <n v="6.8721428571428564"/>
    <n v="310"/>
    <n v="1"/>
    <s v="Open ended"/>
    <s v="Nifty500 Multicap 50:25:25 - TRI"/>
    <n v="5000"/>
    <n v="1000"/>
  </r>
  <r>
    <x v="310"/>
    <x v="21"/>
    <n v="7.24"/>
    <n v="15.83"/>
    <n v="11.93"/>
    <n v="1.77"/>
    <n v="67.841031149301827"/>
    <n v="46.842827728208654"/>
    <n v="59.248759744861786"/>
    <n v="57.245434420753853"/>
    <n v="36.781609195402297"/>
    <n v="10.556663172320649"/>
    <n v="81.715323027149395"/>
    <n v="58.246950266014849"/>
    <n v="10.412619047619048"/>
    <n v="1.5173809523809521"/>
    <n v="311"/>
    <n v="12"/>
    <s v="Open ended"/>
    <s v="NIFTY LargeMidcap 250 - TRI"/>
    <n v="1000"/>
    <n v="1000"/>
  </r>
  <r>
    <x v="311"/>
    <x v="31"/>
    <n v="6.05"/>
    <n v="5.08"/>
    <n v="5.4"/>
    <n v="0.45"/>
    <n v="65.284640171858214"/>
    <n v="28.397391901166785"/>
    <n v="36.109142452161585"/>
    <n v="39.63071683080247"/>
    <n v="87.356321839080465"/>
    <n v="19.456574932981823"/>
    <n v="66.300223674804457"/>
    <n v="58.229494793872462"/>
    <n v="5.2778260869565221"/>
    <n v="0.12217391304347824"/>
    <n v="312"/>
    <n v="2"/>
    <s v="Open ended"/>
    <s v="CRISIL Low Duration Debt Index"/>
    <n v="1000"/>
    <n v="1000"/>
  </r>
  <r>
    <x v="312"/>
    <x v="33"/>
    <n v="6.25"/>
    <n v="5.19"/>
    <n v="4.53"/>
    <n v="0.34"/>
    <n v="65.714285714285708"/>
    <n v="28.586135895676051"/>
    <n v="33.026222537207651"/>
    <n v="38.231809180163779"/>
    <n v="91.570881226053629"/>
    <n v="20.27610807743142"/>
    <n v="64.880750630131075"/>
    <n v="58.228812554128062"/>
    <n v="4.4264935064935065"/>
    <n v="0.10350649350649377"/>
    <n v="313"/>
    <n v="1"/>
    <s v="Open ended"/>
    <s v="CRISIL Ultra Short Term Debt Index"/>
    <n v="5000"/>
    <n v="1000"/>
  </r>
  <r>
    <x v="313"/>
    <x v="20"/>
    <n v="5.09"/>
    <n v="4.05"/>
    <n v="4.38"/>
    <n v="0.3"/>
    <n v="63.222341568206232"/>
    <n v="26.630061770761841"/>
    <n v="32.494684620836281"/>
    <n v="36.880829155287941"/>
    <n v="93.103448275862064"/>
    <n v="19.653573226529424"/>
    <n v="65.959012621375649"/>
    <n v="58.206029801953399"/>
    <n v="4.4280373831775703"/>
    <n v="-4.8037383177570447E-2"/>
    <n v="314"/>
    <n v="76"/>
    <s v="Open ended"/>
    <s v=""/>
    <n v="5000"/>
    <n v="1000"/>
  </r>
  <r>
    <x v="314"/>
    <x v="31"/>
    <n v="6.07"/>
    <n v="5.04"/>
    <n v="5.39"/>
    <n v="0.45"/>
    <n v="65.327604726100958"/>
    <n v="28.328757721345234"/>
    <n v="36.073706591070156"/>
    <n v="39.601001557158838"/>
    <n v="87.356321839080465"/>
    <n v="19.513625448092817"/>
    <n v="66.201409284034241"/>
    <n v="58.189933559358096"/>
    <n v="5.2778260869565221"/>
    <n v="0.11217391304347757"/>
    <n v="315"/>
    <n v="3"/>
    <s v="Open ended"/>
    <s v="CRISIL Low Duration Debt Index"/>
    <n v="1000"/>
    <n v="1000"/>
  </r>
  <r>
    <x v="315"/>
    <x v="23"/>
    <n v="3.1"/>
    <n v="16.16"/>
    <n v="11.44"/>
    <n v="1.84"/>
    <n v="58.947368421052623"/>
    <n v="47.409059711736454"/>
    <n v="57.512402551381989"/>
    <n v="54.768392873422457"/>
    <n v="34.099616858237546"/>
    <n v="6.2884713491438395"/>
    <n v="89.108048121341668"/>
    <n v="58.186112681606033"/>
    <n v="10.023387096774194"/>
    <n v="1.4166129032258059"/>
    <n v="316"/>
    <n v="8"/>
    <s v="Open ended"/>
    <s v="NIFTY 500 - TRI"/>
    <n v="1000"/>
    <n v="1000"/>
  </r>
  <r>
    <x v="316"/>
    <x v="6"/>
    <n v="2.88"/>
    <n v="17.91"/>
    <n v="11"/>
    <n v="1.94"/>
    <n v="58.474758324382378"/>
    <n v="50.411805078929305"/>
    <n v="55.953224663359322"/>
    <n v="54.795105520234927"/>
    <n v="30.268199233716466"/>
    <n v="4.1246550977574499"/>
    <n v="92.855887806986118"/>
    <n v="58.178574520293111"/>
    <n v="9.0435999999999996"/>
    <n v="1.9564000000000004"/>
    <n v="317"/>
    <n v="5"/>
    <s v="Open ended"/>
    <s v="NIFTY 500 - TRI"/>
    <n v="1000"/>
    <n v="1000"/>
  </r>
  <r>
    <x v="317"/>
    <x v="26"/>
    <n v="6.04"/>
    <n v="5.08"/>
    <n v="5.03"/>
    <n v="0.41"/>
    <n v="65.26315789473685"/>
    <n v="28.397391901166785"/>
    <n v="34.798015591778878"/>
    <n v="38.970856945186846"/>
    <n v="88.888888888888886"/>
    <n v="19.698466866996576"/>
    <n v="65.881254555149809"/>
    <n v="58.177964333603093"/>
    <n v="4.4728846153846158"/>
    <n v="0.55711538461538446"/>
    <n v="318"/>
    <n v="29"/>
    <s v="Open ended"/>
    <s v="Nifty Money Market Index"/>
    <n v="1000"/>
    <n v="1000"/>
  </r>
  <r>
    <x v="318"/>
    <x v="11"/>
    <n v="3.44"/>
    <n v="17"/>
    <n v="11.64"/>
    <n v="1.91"/>
    <n v="59.677765843179372"/>
    <n v="48.850377487989022"/>
    <n v="58.221119773210496"/>
    <n v="55.701226301637831"/>
    <n v="31.417624521072796"/>
    <n v="5.8760100882501494"/>
    <n v="89.822451981363457"/>
    <n v="58.160632276427982"/>
    <n v="11.362272727272726"/>
    <n v="0.27772727272727415"/>
    <n v="319"/>
    <n v="18"/>
    <s v="Open ended"/>
    <s v="Nifty Midcap 150 - TRI"/>
    <n v="5000"/>
    <n v="1000"/>
  </r>
  <r>
    <x v="319"/>
    <x v="32"/>
    <n v="2.85"/>
    <n v="30.93"/>
    <n v="18.920000000000002"/>
    <n v="2.63"/>
    <n v="58.410311493018256"/>
    <n v="72.752230610844208"/>
    <n v="84.018426647767555"/>
    <n v="75.516944805740692"/>
    <n v="3.8314176245210607"/>
    <n v="12.834805406287165"/>
    <n v="77.769464931050919"/>
    <n v="58.158693041763343"/>
    <n v="12.057857142857143"/>
    <n v="6.8621428571428584"/>
    <n v="320"/>
    <n v="2"/>
    <s v="Open ended"/>
    <s v="Nifty500 Multicap 50:25:25 - TRI"/>
    <n v="5000"/>
    <n v="1000"/>
  </r>
  <r>
    <x v="320"/>
    <x v="20"/>
    <n v="5.15"/>
    <n v="4.04"/>
    <n v="4.3600000000000003"/>
    <n v="0.3"/>
    <n v="63.351235230934478"/>
    <n v="26.612903225806456"/>
    <n v="32.423812898653438"/>
    <n v="36.866024463255549"/>
    <n v="93.103448275862064"/>
    <n v="19.748321286733365"/>
    <n v="65.79490416718383"/>
    <n v="58.157600342389252"/>
    <n v="4.4280373831775703"/>
    <n v="-6.8037383177570021E-2"/>
    <n v="321"/>
    <n v="77"/>
    <s v="Open ended"/>
    <s v=""/>
    <n v="5000"/>
    <m/>
  </r>
  <r>
    <x v="321"/>
    <x v="33"/>
    <n v="6.24"/>
    <n v="5.19"/>
    <n v="4.46"/>
    <n v="0.34"/>
    <n v="65.692803437164343"/>
    <n v="28.586135895676051"/>
    <n v="32.778171509567677"/>
    <n v="38.103487210919525"/>
    <n v="91.570881226053629"/>
    <n v="20.321790167009738"/>
    <n v="64.801626929985503"/>
    <n v="58.144870644469549"/>
    <n v="4.4264935064935065"/>
    <n v="3.3506493506493484E-2"/>
    <n v="322"/>
    <n v="2"/>
    <s v="Open ended"/>
    <s v="CRISIL Ultra Short Term Debt Index"/>
    <n v="5000"/>
    <n v="1000"/>
  </r>
  <r>
    <x v="322"/>
    <x v="20"/>
    <n v="5.15"/>
    <n v="4.01"/>
    <n v="4.3499999999999996"/>
    <n v="0.3"/>
    <n v="63.351235230934478"/>
    <n v="26.561427590940291"/>
    <n v="32.388377037562009"/>
    <n v="36.832863842249985"/>
    <n v="93.103448275862064"/>
    <n v="19.774317828706305"/>
    <n v="65.749876835665589"/>
    <n v="58.129763199006902"/>
    <n v="4.4280373831775703"/>
    <n v="-7.8037383177570696E-2"/>
    <n v="323"/>
    <n v="78"/>
    <s v="Open ended"/>
    <s v=""/>
    <n v="5000"/>
    <m/>
  </r>
  <r>
    <x v="323"/>
    <x v="22"/>
    <n v="2.92"/>
    <n v="18.260000000000002"/>
    <n v="10.18"/>
    <n v="1.89"/>
    <n v="58.560687432867887"/>
    <n v="51.012354152367891"/>
    <n v="53.047484053862505"/>
    <n v="53.5395857592152"/>
    <n v="32.18390804597702"/>
    <n v="3.9054342594163516"/>
    <n v="93.235589437070743"/>
    <n v="58.124667250369541"/>
    <n v="9.83"/>
    <n v="0.34999999999999964"/>
    <n v="324"/>
    <n v="7"/>
    <s v="Open ended"/>
    <s v="S&amp;P BSE 500 - TRI"/>
    <n v="5000"/>
    <n v="1000"/>
  </r>
  <r>
    <x v="324"/>
    <x v="34"/>
    <n v="14.46"/>
    <n v="17.82"/>
    <n v="11.48"/>
    <n v="1.65"/>
    <n v="83.351235230934478"/>
    <n v="50.257378174330825"/>
    <n v="57.654145995747697"/>
    <n v="60.57453349635999"/>
    <n v="41.37931034482758"/>
    <n v="17.369781922676403"/>
    <n v="69.914655193533051"/>
    <n v="58.110758132770158"/>
    <n v="7.9378947368421047"/>
    <n v="3.5421052631578958"/>
    <n v="325"/>
    <n v="1"/>
    <s v="Open ended"/>
    <s v="NIFTY 50 Hybrid Composite Debt 50:50 Index"/>
    <n v="1000"/>
    <n v="1000"/>
  </r>
  <r>
    <x v="325"/>
    <x v="20"/>
    <n v="5.12"/>
    <n v="4"/>
    <n v="4.33"/>
    <n v="0.3"/>
    <n v="63.286788399570348"/>
    <n v="26.544269045984905"/>
    <n v="32.317505315379158"/>
    <n v="36.779391051399116"/>
    <n v="93.103448275862064"/>
    <n v="19.758708966848101"/>
    <n v="65.776912177452331"/>
    <n v="58.109785639028161"/>
    <n v="4.4280373831775703"/>
    <n v="-9.803738317757027E-2"/>
    <n v="326"/>
    <n v="79"/>
    <s v="Open ended"/>
    <s v=""/>
    <n v="10000"/>
    <m/>
  </r>
  <r>
    <x v="326"/>
    <x v="26"/>
    <n v="6.12"/>
    <n v="5.14"/>
    <n v="5.04"/>
    <n v="0.42"/>
    <n v="65.435016111707839"/>
    <n v="28.500343170899111"/>
    <n v="34.8334514528703"/>
    <n v="39.053831900046447"/>
    <n v="88.505747126436788"/>
    <n v="19.751515069839982"/>
    <n v="65.789372372574803"/>
    <n v="58.100695824776125"/>
    <n v="4.4728846153846158"/>
    <n v="0.56711538461538424"/>
    <n v="327"/>
    <n v="30"/>
    <s v="Open ended"/>
    <s v="CRISIL Money Market Index"/>
    <n v="5000"/>
    <n v="1000"/>
  </r>
  <r>
    <x v="327"/>
    <x v="31"/>
    <n v="6.51"/>
    <n v="4.78"/>
    <n v="5.79"/>
    <n v="0.48"/>
    <n v="66.272824919441447"/>
    <n v="27.882635552505153"/>
    <n v="37.491141034727136"/>
    <n v="40.364926167003404"/>
    <n v="86.206896551724128"/>
    <n v="19.977134197504999"/>
    <n v="65.398588580299631"/>
    <n v="58.083834366507645"/>
    <n v="5.2778260869565221"/>
    <n v="0.51217391304347792"/>
    <n v="328"/>
    <n v="4"/>
    <s v="Open ended"/>
    <s v="NIFTY Low Duration Debt Index"/>
    <n v="1000"/>
    <n v="1000"/>
  </r>
  <r>
    <x v="328"/>
    <x v="20"/>
    <n v="5.1100000000000003"/>
    <n v="3.72"/>
    <n v="4.03"/>
    <n v="0.25"/>
    <n v="63.265306122448969"/>
    <n v="26.063829787234049"/>
    <n v="31.254429482636425"/>
    <n v="36.099424901978225"/>
    <n v="95.019157088122611"/>
    <n v="20.147739285780773"/>
    <n v="65.10309189937621"/>
    <n v="58.080274697863821"/>
    <n v="4.4280373831775703"/>
    <n v="-0.39803738317757009"/>
    <n v="329"/>
    <n v="80"/>
    <s v="Open ended"/>
    <s v=""/>
    <n v="5000"/>
    <n v="1000"/>
  </r>
  <r>
    <x v="329"/>
    <x v="20"/>
    <n v="4.9400000000000004"/>
    <n v="3.73"/>
    <n v="3.98"/>
    <n v="0.25"/>
    <n v="62.900107411385605"/>
    <n v="26.080988332189435"/>
    <n v="31.077250177179305"/>
    <n v="35.942943070523604"/>
    <n v="95.019157088122611"/>
    <n v="19.972082201331293"/>
    <n v="65.407338894352137"/>
    <n v="58.078095530880489"/>
    <n v="4.4280373831775703"/>
    <n v="-0.44803738317757036"/>
    <n v="330"/>
    <n v="81"/>
    <s v="Open ended"/>
    <s v=""/>
    <n v="100000"/>
    <n v="1000"/>
  </r>
  <r>
    <x v="330"/>
    <x v="20"/>
    <n v="4.9400000000000004"/>
    <n v="3.73"/>
    <n v="3.98"/>
    <n v="0.25"/>
    <n v="62.900107411385605"/>
    <n v="26.080988332189435"/>
    <n v="31.077250177179305"/>
    <n v="35.942943070523604"/>
    <n v="95.019157088122611"/>
    <n v="19.972082201331293"/>
    <n v="65.407338894352137"/>
    <n v="58.078095530880489"/>
    <n v="4.4280373831775703"/>
    <n v="-0.44803738317757036"/>
    <n v="330"/>
    <n v="81"/>
    <s v="Open ended"/>
    <s v=""/>
    <n v="10000"/>
    <n v="1000"/>
  </r>
  <r>
    <x v="331"/>
    <x v="20"/>
    <n v="5.05"/>
    <n v="3.68"/>
    <n v="4.01"/>
    <n v="0.25"/>
    <n v="63.136412459720724"/>
    <n v="25.995195607412498"/>
    <n v="31.183557760453574"/>
    <n v="36.017620054394683"/>
    <n v="95.019157088122611"/>
    <n v="20.113735002620192"/>
    <n v="65.161989045485299"/>
    <n v="58.054096560599319"/>
    <n v="4.4280373831775703"/>
    <n v="-0.41803738317757055"/>
    <n v="332"/>
    <n v="83"/>
    <s v="Open ended"/>
    <s v=""/>
    <n v="5000"/>
    <n v="1000"/>
  </r>
  <r>
    <x v="332"/>
    <x v="20"/>
    <n v="5.05"/>
    <n v="3.68"/>
    <n v="4.01"/>
    <n v="0.25"/>
    <n v="63.136412459720724"/>
    <n v="25.995195607412498"/>
    <n v="31.183557760453574"/>
    <n v="36.017620054394683"/>
    <n v="95.019157088122611"/>
    <n v="20.113735002620192"/>
    <n v="65.161989045485299"/>
    <n v="58.054096560599319"/>
    <n v="4.4280373831775703"/>
    <n v="-0.41803738317757055"/>
    <n v="332"/>
    <n v="83"/>
    <s v="Open ended"/>
    <s v=""/>
    <n v="5000"/>
    <n v="1000"/>
  </r>
  <r>
    <x v="333"/>
    <x v="20"/>
    <n v="5.13"/>
    <n v="4.05"/>
    <n v="4.4000000000000004"/>
    <n v="0.32"/>
    <n v="63.308270676691727"/>
    <n v="26.630061770761841"/>
    <n v="32.565556343019132"/>
    <n v="36.933450838076467"/>
    <n v="92.337164750957854"/>
    <n v="19.687710163814245"/>
    <n v="65.899885711583551"/>
    <n v="58.025988034673581"/>
    <n v="4.4280373831775703"/>
    <n v="-2.8037383177569986E-2"/>
    <n v="334"/>
    <n v="85"/>
    <s v="Open ended"/>
    <s v=""/>
    <n v="5000"/>
    <n v="1000"/>
  </r>
  <r>
    <x v="334"/>
    <x v="31"/>
    <n v="6.46"/>
    <n v="4.75"/>
    <n v="5.74"/>
    <n v="0.48"/>
    <n v="66.165413533834581"/>
    <n v="27.831159917638988"/>
    <n v="37.313961729270019"/>
    <n v="40.239411546693624"/>
    <n v="86.206896551724128"/>
    <n v="19.965991092107053"/>
    <n v="65.417889005002962"/>
    <n v="58.025902162528581"/>
    <n v="5.2778260869565221"/>
    <n v="0.4621739130434781"/>
    <n v="335"/>
    <n v="5"/>
    <s v="Open ended"/>
    <s v="NIFTY Low Duration Debt Index"/>
    <n v="1000"/>
    <n v="1000"/>
  </r>
  <r>
    <x v="335"/>
    <x v="31"/>
    <n v="6.51"/>
    <n v="4.7699999999999996"/>
    <n v="5.73"/>
    <n v="0.48"/>
    <n v="66.272824919441447"/>
    <n v="27.865477007549767"/>
    <n v="37.278525868178598"/>
    <n v="40.253471020242515"/>
    <n v="86.206896551724128"/>
    <n v="20.018321774280256"/>
    <n v="65.327249604684241"/>
    <n v="58.010272049223346"/>
    <n v="5.2778260869565221"/>
    <n v="0.45217391304347831"/>
    <n v="336"/>
    <n v="6"/>
    <s v="Open ended"/>
    <s v="NIFTY Low Duration Debt Index"/>
    <n v="1000"/>
    <n v="1000"/>
  </r>
  <r>
    <x v="336"/>
    <x v="8"/>
    <n v="3.52"/>
    <n v="15.5"/>
    <n v="11"/>
    <n v="1.78"/>
    <n v="59.849624060150376"/>
    <n v="46.276595744680854"/>
    <n v="55.953224663359322"/>
    <n v="53.82951586711399"/>
    <n v="36.398467432950184"/>
    <n v="6.9886356935343663"/>
    <n v="87.895327903209122"/>
    <n v="57.988206767596822"/>
    <n v="12.436666666666667"/>
    <n v="-1.4366666666666674"/>
    <n v="337"/>
    <n v="3"/>
    <s v="Open ended"/>
    <s v="S&amp;P BSE 500 - TRI"/>
    <n v="1000"/>
    <n v="1000"/>
  </r>
  <r>
    <x v="337"/>
    <x v="20"/>
    <n v="5.12"/>
    <n v="4.01"/>
    <n v="4.3600000000000003"/>
    <n v="0.32"/>
    <n v="63.286788399570348"/>
    <n v="26.561427590940291"/>
    <n v="32.423812898653438"/>
    <n v="36.837692406522876"/>
    <n v="92.337164750957854"/>
    <n v="19.730023419441874"/>
    <n v="65.826597003002831"/>
    <n v="57.959786641751613"/>
    <n v="4.4280373831775703"/>
    <n v="-6.8037383177570021E-2"/>
    <n v="338"/>
    <n v="86"/>
    <s v="Open ended"/>
    <s v="Nifty Liquid Fund Index"/>
    <n v="1000"/>
    <m/>
  </r>
  <r>
    <x v="338"/>
    <x v="11"/>
    <n v="3.34"/>
    <n v="16.920000000000002"/>
    <n v="11.36"/>
    <n v="1.91"/>
    <n v="59.462943071965626"/>
    <n v="48.71310912834592"/>
    <n v="57.228915662650607"/>
    <n v="55.120979184222207"/>
    <n v="31.417624521072796"/>
    <n v="5.6725768572826984"/>
    <n v="90.174808673346973"/>
    <n v="57.958597890716042"/>
    <n v="11.362272727272726"/>
    <n v="-2.2727272727269821E-3"/>
    <n v="339"/>
    <n v="19"/>
    <s v="Open ended"/>
    <s v="Nifty Midcap 150 - TRI"/>
    <n v="5000"/>
    <n v="1000"/>
  </r>
  <r>
    <x v="339"/>
    <x v="35"/>
    <n v="2.48"/>
    <n v="10.77"/>
    <n v="7.49"/>
    <n v="1.17"/>
    <n v="57.615467239527383"/>
    <n v="38.16060398078244"/>
    <n v="43.515237420269308"/>
    <n v="44.728893352274866"/>
    <n v="59.770114942528728"/>
    <n v="10.049712140517837"/>
    <n v="82.593387971181329"/>
    <n v="57.955322404564946"/>
    <n v="8.6269999999999989"/>
    <n v="-1.1369999999999987"/>
    <n v="340"/>
    <n v="1"/>
    <s v="Open ended"/>
    <s v="NIFTY 50 Hybrid Composite Debt 15:85 Index"/>
    <n v="5000"/>
    <n v="1000"/>
  </r>
  <r>
    <x v="340"/>
    <x v="36"/>
    <n v="5.32"/>
    <n v="9.91"/>
    <n v="8.19"/>
    <n v="1.1100000000000001"/>
    <n v="63.716433941997849"/>
    <n v="36.684969114619079"/>
    <n v="45.995747696669028"/>
    <n v="46.74665137111981"/>
    <n v="62.068965517241367"/>
    <n v="13.732039236296757"/>
    <n v="76.215410351204696"/>
    <n v="57.944419652671421"/>
    <n v="5.7759259259259252"/>
    <n v="2.4140740740740743"/>
    <n v="341"/>
    <n v="1"/>
    <s v="Open ended"/>
    <s v="NIFTY 50 Hybrid Composite Debt 15:85 Index"/>
    <n v="5000"/>
    <n v="1000"/>
  </r>
  <r>
    <x v="341"/>
    <x v="26"/>
    <n v="6.13"/>
    <n v="5.13"/>
    <n v="4.91"/>
    <n v="0.42"/>
    <n v="65.456498388829203"/>
    <n v="28.483184625943725"/>
    <n v="34.37278525868178"/>
    <n v="38.822647694889852"/>
    <n v="88.505747126436788"/>
    <n v="19.865844004971716"/>
    <n v="65.591348848151398"/>
    <n v="57.935597841091969"/>
    <n v="4.4728846153846158"/>
    <n v="0.43711538461538435"/>
    <n v="342"/>
    <n v="31"/>
    <s v="Open ended"/>
    <s v="CRISIL Money Market Index"/>
    <n v="5000"/>
    <n v="1000"/>
  </r>
  <r>
    <x v="342"/>
    <x v="20"/>
    <n v="4.9800000000000004"/>
    <n v="3.86"/>
    <n v="4.2699999999999996"/>
    <n v="0.31"/>
    <n v="62.986036519871099"/>
    <n v="26.304049416609477"/>
    <n v="32.104890148830613"/>
    <n v="36.540867203372372"/>
    <n v="92.720306513409966"/>
    <n v="19.718278881256662"/>
    <n v="65.84693913985106"/>
    <n v="57.912245015001439"/>
    <n v="4.4280373831775703"/>
    <n v="-0.15803738317757077"/>
    <n v="343"/>
    <n v="87"/>
    <s v="Open ended"/>
    <s v=""/>
    <n v="1000"/>
    <n v="1000"/>
  </r>
  <r>
    <x v="343"/>
    <x v="20"/>
    <n v="5.15"/>
    <n v="4.07"/>
    <n v="4.45"/>
    <n v="0.34"/>
    <n v="63.351235230934478"/>
    <n v="26.66437886067262"/>
    <n v="32.742735648476256"/>
    <n v="37.040928528626807"/>
    <n v="91.570881226053629"/>
    <n v="19.662790994928326"/>
    <n v="65.943046978176341"/>
    <n v="57.8989463153709"/>
    <n v="4.4280373831775703"/>
    <n v="2.1962616822429837E-2"/>
    <n v="344"/>
    <n v="88"/>
    <s v="Open ended"/>
    <s v="Nifty Liquid Fund Index"/>
    <n v="5000"/>
    <n v="1000"/>
  </r>
  <r>
    <x v="344"/>
    <x v="20"/>
    <n v="5.0999999999999996"/>
    <n v="4.08"/>
    <n v="4.43"/>
    <n v="0.34"/>
    <n v="63.243823845327597"/>
    <n v="26.68153740562801"/>
    <n v="32.671863926293412"/>
    <n v="36.98915795390063"/>
    <n v="91.570881226053629"/>
    <n v="19.610071964910702"/>
    <n v="66.034359016692619"/>
    <n v="57.895889037636877"/>
    <n v="4.4280373831775703"/>
    <n v="1.962616822429375E-3"/>
    <n v="345"/>
    <n v="89"/>
    <s v="Open ended"/>
    <s v=""/>
    <n v="1000"/>
    <m/>
  </r>
  <r>
    <x v="345"/>
    <x v="20"/>
    <n v="5.21"/>
    <n v="4.0999999999999996"/>
    <n v="4.45"/>
    <n v="0.34"/>
    <n v="63.480128893662723"/>
    <n v="26.715854495538782"/>
    <n v="32.742735648476256"/>
    <n v="37.08214995163231"/>
    <n v="91.570881226053629"/>
    <n v="19.71768458331006"/>
    <n v="65.8479684940894"/>
    <n v="57.895787405851912"/>
    <n v="4.4280373831775703"/>
    <n v="2.1962616822429837E-2"/>
    <n v="346"/>
    <n v="90"/>
    <s v="Open ended"/>
    <s v=""/>
    <n v="1000"/>
    <m/>
  </r>
  <r>
    <x v="346"/>
    <x v="20"/>
    <n v="4.87"/>
    <n v="3.78"/>
    <n v="4.26"/>
    <n v="0.31"/>
    <n v="62.749731471535974"/>
    <n v="26.166781056966371"/>
    <n v="32.069454287739184"/>
    <n v="36.4347077552667"/>
    <n v="92.720306513409966"/>
    <n v="19.640235998152459"/>
    <n v="65.982113378556704"/>
    <n v="57.892958850625014"/>
    <n v="4.4280373831775703"/>
    <n v="-0.16803738317757055"/>
    <n v="347"/>
    <n v="91"/>
    <s v="Open ended"/>
    <s v=""/>
    <n v="1000"/>
    <n v="1000"/>
  </r>
  <r>
    <x v="347"/>
    <x v="23"/>
    <n v="1.74"/>
    <n v="14.95"/>
    <n v="11.12"/>
    <n v="1.78"/>
    <n v="56.025778732545653"/>
    <n v="45.332875772134528"/>
    <n v="56.378454996456405"/>
    <n v="52.994245976377698"/>
    <n v="36.398467432950184"/>
    <n v="6.2778363399697152"/>
    <n v="89.126468497570215"/>
    <n v="57.878356970818949"/>
    <n v="10.023387096774194"/>
    <n v="1.0966129032258056"/>
    <n v="348"/>
    <n v="9"/>
    <s v="Open ended"/>
    <s v="NIFTY 500 - TRI"/>
    <n v="1000"/>
    <n v="1000"/>
  </r>
  <r>
    <x v="348"/>
    <x v="20"/>
    <n v="5.14"/>
    <n v="4.0599999999999996"/>
    <n v="4.43"/>
    <n v="0.34"/>
    <n v="63.329752953813099"/>
    <n v="26.647220315717231"/>
    <n v="32.671863926293412"/>
    <n v="36.996048648624495"/>
    <n v="91.570881226053629"/>
    <n v="19.671513630133369"/>
    <n v="65.92793893082532"/>
    <n v="57.872729363531981"/>
    <n v="4.4280373831775703"/>
    <n v="1.962616822429375E-3"/>
    <n v="349"/>
    <n v="92"/>
    <s v="Open ended"/>
    <s v="Nifty Liquid Fund Index"/>
    <n v="10000"/>
    <n v="10000"/>
  </r>
  <r>
    <x v="349"/>
    <x v="20"/>
    <n v="4.9800000000000004"/>
    <n v="3.83"/>
    <n v="4.25"/>
    <n v="0.31"/>
    <n v="62.986036519871099"/>
    <n v="26.252573781743312"/>
    <n v="32.034018426647762"/>
    <n v="36.489988651821093"/>
    <n v="92.720306513409966"/>
    <n v="19.751792369971312"/>
    <n v="65.788892074658406"/>
    <n v="57.872293972927636"/>
    <n v="4.4280373831775703"/>
    <n v="-0.17803738317757034"/>
    <n v="350"/>
    <n v="93"/>
    <s v="Open ended"/>
    <s v=""/>
    <n v="1000"/>
    <n v="1000"/>
  </r>
  <r>
    <x v="350"/>
    <x v="31"/>
    <n v="6.51"/>
    <n v="4.63"/>
    <n v="5.66"/>
    <n v="0.48"/>
    <n v="66.272824919441447"/>
    <n v="27.625257378174332"/>
    <n v="37.030474840538623"/>
    <n v="40.057379617609897"/>
    <n v="86.206896551724128"/>
    <n v="20.154435535419466"/>
    <n v="65.091493654781829"/>
    <n v="57.853287360431437"/>
    <n v="5.2778260869565221"/>
    <n v="0.38217391304347803"/>
    <n v="351"/>
    <n v="7"/>
    <s v="Open ended"/>
    <s v="NIFTY Low Duration Debt Index"/>
    <n v="1000"/>
    <n v="1000"/>
  </r>
  <r>
    <x v="351"/>
    <x v="29"/>
    <n v="6.63"/>
    <n v="4.8899999999999997"/>
    <n v="5.98"/>
    <n v="0.53"/>
    <n v="66.530612244897952"/>
    <n v="28.07137954701442"/>
    <n v="38.164422395464207"/>
    <n v="40.809747510816024"/>
    <n v="84.291187739463595"/>
    <n v="19.940005099567699"/>
    <n v="65.462898064366229"/>
    <n v="57.843395206365471"/>
    <n v="5.0554237288135591"/>
    <n v="0.92457627118644137"/>
    <n v="352"/>
    <n v="3"/>
    <s v="Open ended"/>
    <s v="CRISIL Corporate Bond Index"/>
    <n v="1000"/>
    <n v="1000"/>
  </r>
  <r>
    <x v="352"/>
    <x v="20"/>
    <n v="4.9800000000000004"/>
    <n v="3.84"/>
    <n v="4.22"/>
    <n v="0.31"/>
    <n v="62.986036519871099"/>
    <n v="26.269732326698701"/>
    <n v="31.92771084337349"/>
    <n v="36.441982423670574"/>
    <n v="92.720306513409966"/>
    <n v="19.768321916339254"/>
    <n v="65.760262060523061"/>
    <n v="57.841133355318547"/>
    <n v="4.4280373831775703"/>
    <n v="-0.20803738317757059"/>
    <n v="353"/>
    <n v="94"/>
    <s v="Open ended"/>
    <s v=""/>
    <n v="1000"/>
    <n v="1000"/>
  </r>
  <r>
    <x v="353"/>
    <x v="27"/>
    <n v="1.69"/>
    <n v="14.05"/>
    <n v="13.12"/>
    <n v="1.78"/>
    <n v="55.918367346938766"/>
    <n v="43.788606726149624"/>
    <n v="63.465627214741318"/>
    <n v="56.053069094603302"/>
    <n v="36.398467432950184"/>
    <n v="9.9270452094119062"/>
    <n v="82.805853328265357"/>
    <n v="57.827614737605536"/>
    <n v="10.044583333333334"/>
    <n v="3.0754166666666656"/>
    <n v="354"/>
    <n v="7"/>
    <s v="Open ended"/>
    <s v="S&amp;P BSE 100 - TRI"/>
    <n v="5000"/>
    <n v="1000"/>
  </r>
  <r>
    <x v="354"/>
    <x v="20"/>
    <n v="5.14"/>
    <n v="4"/>
    <n v="4.3899999999999997"/>
    <n v="0.34"/>
    <n v="63.329752953813099"/>
    <n v="26.544269045984905"/>
    <n v="32.530120481927703"/>
    <n v="36.894291545521938"/>
    <n v="91.570881226053629"/>
    <n v="19.738370433200586"/>
    <n v="65.812139551081273"/>
    <n v="57.792900967044687"/>
    <n v="4.4280373831775703"/>
    <n v="-3.8037383177570661E-2"/>
    <n v="355"/>
    <n v="95"/>
    <s v="Open ended"/>
    <s v="Nifty Liquid Fund Index"/>
    <n v="1000"/>
    <n v="1000"/>
  </r>
  <r>
    <x v="355"/>
    <x v="11"/>
    <n v="2.79"/>
    <n v="17.53"/>
    <n v="12.62"/>
    <n v="2.0299999999999998"/>
    <n v="58.281417830290003"/>
    <n v="49.759780370624576"/>
    <n v="61.693834160170091"/>
    <n v="57.431134757330419"/>
    <n v="26.819923371647512"/>
    <n v="6.1466051613088428"/>
    <n v="89.353767566547987"/>
    <n v="57.758990113214082"/>
    <n v="11.362272727272726"/>
    <n v="1.2577272727272728"/>
    <n v="356"/>
    <n v="20"/>
    <s v="Open ended"/>
    <s v="S&amp;P BSE 150 MidCap - TRI"/>
    <n v="1000"/>
    <n v="1000"/>
  </r>
  <r>
    <x v="356"/>
    <x v="8"/>
    <n v="3.5"/>
    <n v="15.43"/>
    <n v="10.69"/>
    <n v="1.78"/>
    <n v="59.806659505907625"/>
    <n v="46.156485929993138"/>
    <n v="54.854712969525153"/>
    <n v="53.235634164942041"/>
    <n v="36.398467432950184"/>
    <n v="6.9102359677875729"/>
    <n v="88.031120211502028"/>
    <n v="57.725213993584077"/>
    <n v="12.436666666666667"/>
    <n v="-1.7466666666666679"/>
    <n v="357"/>
    <n v="4"/>
    <s v="Open ended"/>
    <s v="S&amp;P BSE 500 - TRI"/>
    <n v="1000"/>
    <n v="1000"/>
  </r>
  <r>
    <x v="357"/>
    <x v="29"/>
    <n v="6.63"/>
    <n v="4.8899999999999997"/>
    <n v="5.87"/>
    <n v="0.53"/>
    <n v="66.530612244897952"/>
    <n v="28.07137954701442"/>
    <n v="37.774627923458539"/>
    <n v="40.614850274813186"/>
    <n v="84.291187739463595"/>
    <n v="20.000717666539654"/>
    <n v="65.35774081371288"/>
    <n v="57.719657275700712"/>
    <n v="5.0554237288135591"/>
    <n v="0.81457627118644105"/>
    <n v="358"/>
    <n v="4"/>
    <s v="Open ended"/>
    <s v="CRISIL Corporate Bond Index"/>
    <n v="1000"/>
    <n v="1000"/>
  </r>
  <r>
    <x v="358"/>
    <x v="11"/>
    <n v="5.79"/>
    <n v="20.53"/>
    <n v="11.43"/>
    <n v="2.12"/>
    <n v="64.726100966702475"/>
    <n v="54.907343857240917"/>
    <n v="57.476966690290567"/>
    <n v="58.155906695658054"/>
    <n v="23.371647509578541"/>
    <n v="5.0918382475647892"/>
    <n v="91.18067745129531"/>
    <n v="57.716034588047492"/>
    <n v="11.362272727272726"/>
    <n v="6.7727272727273302E-2"/>
    <n v="359"/>
    <n v="21"/>
    <s v="Open ended"/>
    <s v="Nifty Midcap 150 - TRI"/>
    <n v="5000"/>
    <n v="1000"/>
  </r>
  <r>
    <x v="359"/>
    <x v="16"/>
    <n v="4.34"/>
    <n v="3.36"/>
    <n v="4.9800000000000004"/>
    <n v="0.41"/>
    <n v="61.611170784103109"/>
    <n v="25.446122168840084"/>
    <n v="34.620836286321754"/>
    <n v="37.26648895063353"/>
    <n v="88.888888888888886"/>
    <n v="18.799664344450328"/>
    <n v="67.438026190170973"/>
    <n v="57.71497324508173"/>
    <n v="4.9189795918367345"/>
    <n v="6.1020408163265927E-2"/>
    <n v="360"/>
    <n v="3"/>
    <s v="Open ended"/>
    <s v="CRISIL Banking and PSU Debt Index"/>
    <n v="5000"/>
    <n v="1000"/>
  </r>
  <r>
    <x v="360"/>
    <x v="29"/>
    <n v="6.63"/>
    <n v="4.8899999999999997"/>
    <n v="5.86"/>
    <n v="0.53"/>
    <n v="66.530612244897952"/>
    <n v="28.07137954701442"/>
    <n v="37.73919206236711"/>
    <n v="40.597132344267472"/>
    <n v="84.291187739463595"/>
    <n v="20.006353385316576"/>
    <n v="65.347979462454077"/>
    <n v="57.708357972613157"/>
    <n v="5.0554237288135591"/>
    <n v="0.80457627118644126"/>
    <n v="361"/>
    <n v="5"/>
    <s v="Open ended"/>
    <s v="CRISIL Corporate Bond Index"/>
    <n v="1000"/>
    <n v="1000"/>
  </r>
  <r>
    <x v="361"/>
    <x v="27"/>
    <n v="1.62"/>
    <n v="13.99"/>
    <n v="12.69"/>
    <n v="1.78"/>
    <n v="55.767991407089148"/>
    <n v="43.685655456417308"/>
    <n v="61.941885187810051"/>
    <n v="55.230237512248053"/>
    <n v="36.398467432950184"/>
    <n v="9.2860983055848045"/>
    <n v="83.916005930647856"/>
    <n v="57.693737097023536"/>
    <n v="10.044583333333334"/>
    <n v="2.6454166666666659"/>
    <n v="362"/>
    <n v="8"/>
    <s v="Open ended"/>
    <s v="S&amp;P BSE 100 - TRI"/>
    <n v="5000"/>
    <n v="1000"/>
  </r>
  <r>
    <x v="362"/>
    <x v="30"/>
    <n v="3.57"/>
    <n v="7.13"/>
    <n v="6.03"/>
    <n v="0.78"/>
    <n v="59.957035445757242"/>
    <n v="31.914893617021278"/>
    <n v="38.341601700921331"/>
    <n v="40.736676024718498"/>
    <n v="74.712643678160916"/>
    <n v="14.690650491134379"/>
    <n v="74.555046953118577"/>
    <n v="57.685260670179119"/>
    <n v="6.1480952380952392"/>
    <n v="-0.11809523809523892"/>
    <n v="363"/>
    <n v="3"/>
    <s v="Open ended"/>
    <s v="NIFTY 50 Equity Savings Index"/>
    <n v="5000"/>
    <n v="1000"/>
  </r>
  <r>
    <x v="363"/>
    <x v="21"/>
    <n v="7.34"/>
    <n v="19.37"/>
    <n v="12.22"/>
    <n v="2.09"/>
    <n v="68.055853920515574"/>
    <n v="52.916952642415936"/>
    <n v="60.276399716513104"/>
    <n v="59.624456435084454"/>
    <n v="24.521072796934874"/>
    <n v="7.5704216181207054"/>
    <n v="86.887645122697151"/>
    <n v="57.66440769745023"/>
    <n v="10.412619047619048"/>
    <n v="1.807380952380953"/>
    <n v="364"/>
    <n v="13"/>
    <s v="Open ended"/>
    <s v="NIFTY LargeMidcap 250 - TRI"/>
    <n v="1000"/>
    <n v="1000"/>
  </r>
  <r>
    <x v="364"/>
    <x v="11"/>
    <n v="2.79"/>
    <n v="17.54"/>
    <n v="12.13"/>
    <n v="2.0299999999999998"/>
    <n v="58.281417830290003"/>
    <n v="49.776938915579962"/>
    <n v="59.957476966690294"/>
    <n v="56.568103724077133"/>
    <n v="26.819923371647512"/>
    <n v="5.4586123213622084"/>
    <n v="90.545406120579159"/>
    <n v="57.62538423509524"/>
    <n v="11.362272727272726"/>
    <n v="0.76772727272727437"/>
    <n v="365"/>
    <n v="22"/>
    <s v="Open ended"/>
    <s v="S&amp;P BSE 150 MidCap - TRI"/>
    <n v="1000"/>
    <n v="1000"/>
  </r>
  <r>
    <x v="365"/>
    <x v="23"/>
    <n v="9"/>
    <n v="17.59"/>
    <n v="10.35"/>
    <n v="1.73"/>
    <n v="71.621911922663799"/>
    <n v="49.862731640356898"/>
    <n v="53.649893692416725"/>
    <n v="56.108148722848192"/>
    <n v="38.314176245210717"/>
    <n v="11.624671767658851"/>
    <n v="79.865477877103359"/>
    <n v="57.598987892002619"/>
    <n v="10.023387096774194"/>
    <n v="0.32661290322580605"/>
    <n v="366"/>
    <n v="10"/>
    <s v="Open ended"/>
    <s v="S&amp;P BSE 500 - TRI"/>
    <n v="1000"/>
    <n v="1000"/>
  </r>
  <r>
    <x v="366"/>
    <x v="6"/>
    <n v="2.88"/>
    <n v="17.52"/>
    <n v="10.57"/>
    <n v="1.94"/>
    <n v="58.474758324382378"/>
    <n v="49.74262182566919"/>
    <n v="54.429482636428062"/>
    <n v="53.832479530791261"/>
    <n v="30.268199233716466"/>
    <n v="4.369994803260461"/>
    <n v="92.430946971940926"/>
    <n v="57.59102631680998"/>
    <n v="9.0435999999999996"/>
    <n v="1.5264000000000006"/>
    <n v="367"/>
    <n v="6"/>
    <s v="Open ended"/>
    <s v="NIFTY 500 - TRI"/>
    <n v="1000"/>
    <n v="1000"/>
  </r>
  <r>
    <x v="367"/>
    <x v="20"/>
    <n v="5.04"/>
    <n v="4.5599999999999996"/>
    <n v="5.56"/>
    <n v="0.54"/>
    <n v="63.114930182599352"/>
    <n v="27.50514756348662"/>
    <n v="36.676116229624377"/>
    <n v="39.21258842037804"/>
    <n v="83.908045977011497"/>
    <n v="18.489520309695113"/>
    <n v="67.975211416031414"/>
    <n v="57.577108558449751"/>
    <n v="4.4280373831775703"/>
    <n v="1.1319626168224293"/>
    <n v="368"/>
    <n v="96"/>
    <s v="Open ended"/>
    <s v=""/>
    <n v="5000"/>
    <n v="1000"/>
  </r>
  <r>
    <x v="368"/>
    <x v="12"/>
    <n v="0.71"/>
    <n v="10.47"/>
    <n v="10.07"/>
    <n v="1.45"/>
    <n v="53.81310418904404"/>
    <n v="37.645847632120798"/>
    <n v="52.657689581856836"/>
    <n v="48.385219918373465"/>
    <n v="49.042145593869726"/>
    <n v="9.0191515326714065"/>
    <n v="84.378371304250408"/>
    <n v="57.547739183716764"/>
    <n v="9.219019607843137"/>
    <n v="0.85098039215686327"/>
    <n v="369"/>
    <n v="5"/>
    <s v="Open ended"/>
    <s v="CRISIL Hybrid 35+65 - Aggressive Index"/>
    <n v="1000"/>
    <n v="1000"/>
  </r>
  <r>
    <x v="369"/>
    <x v="13"/>
    <n v="-0.61"/>
    <n v="14.29"/>
    <n v="12.64"/>
    <n v="1.77"/>
    <n v="50.977443609022558"/>
    <n v="44.200411805078929"/>
    <n v="61.764705882352942"/>
    <n v="54.337965204504663"/>
    <n v="36.781609195402297"/>
    <n v="8.8581188170160541"/>
    <n v="84.657288149446273"/>
    <n v="57.528706938464481"/>
    <n v="10.461"/>
    <n v="2.1790000000000003"/>
    <n v="370"/>
    <n v="8"/>
    <s v="Open ended"/>
    <s v="S&amp;P BSE 500 - TRI"/>
    <n v="5000"/>
    <n v="1000"/>
  </r>
  <r>
    <x v="370"/>
    <x v="23"/>
    <n v="1.73"/>
    <n v="14.88"/>
    <n v="10.5"/>
    <n v="1.78"/>
    <n v="56.004296455424274"/>
    <n v="45.212765957446813"/>
    <n v="54.181431608788088"/>
    <n v="51.855404882712946"/>
    <n v="36.398467432950184"/>
    <n v="5.776632962540095"/>
    <n v="89.994578212203436"/>
    <n v="57.525963852644878"/>
    <n v="10.023387096774194"/>
    <n v="0.47661290322580641"/>
    <n v="371"/>
    <n v="11"/>
    <s v="Open ended"/>
    <s v="NIFTY 500 - TRI"/>
    <n v="1000"/>
    <n v="1000"/>
  </r>
  <r>
    <x v="371"/>
    <x v="6"/>
    <n v="4.3099999999999996"/>
    <n v="16.010000000000002"/>
    <n v="11.87"/>
    <n v="1.91"/>
    <n v="61.546723952738994"/>
    <n v="47.151681537405636"/>
    <n v="59.036144578313255"/>
    <n v="55.972921540926116"/>
    <n v="31.417624521072796"/>
    <n v="7.689394392118249"/>
    <n v="86.681578233415991"/>
    <n v="57.511261459085254"/>
    <n v="9.0435999999999996"/>
    <n v="2.8263999999999996"/>
    <n v="372"/>
    <n v="7"/>
    <s v="Open ended"/>
    <s v="NIFTY 500 - TRI"/>
    <n v="5000"/>
    <n v="1000"/>
  </r>
  <r>
    <x v="372"/>
    <x v="13"/>
    <n v="3.84"/>
    <n v="12.54"/>
    <n v="10.57"/>
    <n v="1.59"/>
    <n v="60.537056928034374"/>
    <n v="41.19766643788607"/>
    <n v="54.429482636428062"/>
    <n v="51.68145263518673"/>
    <n v="43.678160919540218"/>
    <n v="9.8859786918133636"/>
    <n v="82.876982623235946"/>
    <n v="57.479512203287413"/>
    <n v="10.461"/>
    <n v="0.10899999999999999"/>
    <n v="373"/>
    <n v="9"/>
    <s v="Open ended"/>
    <s v="NIFTY 500 - TRI"/>
    <n v="5000"/>
    <n v="1000"/>
  </r>
  <r>
    <x v="373"/>
    <x v="11"/>
    <n v="1.65"/>
    <n v="19.89"/>
    <n v="10.35"/>
    <n v="2.11"/>
    <n v="55.832438238453278"/>
    <n v="53.809196980096097"/>
    <n v="53.649893692416725"/>
    <n v="54.134193587927847"/>
    <n v="23.754789272030653"/>
    <n v="1.2167157585359389"/>
    <n v="97.892586487846046"/>
    <n v="57.478940733933101"/>
    <n v="11.362272727272726"/>
    <n v="-1.0122727272727268"/>
    <n v="374"/>
    <n v="23"/>
    <s v="Open ended"/>
    <s v="Nifty Midcap 150 - TRI"/>
    <n v="5000"/>
    <n v="1000"/>
  </r>
  <r>
    <x v="374"/>
    <x v="11"/>
    <n v="1.65"/>
    <n v="19.89"/>
    <n v="10.35"/>
    <n v="2.11"/>
    <n v="55.832438238453278"/>
    <n v="53.809196980096097"/>
    <n v="53.649893692416725"/>
    <n v="54.134193587927847"/>
    <n v="23.754789272030653"/>
    <n v="1.2167157585359389"/>
    <n v="97.892586487846046"/>
    <n v="57.478940733933101"/>
    <n v="11.362272727272726"/>
    <n v="-1.0122727272727268"/>
    <n v="374"/>
    <n v="23"/>
    <s v="Open ended"/>
    <s v="Nifty Midcap 150 - TRI"/>
    <n v="5000"/>
    <n v="1000"/>
  </r>
  <r>
    <x v="375"/>
    <x v="12"/>
    <n v="0.71"/>
    <n v="10.47"/>
    <n v="9.91"/>
    <n v="1.45"/>
    <n v="53.81310418904404"/>
    <n v="37.645847632120798"/>
    <n v="52.090715804394037"/>
    <n v="48.101733029642062"/>
    <n v="49.042145593869726"/>
    <n v="8.8788233345726173"/>
    <n v="84.621426873092105"/>
    <n v="57.466759631561487"/>
    <n v="9.219019607843137"/>
    <n v="0.69098039215686313"/>
    <n v="376"/>
    <n v="6"/>
    <s v="Open ended"/>
    <s v="CRISIL Hybrid 35+65 - Aggressive Index"/>
    <n v="1000"/>
    <n v="1000"/>
  </r>
  <r>
    <x v="376"/>
    <x v="20"/>
    <n v="5.14"/>
    <n v="3.74"/>
    <n v="4.2300000000000004"/>
    <n v="0.34"/>
    <n v="63.329752953813099"/>
    <n v="26.098146877144824"/>
    <n v="31.963146704464918"/>
    <n v="36.476968006138527"/>
    <n v="91.570881226053629"/>
    <n v="20.018552651745807"/>
    <n v="65.326849713183577"/>
    <n v="57.462916737878565"/>
    <n v="4.4280373831775703"/>
    <n v="-0.19803738317756991"/>
    <n v="377"/>
    <n v="97"/>
    <s v="Open ended"/>
    <s v="Nifty Liquid Fund Index"/>
    <n v="1000"/>
    <n v="1000"/>
  </r>
  <r>
    <x v="377"/>
    <x v="25"/>
    <n v="7.08"/>
    <n v="4.8899999999999997"/>
    <n v="5.43"/>
    <n v="0.49"/>
    <n v="67.497314715359821"/>
    <n v="28.07137954701442"/>
    <n v="36.215450035435858"/>
    <n v="40.028601824894224"/>
    <n v="85.82375478927203"/>
    <n v="20.813798731738945"/>
    <n v="63.949443098115481"/>
    <n v="57.457600384293983"/>
    <n v="5.1221052631578941"/>
    <n v="0.30789473684210567"/>
    <n v="378"/>
    <n v="9"/>
    <s v="Open ended"/>
    <s v="CRISIL Low Duration Debt Index"/>
    <n v="1000"/>
    <n v="1000"/>
  </r>
  <r>
    <x v="378"/>
    <x v="4"/>
    <n v="8.7799999999999994"/>
    <n v="23.4"/>
    <n v="9.6199999999999992"/>
    <n v="1.9"/>
    <n v="71.149301825993547"/>
    <n v="59.831846259437206"/>
    <n v="51.063075832742719"/>
    <n v="57.710952159401231"/>
    <n v="31.800766283524908"/>
    <n v="10.070026563594508"/>
    <n v="82.558202358286081"/>
    <n v="57.445218240153359"/>
    <n v="12.127586206896551"/>
    <n v="-2.5075862068965513"/>
    <n v="379"/>
    <n v="20"/>
    <s v="Open ended"/>
    <s v="Nifty Smallcap 250 - TRI"/>
    <n v="5000"/>
    <n v="1000"/>
  </r>
  <r>
    <x v="379"/>
    <x v="3"/>
    <n v="4.62"/>
    <n v="5.62"/>
    <n v="6.52"/>
    <n v="0.74"/>
    <n v="62.212674543501613"/>
    <n v="29.323953328757725"/>
    <n v="40.077958894401135"/>
    <n v="41.278700354528212"/>
    <n v="76.245210727969351"/>
    <n v="16.769328428779172"/>
    <n v="70.954671152545302"/>
    <n v="57.439320647392769"/>
    <n v="7.5967647058823538"/>
    <n v="-1.0767647058823542"/>
    <n v="380"/>
    <n v="18"/>
    <s v="Open ended"/>
    <s v=""/>
    <n v="1000"/>
    <n v="1000"/>
  </r>
  <r>
    <x v="380"/>
    <x v="3"/>
    <n v="4.62"/>
    <n v="5.62"/>
    <n v="6.52"/>
    <n v="0.74"/>
    <n v="62.212674543501613"/>
    <n v="29.323953328757725"/>
    <n v="40.077958894401135"/>
    <n v="41.278700354528212"/>
    <n v="76.245210727969351"/>
    <n v="16.769328428779172"/>
    <n v="70.954671152545302"/>
    <n v="57.439320647392769"/>
    <n v="7.5967647058823538"/>
    <n v="-1.0767647058823542"/>
    <n v="380"/>
    <n v="18"/>
    <s v="Open ended"/>
    <s v=""/>
    <n v="1000"/>
    <n v="1000"/>
  </r>
  <r>
    <x v="381"/>
    <x v="22"/>
    <n v="2.92"/>
    <n v="17.88"/>
    <n v="9.76"/>
    <n v="1.89"/>
    <n v="58.560687432867887"/>
    <n v="50.360329444063147"/>
    <n v="51.559177888022667"/>
    <n v="52.599825263803851"/>
    <n v="32.18390804597702"/>
    <n v="4.4291504949726077"/>
    <n v="92.328486308338597"/>
    <n v="57.428011220480826"/>
    <n v="9.83"/>
    <n v="-7.0000000000000284E-2"/>
    <n v="382"/>
    <n v="8"/>
    <s v="Open ended"/>
    <s v="S&amp;P BSE 500 - TRI"/>
    <n v="5000"/>
    <n v="1000"/>
  </r>
  <r>
    <x v="382"/>
    <x v="25"/>
    <n v="7.08"/>
    <n v="4.8899999999999997"/>
    <n v="5.4"/>
    <n v="0.49"/>
    <n v="67.497314715359821"/>
    <n v="28.07137954701442"/>
    <n v="36.109142452161585"/>
    <n v="39.975448033257081"/>
    <n v="85.82375478927203"/>
    <n v="20.833576083020976"/>
    <n v="63.915187720855869"/>
    <n v="57.422459644160519"/>
    <n v="5.1221052631578941"/>
    <n v="0.2778947368421063"/>
    <n v="383"/>
    <n v="10"/>
    <s v="Open ended"/>
    <s v="CRISIL Low Duration Debt Index"/>
    <n v="1000"/>
    <n v="1000"/>
  </r>
  <r>
    <x v="383"/>
    <x v="25"/>
    <n v="7.04"/>
    <n v="4.87"/>
    <n v="5.39"/>
    <n v="0.49"/>
    <n v="67.411385606874319"/>
    <n v="28.037062457103641"/>
    <n v="36.073706591070156"/>
    <n v="39.930249154041036"/>
    <n v="85.82375478927203"/>
    <n v="20.804547173379181"/>
    <n v="63.965467267243788"/>
    <n v="57.412430091149467"/>
    <n v="5.1221052631578941"/>
    <n v="0.26789473684210563"/>
    <n v="384"/>
    <n v="11"/>
    <s v="Open ended"/>
    <s v="CRISIL Low Duration Debt Index"/>
    <n v="1000"/>
    <n v="1000"/>
  </r>
  <r>
    <x v="384"/>
    <x v="23"/>
    <n v="0.83"/>
    <n v="16.57"/>
    <n v="14.36"/>
    <n v="1.98"/>
    <n v="54.070891514500531"/>
    <n v="48.112560054907348"/>
    <n v="67.859673990077951"/>
    <n v="59.177783314411286"/>
    <n v="28.735632183908045"/>
    <n v="10.129007393864562"/>
    <n v="82.456044563585749"/>
    <n v="57.386810844079093"/>
    <n v="10.023387096774194"/>
    <n v="4.3366129032258058"/>
    <n v="385"/>
    <n v="12"/>
    <s v="Open ended"/>
    <s v="S&amp;P BSE 500 - TRI"/>
    <n v="1000"/>
    <n v="1000"/>
  </r>
  <r>
    <x v="385"/>
    <x v="25"/>
    <n v="7.09"/>
    <n v="4.9000000000000004"/>
    <n v="5.36"/>
    <n v="0.49"/>
    <n v="67.518796992481199"/>
    <n v="28.088538091969806"/>
    <n v="35.967399007795883"/>
    <n v="39.914020329985121"/>
    <n v="85.82375478927203"/>
    <n v="20.865891150712503"/>
    <n v="63.859216381764114"/>
    <n v="57.377752957751596"/>
    <n v="5.1221052631578941"/>
    <n v="0.23789473684210627"/>
    <n v="386"/>
    <n v="12"/>
    <s v="Open ended"/>
    <s v="CRISIL Low Duration Debt Index"/>
    <n v="1000"/>
    <n v="1000"/>
  </r>
  <r>
    <x v="386"/>
    <x v="36"/>
    <n v="5.32"/>
    <n v="9.8699999999999992"/>
    <n v="7.66"/>
    <n v="1.1100000000000001"/>
    <n v="63.716433941997849"/>
    <n v="36.616334934797536"/>
    <n v="44.117647058823529"/>
    <n v="45.787010798250591"/>
    <n v="62.068965517241367"/>
    <n v="13.992840413786643"/>
    <n v="75.763689461118418"/>
    <n v="57.351669143715242"/>
    <n v="5.7759259259259252"/>
    <n v="1.8840740740740749"/>
    <n v="387"/>
    <n v="2"/>
    <s v="Open ended"/>
    <s v="NIFTY 50 Hybrid Composite Debt 15:85 Index"/>
    <n v="5000"/>
    <n v="1000"/>
  </r>
  <r>
    <x v="387"/>
    <x v="37"/>
    <n v="12.51"/>
    <n v="21.92"/>
    <n v="13.16"/>
    <n v="2.23"/>
    <n v="79.162191192266377"/>
    <n v="57.292381606039825"/>
    <n v="63.607370659107019"/>
    <n v="64.823838049818733"/>
    <n v="19.157088122605369"/>
    <n v="11.255517905283622"/>
    <n v="80.504871122547542"/>
    <n v="57.327408836197591"/>
    <n v="7.1099999999999994"/>
    <n v="6.0500000000000007"/>
    <n v="388"/>
    <n v="1"/>
    <s v="Open ended"/>
    <s v="NIFTY 500 - TRI"/>
    <n v="1000"/>
    <n v="1000"/>
  </r>
  <r>
    <x v="388"/>
    <x v="6"/>
    <n v="4.3099999999999996"/>
    <n v="16.010000000000002"/>
    <n v="11.56"/>
    <n v="1.91"/>
    <n v="61.546723952738994"/>
    <n v="47.151681537405636"/>
    <n v="57.937632884479086"/>
    <n v="55.423665694009031"/>
    <n v="31.417624521072796"/>
    <n v="7.4897655831104553"/>
    <n v="87.02734547327195"/>
    <n v="57.323075345590709"/>
    <n v="9.0435999999999996"/>
    <n v="2.5164000000000009"/>
    <n v="389"/>
    <n v="8"/>
    <s v="Open ended"/>
    <s v="NIFTY 500 - TRI"/>
    <n v="5000"/>
    <n v="1000"/>
  </r>
  <r>
    <x v="389"/>
    <x v="20"/>
    <n v="5.04"/>
    <n v="4"/>
    <n v="4.37"/>
    <n v="0.39"/>
    <n v="63.114930182599352"/>
    <n v="26.544269045984905"/>
    <n v="32.459248759744867"/>
    <n v="36.815891130187779"/>
    <n v="89.65517241379311"/>
    <n v="19.63063526091646"/>
    <n v="65.99874234323957"/>
    <n v="57.32142425435206"/>
    <n v="4.4280373831775703"/>
    <n v="-5.8037383177570234E-2"/>
    <n v="390"/>
    <n v="98"/>
    <s v="Open ended"/>
    <s v="Nifty Liquid Fund Index"/>
    <n v="5000"/>
    <n v="1000"/>
  </r>
  <r>
    <x v="390"/>
    <x v="20"/>
    <n v="5.05"/>
    <n v="3.99"/>
    <n v="4.3600000000000003"/>
    <n v="0.39"/>
    <n v="63.136412459720724"/>
    <n v="26.527110501029515"/>
    <n v="32.423812898653438"/>
    <n v="36.797322091579716"/>
    <n v="89.65517241379311"/>
    <n v="19.656533523094581"/>
    <n v="65.953885237319327"/>
    <n v="57.300925458567967"/>
    <n v="4.4280373831775703"/>
    <n v="-6.8037383177570021E-2"/>
    <n v="391"/>
    <n v="99"/>
    <s v="Open ended"/>
    <s v="Nifty Liquid Fund Index"/>
    <n v="5000"/>
    <n v="1000"/>
  </r>
  <r>
    <x v="391"/>
    <x v="33"/>
    <n v="5.96"/>
    <n v="5.04"/>
    <n v="5.16"/>
    <n v="0.52"/>
    <n v="65.091299677765832"/>
    <n v="28.328757721345234"/>
    <n v="35.258681785967397"/>
    <n v="39.146228144940437"/>
    <n v="84.674329501915707"/>
    <n v="19.534130084363738"/>
    <n v="66.165894212222284"/>
    <n v="57.28317000100472"/>
    <n v="4.4264935064935065"/>
    <n v="0.73350649350649366"/>
    <n v="392"/>
    <n v="3"/>
    <s v="Open ended"/>
    <s v="NIFTY Ultra Short Duration Debt Index"/>
    <n v="1000"/>
    <n v="1000"/>
  </r>
  <r>
    <x v="392"/>
    <x v="25"/>
    <n v="7.08"/>
    <n v="4.8899999999999997"/>
    <n v="5.28"/>
    <n v="0.49"/>
    <n v="67.497314715359821"/>
    <n v="28.07137954701442"/>
    <n v="35.683912119064495"/>
    <n v="39.762832866708536"/>
    <n v="85.82375478927203"/>
    <n v="20.914299736516273"/>
    <n v="63.775370251629433"/>
    <n v="57.281197693579635"/>
    <n v="5.1221052631578941"/>
    <n v="0.1578947368421062"/>
    <n v="393"/>
    <n v="13"/>
    <s v="Open ended"/>
    <s v="CRISIL Low Duration Debt Index"/>
    <n v="1000"/>
    <n v="1000"/>
  </r>
  <r>
    <x v="393"/>
    <x v="32"/>
    <n v="13.91"/>
    <n v="18.52"/>
    <n v="11.67"/>
    <n v="1.82"/>
    <n v="82.169709989258848"/>
    <n v="51.458476321207968"/>
    <n v="58.327427356484748"/>
    <n v="61.035198572456537"/>
    <n v="34.865900383141771"/>
    <n v="16.118399439148899"/>
    <n v="72.082113234704408"/>
    <n v="57.254602690689808"/>
    <n v="12.057857142857143"/>
    <n v="-0.38785714285714334"/>
    <n v="394"/>
    <n v="3"/>
    <s v="Open ended"/>
    <s v="Nifty500 Multicap 50:25:25 - TRI"/>
    <n v="1000"/>
    <n v="1000"/>
  </r>
  <r>
    <x v="394"/>
    <x v="13"/>
    <n v="3.84"/>
    <n v="12.54"/>
    <n v="10.26"/>
    <n v="1.59"/>
    <n v="60.537056928034374"/>
    <n v="41.19766643788607"/>
    <n v="53.3309709425939"/>
    <n v="51.132196788269646"/>
    <n v="43.678160919540218"/>
    <n v="9.7737469611536696"/>
    <n v="83.07137368295993"/>
    <n v="57.253482044759863"/>
    <n v="10.461"/>
    <n v="-0.20100000000000051"/>
    <n v="395"/>
    <n v="10"/>
    <s v="Open ended"/>
    <s v="NIFTY 500 - TRI"/>
    <n v="5000"/>
    <n v="1000"/>
  </r>
  <r>
    <x v="395"/>
    <x v="23"/>
    <n v="0.83"/>
    <n v="16.37"/>
    <n v="13.91"/>
    <n v="1.98"/>
    <n v="54.070891514500531"/>
    <n v="47.769389155799594"/>
    <n v="66.265060240963862"/>
    <n v="58.277525170121919"/>
    <n v="28.735632183908045"/>
    <n v="9.4029829646124483"/>
    <n v="83.713555762586608"/>
    <n v="57.251059571684621"/>
    <n v="10.023387096774194"/>
    <n v="3.8866129032258065"/>
    <n v="396"/>
    <n v="13"/>
    <s v="Open ended"/>
    <s v="S&amp;P BSE 500 - TRI"/>
    <n v="1000"/>
    <n v="1000"/>
  </r>
  <r>
    <x v="396"/>
    <x v="36"/>
    <n v="5.32"/>
    <n v="9.91"/>
    <n v="7.53"/>
    <n v="1.1100000000000001"/>
    <n v="63.716433941997849"/>
    <n v="36.684969114619079"/>
    <n v="43.65698086463501"/>
    <n v="45.577267955102798"/>
    <n v="62.068965517241367"/>
    <n v="14.033832312897152"/>
    <n v="75.69268940916028"/>
    <n v="57.229047709151814"/>
    <n v="5.7759259259259252"/>
    <n v="1.754074074074075"/>
    <n v="397"/>
    <n v="3"/>
    <s v="Open ended"/>
    <s v="NIFTY 50 Hybrid Composite Debt 15:85 Index"/>
    <n v="5000"/>
    <n v="1000"/>
  </r>
  <r>
    <x v="397"/>
    <x v="36"/>
    <n v="5.31"/>
    <n v="9.91"/>
    <n v="7.51"/>
    <n v="1.1100000000000001"/>
    <n v="63.694951664876477"/>
    <n v="36.684969114619079"/>
    <n v="43.586109142452159"/>
    <n v="45.537535638587102"/>
    <n v="62.068965517241367"/>
    <n v="14.032880665545411"/>
    <n v="75.694337710724383"/>
    <n v="57.209593626284985"/>
    <n v="5.7759259259259252"/>
    <n v="1.7340740740740745"/>
    <n v="398"/>
    <n v="4"/>
    <s v="Open ended"/>
    <s v="NIFTY 50 Hybrid Composite Debt 15:85 Index"/>
    <n v="5000"/>
    <n v="1000"/>
  </r>
  <r>
    <x v="398"/>
    <x v="20"/>
    <n v="5.04"/>
    <n v="3.94"/>
    <n v="4.3"/>
    <n v="0.39"/>
    <n v="63.114930182599352"/>
    <n v="26.441317776252575"/>
    <n v="32.211197732104893"/>
    <n v="36.660980235448093"/>
    <n v="89.65517241379311"/>
    <n v="19.72006609610138"/>
    <n v="65.843843592935968"/>
    <n v="57.205244119406316"/>
    <n v="4.4280373831775703"/>
    <n v="-0.12803738317757052"/>
    <n v="399"/>
    <n v="100"/>
    <s v="Open ended"/>
    <s v="Nifty Liquid Fund Index"/>
    <n v="5000"/>
    <n v="1000"/>
  </r>
  <r>
    <x v="399"/>
    <x v="34"/>
    <n v="14.45"/>
    <n v="17.670000000000002"/>
    <n v="10.76"/>
    <n v="1.65"/>
    <n v="83.329752953813113"/>
    <n v="50"/>
    <n v="55.102763997165127"/>
    <n v="59.21733258934519"/>
    <n v="41.37931034482758"/>
    <n v="17.952128647840556"/>
    <n v="68.906001077927385"/>
    <n v="57.179994150361338"/>
    <n v="7.9378947368421047"/>
    <n v="2.8221052631578951"/>
    <n v="400"/>
    <n v="2"/>
    <s v="Open ended"/>
    <s v="NIFTY 50 Hybrid Composite Debt 50:50 Index"/>
    <n v="1000"/>
    <n v="1000"/>
  </r>
  <r>
    <x v="400"/>
    <x v="33"/>
    <n v="5.72"/>
    <n v="4.76"/>
    <n v="4.42"/>
    <n v="0.43"/>
    <n v="64.575725026852851"/>
    <n v="27.848318462594374"/>
    <n v="32.636428065201983"/>
    <n v="37.587854576749876"/>
    <n v="88.122605363984675"/>
    <n v="19.966417959945645"/>
    <n v="65.417149648218412"/>
    <n v="57.178866041425707"/>
    <n v="4.4264935064935065"/>
    <n v="-6.4935064935065512E-3"/>
    <n v="401"/>
    <n v="4"/>
    <s v="Open ended"/>
    <s v="NIFTY Ultra Short Duration Debt Index"/>
    <n v="1000"/>
    <n v="1000"/>
  </r>
  <r>
    <x v="401"/>
    <x v="33"/>
    <n v="5.96"/>
    <n v="5.0199999999999996"/>
    <n v="5.08"/>
    <n v="0.52"/>
    <n v="65.091299677765832"/>
    <n v="28.294440631434458"/>
    <n v="34.975194897236001"/>
    <n v="38.994189573601503"/>
    <n v="84.674329501915707"/>
    <n v="19.602810514428182"/>
    <n v="66.046936217864982"/>
    <n v="57.177411216745924"/>
    <n v="4.4264935064935065"/>
    <n v="0.65350649350649359"/>
    <n v="402"/>
    <n v="5"/>
    <s v="Open ended"/>
    <s v="NIFTY Ultra Short Duration Debt Index"/>
    <n v="1000"/>
    <n v="1000"/>
  </r>
  <r>
    <x v="402"/>
    <x v="33"/>
    <n v="5.86"/>
    <n v="4.8499999999999996"/>
    <n v="4.4800000000000004"/>
    <n v="0.44"/>
    <n v="64.876476906552099"/>
    <n v="28.002745367192865"/>
    <n v="32.849043231750528"/>
    <n v="37.800640607343546"/>
    <n v="87.739463601532563"/>
    <n v="20.037112185569413"/>
    <n v="65.294703657636305"/>
    <n v="57.158862118463986"/>
    <n v="4.4264935064935065"/>
    <n v="5.3506493506493946E-2"/>
    <n v="403"/>
    <n v="6"/>
    <s v="Open ended"/>
    <s v="CRISIL Ultra Short Term Debt Index"/>
    <n v="5000"/>
    <n v="1000"/>
  </r>
  <r>
    <x v="403"/>
    <x v="33"/>
    <n v="5.77"/>
    <n v="4.9400000000000004"/>
    <n v="5.04"/>
    <n v="0.52"/>
    <n v="64.683136412459717"/>
    <n v="28.15717227179136"/>
    <n v="34.8334514528703"/>
    <n v="38.800504690464507"/>
    <n v="84.674329501915707"/>
    <n v="19.44960347623158"/>
    <n v="66.312298592098642"/>
    <n v="57.146909368735841"/>
    <n v="4.4264935064935065"/>
    <n v="0.61350649350649356"/>
    <n v="404"/>
    <n v="7"/>
    <s v="Open ended"/>
    <s v="NIFTY Ultra Short Duration Debt Index"/>
    <n v="1000"/>
    <n v="1000"/>
  </r>
  <r>
    <x v="404"/>
    <x v="6"/>
    <n v="6.54"/>
    <n v="18.170000000000002"/>
    <n v="9.94"/>
    <n v="1.84"/>
    <n v="66.337271750805584"/>
    <n v="50.857927247769396"/>
    <n v="52.197023387668317"/>
    <n v="54.623344218326096"/>
    <n v="34.099616858237546"/>
    <n v="8.5766146049084639"/>
    <n v="85.144867747361261"/>
    <n v="57.122793260562744"/>
    <n v="9.0435999999999996"/>
    <n v="0.89639999999999986"/>
    <n v="405"/>
    <n v="9"/>
    <s v="Open ended"/>
    <s v="NIFTY 500 - TRI"/>
    <n v="5000"/>
    <n v="1000"/>
  </r>
  <r>
    <x v="405"/>
    <x v="33"/>
    <n v="5.86"/>
    <n v="4.8499999999999996"/>
    <n v="4.4400000000000004"/>
    <n v="0.44"/>
    <n v="64.876476906552099"/>
    <n v="28.002745367192865"/>
    <n v="32.707299787384834"/>
    <n v="37.729768885160695"/>
    <n v="87.739463601532563"/>
    <n v="20.069300213898998"/>
    <n v="65.238952357173986"/>
    <n v="57.109488432256988"/>
    <n v="4.4264935064935065"/>
    <n v="1.3506493506493911E-2"/>
    <n v="406"/>
    <n v="8"/>
    <s v="Open ended"/>
    <s v="CRISIL Ultra Short Term Debt Index"/>
    <n v="5000"/>
    <n v="1000"/>
  </r>
  <r>
    <x v="406"/>
    <x v="33"/>
    <n v="5.72"/>
    <n v="4.76"/>
    <n v="4.3600000000000003"/>
    <n v="0.43"/>
    <n v="64.575725026852851"/>
    <n v="27.848318462594374"/>
    <n v="32.423812898653438"/>
    <n v="37.481546993475604"/>
    <n v="88.122605363984675"/>
    <n v="20.014923581210599"/>
    <n v="65.333135447734804"/>
    <n v="57.104708699667675"/>
    <n v="4.4264935064935065"/>
    <n v="-6.649350649350616E-2"/>
    <n v="407"/>
    <n v="9"/>
    <s v="Open ended"/>
    <s v="NIFTY Ultra Short Duration Debt Index"/>
    <n v="1000"/>
    <n v="1000"/>
  </r>
  <r>
    <x v="407"/>
    <x v="33"/>
    <n v="5.86"/>
    <n v="4.8499999999999996"/>
    <n v="4.43"/>
    <n v="0.44"/>
    <n v="64.876476906552099"/>
    <n v="28.002745367192865"/>
    <n v="32.671863926293412"/>
    <n v="37.712050954614988"/>
    <n v="87.739463601532563"/>
    <n v="20.077391277105363"/>
    <n v="65.224938224613311"/>
    <n v="57.097125933843962"/>
    <n v="4.4264935064935065"/>
    <n v="3.5064935064932357E-3"/>
    <n v="408"/>
    <n v="10"/>
    <s v="Open ended"/>
    <s v="CRISIL Ultra Short Term Debt Index"/>
    <n v="5000"/>
    <n v="1000"/>
  </r>
  <r>
    <x v="408"/>
    <x v="33"/>
    <n v="5.74"/>
    <n v="4.7699999999999996"/>
    <n v="4.3499999999999996"/>
    <n v="0.43"/>
    <n v="64.618689581095595"/>
    <n v="27.865477007549767"/>
    <n v="32.388377037562009"/>
    <n v="37.477569537265055"/>
    <n v="88.122605363984675"/>
    <n v="20.041824209269599"/>
    <n v="65.286542193181106"/>
    <n v="57.091071657923976"/>
    <n v="4.4264935064935065"/>
    <n v="-7.6493506493506835E-2"/>
    <n v="409"/>
    <n v="11"/>
    <s v="Open ended"/>
    <s v="NIFTY Ultra Short Duration Debt Index"/>
    <n v="1000"/>
    <n v="1000"/>
  </r>
  <r>
    <x v="409"/>
    <x v="33"/>
    <n v="5.86"/>
    <n v="4.8499999999999996"/>
    <n v="4.42"/>
    <n v="0.44"/>
    <n v="64.876476906552099"/>
    <n v="28.002745367192865"/>
    <n v="32.636428065201983"/>
    <n v="37.694333024069273"/>
    <n v="87.739463601532563"/>
    <n v="20.085499920237677"/>
    <n v="65.210893642727711"/>
    <n v="57.084755823099705"/>
    <n v="4.4264935064935065"/>
    <n v="-6.4935064935065512E-3"/>
    <n v="410"/>
    <n v="12"/>
    <s v="Open ended"/>
    <s v="CRISIL Ultra Short Term Debt Index"/>
    <n v="5000"/>
    <n v="1000"/>
  </r>
  <r>
    <x v="410"/>
    <x v="29"/>
    <n v="5.47"/>
    <n v="3.94"/>
    <n v="5.53"/>
    <n v="0.54"/>
    <n v="64.038668098818476"/>
    <n v="26.441317776252575"/>
    <n v="36.569808646350104"/>
    <n v="39.025033275814522"/>
    <n v="83.908045977011497"/>
    <n v="19.453728512390867"/>
    <n v="66.305153819887693"/>
    <n v="57.065816587132055"/>
    <n v="5.0554237288135591"/>
    <n v="0.47457627118644119"/>
    <n v="411"/>
    <n v="6"/>
    <s v="Open ended"/>
    <s v="NIFTY Corporate Bond Index"/>
    <n v="5000"/>
    <n v="1000"/>
  </r>
  <r>
    <x v="411"/>
    <x v="38"/>
    <n v="3.7"/>
    <n v="2.92"/>
    <n v="5.4"/>
    <n v="0.52"/>
    <n v="60.236305048335126"/>
    <n v="24.691146190803025"/>
    <n v="36.109142452161585"/>
    <n v="37.509176092988724"/>
    <n v="84.674329501915707"/>
    <n v="18.147308945468961"/>
    <n v="68.567938885798583"/>
    <n v="57.065155143422935"/>
    <n v="4.625"/>
    <n v="0.77500000000000036"/>
    <n v="412"/>
    <n v="1"/>
    <s v="Open ended"/>
    <s v="CRISIL Dynamic Debt Index"/>
    <n v="10000"/>
    <n v="1000"/>
  </r>
  <r>
    <x v="412"/>
    <x v="38"/>
    <n v="3.7"/>
    <n v="2.92"/>
    <n v="5.4"/>
    <n v="0.52"/>
    <n v="60.236305048335126"/>
    <n v="24.691146190803025"/>
    <n v="36.109142452161585"/>
    <n v="37.509176092988724"/>
    <n v="84.674329501915707"/>
    <n v="18.147308945468961"/>
    <n v="68.567938885798583"/>
    <n v="57.065155143422935"/>
    <n v="4.625"/>
    <n v="0.77500000000000036"/>
    <n v="412"/>
    <n v="1"/>
    <s v="Open ended"/>
    <s v="CRISIL Dynamic Debt Index"/>
    <n v="10000"/>
    <n v="1000"/>
  </r>
  <r>
    <x v="413"/>
    <x v="38"/>
    <n v="3.7"/>
    <n v="2.92"/>
    <n v="5.4"/>
    <n v="0.52"/>
    <n v="60.236305048335126"/>
    <n v="24.691146190803025"/>
    <n v="36.109142452161585"/>
    <n v="37.509176092988724"/>
    <n v="84.674329501915707"/>
    <n v="18.147308945468961"/>
    <n v="68.567938885798583"/>
    <n v="57.065155143422935"/>
    <n v="4.625"/>
    <n v="0.77500000000000036"/>
    <n v="412"/>
    <n v="1"/>
    <s v="Open ended"/>
    <s v="CRISIL Dynamic Debt Index"/>
    <n v="10000"/>
    <n v="1000"/>
  </r>
  <r>
    <x v="414"/>
    <x v="33"/>
    <n v="5.73"/>
    <n v="4.76"/>
    <n v="4.33"/>
    <n v="0.43"/>
    <n v="64.59720730397423"/>
    <n v="27.848318462594374"/>
    <n v="32.317505315379158"/>
    <n v="37.432689657262742"/>
    <n v="88.122605363984675"/>
    <n v="20.051739835875033"/>
    <n v="65.269367824111626"/>
    <n v="57.064338125655439"/>
    <n v="4.4264935064935065"/>
    <n v="-9.6493506493506409E-2"/>
    <n v="415"/>
    <n v="13"/>
    <s v="Open ended"/>
    <s v="NIFTY Ultra Short Duration Debt Index"/>
    <n v="1000"/>
    <n v="1000"/>
  </r>
  <r>
    <x v="415"/>
    <x v="33"/>
    <n v="5.72"/>
    <n v="4.72"/>
    <n v="4.33"/>
    <n v="0.43"/>
    <n v="64.575725026852851"/>
    <n v="27.779684282772827"/>
    <n v="32.317505315379158"/>
    <n v="37.407802947891994"/>
    <n v="88.122605363984675"/>
    <n v="20.062955802164641"/>
    <n v="65.249941200642041"/>
    <n v="57.047038115102673"/>
    <n v="4.4264935064935065"/>
    <n v="-9.6493506493506409E-2"/>
    <n v="416"/>
    <n v="14"/>
    <s v="Open ended"/>
    <s v="NIFTY Ultra Short Duration Debt Index"/>
    <n v="1000"/>
    <n v="1000"/>
  </r>
  <r>
    <x v="416"/>
    <x v="33"/>
    <n v="5.36"/>
    <n v="4.5199999999999996"/>
    <n v="4.08"/>
    <n v="0.4"/>
    <n v="63.802363050483343"/>
    <n v="27.436513383665069"/>
    <n v="31.431608788093545"/>
    <n v="36.707231019242961"/>
    <n v="89.272030651340998"/>
    <n v="19.942841409037559"/>
    <n v="65.457985432258454"/>
    <n v="57.036119530521347"/>
    <n v="4.4264935064935065"/>
    <n v="-0.34649350649350641"/>
    <n v="417"/>
    <n v="15"/>
    <s v="Open ended"/>
    <s v="CRISIL Ultra Short Term Debt Index"/>
    <n v="5000"/>
    <n v="1000"/>
  </r>
  <r>
    <x v="417"/>
    <x v="29"/>
    <n v="5.48"/>
    <n v="3.94"/>
    <n v="5.5"/>
    <n v="0.54"/>
    <n v="64.060150375939855"/>
    <n v="26.441317776252575"/>
    <n v="36.463501063075832"/>
    <n v="38.97617593960166"/>
    <n v="83.908045977011497"/>
    <n v="19.481597202210999"/>
    <n v="66.256883833178861"/>
    <n v="57.02932042234842"/>
    <n v="5.0554237288135591"/>
    <n v="0.44457627118644094"/>
    <n v="418"/>
    <n v="7"/>
    <s v="Open ended"/>
    <s v="NIFTY Corporate Bond Index"/>
    <n v="5000"/>
    <n v="1000"/>
  </r>
  <r>
    <x v="418"/>
    <x v="32"/>
    <n v="13.91"/>
    <n v="18.52"/>
    <n v="11.44"/>
    <n v="1.82"/>
    <n v="82.169709989258848"/>
    <n v="51.458476321207968"/>
    <n v="57.512402551381989"/>
    <n v="60.627686169905161"/>
    <n v="34.865900383141771"/>
    <n v="16.267619710639849"/>
    <n v="71.823656142962861"/>
    <n v="56.98623221647874"/>
    <n v="12.057857142857143"/>
    <n v="-0.61785714285714377"/>
    <n v="419"/>
    <n v="4"/>
    <s v="Open ended"/>
    <s v="Nifty500 Multicap 50:25:25 - TRI"/>
    <n v="1000"/>
    <n v="1000"/>
  </r>
  <r>
    <x v="419"/>
    <x v="15"/>
    <n v="5.24"/>
    <n v="3.32"/>
    <n v="7.76"/>
    <n v="0.75"/>
    <n v="63.544575725026853"/>
    <n v="25.377487989018533"/>
    <n v="44.472005669737769"/>
    <n v="42.558164376579811"/>
    <n v="75.862068965517238"/>
    <n v="19.083544919735459"/>
    <n v="66.946330610495252"/>
    <n v="56.981182082293031"/>
    <n v="5.2086538461538465"/>
    <n v="2.5513461538461533"/>
    <n v="420"/>
    <n v="4"/>
    <s v="Open ended"/>
    <s v=""/>
    <n v="5000"/>
    <n v="1000"/>
  </r>
  <r>
    <x v="420"/>
    <x v="15"/>
    <n v="5.24"/>
    <n v="3.32"/>
    <n v="7.76"/>
    <n v="0.75"/>
    <n v="63.544575725026853"/>
    <n v="25.377487989018533"/>
    <n v="44.472005669737769"/>
    <n v="42.558164376579811"/>
    <n v="75.862068965517238"/>
    <n v="19.083544919735459"/>
    <n v="66.946330610495252"/>
    <n v="56.981182082293031"/>
    <n v="5.2086538461538465"/>
    <n v="2.5513461538461533"/>
    <n v="420"/>
    <n v="4"/>
    <s v="Open ended"/>
    <s v=""/>
    <n v="5000"/>
    <n v="1000"/>
  </r>
  <r>
    <x v="421"/>
    <x v="15"/>
    <n v="5.24"/>
    <n v="3.32"/>
    <n v="7.76"/>
    <n v="0.75"/>
    <n v="63.544575725026853"/>
    <n v="25.377487989018533"/>
    <n v="44.472005669737769"/>
    <n v="42.558164376579811"/>
    <n v="75.862068965517238"/>
    <n v="19.083544919735459"/>
    <n v="66.946330610495252"/>
    <n v="56.981182082293031"/>
    <n v="5.2086538461538465"/>
    <n v="2.5513461538461533"/>
    <n v="420"/>
    <n v="4"/>
    <s v="Open ended"/>
    <s v=""/>
    <n v="5000"/>
    <n v="1000"/>
  </r>
  <r>
    <x v="422"/>
    <x v="38"/>
    <n v="3.7"/>
    <n v="2.92"/>
    <n v="5.32"/>
    <n v="0.52"/>
    <n v="60.236305048335126"/>
    <n v="24.691146190803025"/>
    <n v="35.825655563430189"/>
    <n v="37.367432648623023"/>
    <n v="84.674329501915707"/>
    <n v="18.181104776897747"/>
    <n v="68.509402788679893"/>
    <n v="56.979649396960411"/>
    <n v="4.625"/>
    <n v="0.69500000000000028"/>
    <n v="423"/>
    <n v="4"/>
    <s v="Open ended"/>
    <s v="CRISIL Dynamic Debt Index"/>
    <n v="10000"/>
    <n v="1000"/>
  </r>
  <r>
    <x v="423"/>
    <x v="13"/>
    <n v="-1.59"/>
    <n v="13.92"/>
    <n v="11.93"/>
    <n v="1.77"/>
    <n v="48.872180451127818"/>
    <n v="43.565545641729585"/>
    <n v="59.248759744861786"/>
    <n v="52.468479655175329"/>
    <n v="36.781609195402297"/>
    <n v="7.9770188191260853"/>
    <n v="86.183398112340527"/>
    <n v="56.975491654523367"/>
    <n v="10.461"/>
    <n v="1.4689999999999994"/>
    <n v="424"/>
    <n v="11"/>
    <s v="Open ended"/>
    <s v="S&amp;P BSE 500 - TRI"/>
    <n v="5000"/>
    <n v="1000"/>
  </r>
  <r>
    <x v="424"/>
    <x v="16"/>
    <n v="4.63"/>
    <n v="3.15"/>
    <n v="4.26"/>
    <n v="0.38"/>
    <n v="62.234156820622985"/>
    <n v="25.085792724776944"/>
    <n v="32.069454287739184"/>
    <n v="36.007296325427276"/>
    <n v="90.038314176245223"/>
    <n v="19.742854246203045"/>
    <n v="65.804373359149366"/>
    <n v="56.964320046562285"/>
    <n v="4.9189795918367345"/>
    <n v="-0.65897959183673471"/>
    <n v="425"/>
    <n v="4"/>
    <s v="Open ended"/>
    <s v="NIFTY Banking and PSU Debt Index"/>
    <n v="5000"/>
    <n v="1000"/>
  </r>
  <r>
    <x v="425"/>
    <x v="2"/>
    <n v="0.99"/>
    <n v="12.7"/>
    <n v="8.64"/>
    <n v="1.56"/>
    <n v="54.41460794844253"/>
    <n v="41.472203157172274"/>
    <n v="47.590361445783131"/>
    <n v="47.119763259731755"/>
    <n v="44.827586206896555"/>
    <n v="6.4744117230145841"/>
    <n v="88.785989946619182"/>
    <n v="56.963275668244805"/>
    <n v="9.2084615384615383"/>
    <n v="-0.56846153846153769"/>
    <n v="426"/>
    <n v="8"/>
    <s v="Open ended"/>
    <s v="S&amp;P BSE 200 - TRI"/>
    <n v="5000"/>
    <n v="1000"/>
  </r>
  <r>
    <x v="426"/>
    <x v="2"/>
    <n v="0.99"/>
    <n v="12.7"/>
    <n v="8.64"/>
    <n v="1.56"/>
    <n v="54.41460794844253"/>
    <n v="41.472203157172274"/>
    <n v="47.590361445783131"/>
    <n v="47.119763259731755"/>
    <n v="44.827586206896555"/>
    <n v="6.4744117230145841"/>
    <n v="88.785989946619182"/>
    <n v="56.963275668244805"/>
    <n v="9.2084615384615383"/>
    <n v="-0.56846153846153769"/>
    <n v="426"/>
    <n v="8"/>
    <s v="Open ended"/>
    <s v="S&amp;P BSE 200 - TRI"/>
    <n v="5000"/>
    <n v="1000"/>
  </r>
  <r>
    <x v="427"/>
    <x v="29"/>
    <n v="5.47"/>
    <n v="3.94"/>
    <n v="5.43"/>
    <n v="0.54"/>
    <n v="64.038668098818476"/>
    <n v="26.441317776252575"/>
    <n v="36.215450035435858"/>
    <n v="38.847853970357392"/>
    <n v="83.908045977011497"/>
    <n v="19.507374144582244"/>
    <n v="66.212236859328087"/>
    <n v="56.953997694263592"/>
    <n v="5.0554237288135591"/>
    <n v="0.37457627118644066"/>
    <n v="428"/>
    <n v="8"/>
    <s v="Open ended"/>
    <s v="NIFTY Corporate Bond Index"/>
    <n v="5000"/>
    <n v="1000"/>
  </r>
  <r>
    <x v="428"/>
    <x v="6"/>
    <n v="6.61"/>
    <n v="18.190000000000001"/>
    <n v="9.7799999999999994"/>
    <n v="1.84"/>
    <n v="66.487647690655209"/>
    <n v="50.892244337680168"/>
    <n v="51.630049610205518"/>
    <n v="54.380227644537854"/>
    <n v="34.099616858237546"/>
    <n v="8.7987611162247692"/>
    <n v="84.760098703037244"/>
    <n v="56.905042712587623"/>
    <n v="9.0435999999999996"/>
    <n v="0.73639999999999972"/>
    <n v="429"/>
    <n v="10"/>
    <s v="Open ended"/>
    <s v="NIFTY 500 - TRI"/>
    <n v="5000"/>
    <n v="1000"/>
  </r>
  <r>
    <x v="429"/>
    <x v="13"/>
    <n v="0.56999999999999995"/>
    <n v="13.19"/>
    <n v="9.83"/>
    <n v="1.7"/>
    <n v="53.512352309344791"/>
    <n v="42.312971859986277"/>
    <n v="51.807228915662648"/>
    <n v="49.299976477696163"/>
    <n v="39.463601532567047"/>
    <n v="6.0342699817572019"/>
    <n v="89.548337805008799"/>
    <n v="56.902973073242045"/>
    <n v="10.461"/>
    <n v="-0.63100000000000023"/>
    <n v="430"/>
    <n v="12"/>
    <s v="Open ended"/>
    <s v="S&amp;P BSE 500 - TRI"/>
    <n v="1000"/>
    <n v="1000"/>
  </r>
  <r>
    <x v="430"/>
    <x v="16"/>
    <n v="4.62"/>
    <n v="3.06"/>
    <n v="4.24"/>
    <n v="0.38"/>
    <n v="62.212674543501613"/>
    <n v="24.931365820178453"/>
    <n v="31.998582565556344"/>
    <n v="35.921235937532032"/>
    <n v="90.038314176245223"/>
    <n v="19.802074330322139"/>
    <n v="65.701801164626602"/>
    <n v="56.895646803983972"/>
    <n v="4.9189795918367345"/>
    <n v="-0.67897959183673429"/>
    <n v="431"/>
    <n v="5"/>
    <s v="Open ended"/>
    <s v="NIFTY Banking and PSU Debt Index"/>
    <n v="5000"/>
    <n v="1000"/>
  </r>
  <r>
    <x v="431"/>
    <x v="13"/>
    <n v="0.56999999999999995"/>
    <n v="13.18"/>
    <n v="9.82"/>
    <n v="1.7"/>
    <n v="53.512352309344791"/>
    <n v="42.295813315030891"/>
    <n v="51.771793054571226"/>
    <n v="49.277110983663839"/>
    <n v="39.463601532567047"/>
    <n v="6.0364791829139541"/>
    <n v="89.54451135636117"/>
    <n v="56.890583714063972"/>
    <n v="10.461"/>
    <n v="-0.64100000000000001"/>
    <n v="432"/>
    <n v="13"/>
    <s v="Open ended"/>
    <s v="S&amp;P BSE 500 - TRI"/>
    <n v="1000"/>
    <n v="1000"/>
  </r>
  <r>
    <x v="432"/>
    <x v="27"/>
    <n v="3.48"/>
    <n v="14.55"/>
    <n v="9.98"/>
    <n v="1.75"/>
    <n v="59.763694951664867"/>
    <n v="44.64653397391902"/>
    <n v="52.338766832034025"/>
    <n v="51.516082598525692"/>
    <n v="37.547892720306521"/>
    <n v="7.5589743567081769"/>
    <n v="86.907472361071171"/>
    <n v="56.871882569607273"/>
    <n v="10.044583333333334"/>
    <n v="-6.4583333333333215E-2"/>
    <n v="433"/>
    <n v="9"/>
    <s v="Open ended"/>
    <s v="NIFTY 100 - TRI"/>
    <n v="1000"/>
    <n v="1000"/>
  </r>
  <r>
    <x v="433"/>
    <x v="31"/>
    <n v="5.33"/>
    <n v="3.93"/>
    <n v="5.82"/>
    <n v="0.6"/>
    <n v="63.737916219119214"/>
    <n v="26.424159231297189"/>
    <n v="37.597448618001415"/>
    <n v="39.473555322213713"/>
    <n v="81.609195402298852"/>
    <n v="19.150643603938242"/>
    <n v="66.830112280335015"/>
    <n v="56.84660458176532"/>
    <n v="5.2778260869565221"/>
    <n v="0.54217391304347817"/>
    <n v="434"/>
    <n v="8"/>
    <s v="Open ended"/>
    <s v=""/>
    <n v="5000"/>
    <n v="1000"/>
  </r>
  <r>
    <x v="434"/>
    <x v="29"/>
    <n v="5.47"/>
    <n v="3.94"/>
    <n v="5.33"/>
    <n v="0.54"/>
    <n v="64.038668098818476"/>
    <n v="26.441317776252575"/>
    <n v="35.861091424521611"/>
    <n v="38.670674664900275"/>
    <n v="83.908045977011497"/>
    <n v="19.563012353666501"/>
    <n v="66.115868654352013"/>
    <n v="56.841315990291022"/>
    <n v="5.0554237288135591"/>
    <n v="0.27457627118644101"/>
    <n v="435"/>
    <n v="9"/>
    <s v="Open ended"/>
    <s v="NIFTY Corporate Bond Index"/>
    <n v="5000"/>
    <n v="1000"/>
  </r>
  <r>
    <x v="435"/>
    <x v="13"/>
    <n v="-3.66"/>
    <n v="19.84"/>
    <n v="13.39"/>
    <n v="1.94"/>
    <n v="44.425349087003219"/>
    <n v="53.723404255319153"/>
    <n v="64.422395464209785"/>
    <n v="57.213288826101284"/>
    <n v="30.268199233716466"/>
    <n v="10.006698644850491"/>
    <n v="82.667889531088321"/>
    <n v="56.840666604251837"/>
    <n v="10.461"/>
    <n v="2.9290000000000003"/>
    <n v="436"/>
    <n v="14"/>
    <s v="Open ended"/>
    <s v="NIFTY 500 - TRI"/>
    <n v="5000"/>
    <n v="1000"/>
  </r>
  <r>
    <x v="436"/>
    <x v="23"/>
    <n v="9"/>
    <n v="17.18"/>
    <n v="9.9"/>
    <n v="1.73"/>
    <n v="71.621911922663799"/>
    <n v="49.159231297186004"/>
    <n v="52.055279943302615"/>
    <n v="55.099791745339871"/>
    <n v="38.314176245210717"/>
    <n v="12.218921158451"/>
    <n v="78.8362077398845"/>
    <n v="56.837491868943744"/>
    <n v="10.023387096774194"/>
    <n v="-0.12338709677419324"/>
    <n v="437"/>
    <n v="14"/>
    <s v="Open ended"/>
    <s v="S&amp;P BSE 500 - TRI"/>
    <n v="1000"/>
    <n v="1000"/>
  </r>
  <r>
    <x v="437"/>
    <x v="13"/>
    <n v="-3.66"/>
    <n v="19.850000000000001"/>
    <n v="13.28"/>
    <n v="1.94"/>
    <n v="44.425349087003219"/>
    <n v="53.740562800274546"/>
    <n v="64.03260099220411"/>
    <n v="57.023539153585062"/>
    <n v="30.268199233716466"/>
    <n v="9.8076805272029777"/>
    <n v="83.012599022480529"/>
    <n v="56.831969140841778"/>
    <n v="10.461"/>
    <n v="2.8189999999999991"/>
    <n v="438"/>
    <n v="15"/>
    <s v="Open ended"/>
    <s v="NIFTY 500 - TRI"/>
    <n v="5000"/>
    <n v="1000"/>
  </r>
  <r>
    <x v="438"/>
    <x v="20"/>
    <n v="5.21"/>
    <n v="3.98"/>
    <n v="3.18"/>
    <n v="0.28000000000000003"/>
    <n v="63.480128893662723"/>
    <n v="26.509951956074129"/>
    <n v="28.242381289865342"/>
    <n v="34.770202010487452"/>
    <n v="93.869731800766274"/>
    <n v="20.862622679416074"/>
    <n v="63.864877540112616"/>
    <n v="56.818753340463445"/>
    <n v="4.4280373831775703"/>
    <n v="-1.2480373831775702"/>
    <n v="439"/>
    <n v="101"/>
    <s v="Open ended"/>
    <s v="Nifty Liquid Fund Index"/>
    <n v="1000"/>
    <n v="1000"/>
  </r>
  <r>
    <x v="439"/>
    <x v="39"/>
    <n v="5.73"/>
    <n v="2.15"/>
    <n v="4.99"/>
    <n v="0.39"/>
    <n v="64.59720730397423"/>
    <n v="23.369938229238162"/>
    <n v="34.656272147413183"/>
    <n v="37.258559003272886"/>
    <n v="89.65517241379311"/>
    <n v="21.305432197457023"/>
    <n v="63.097908956790604"/>
    <n v="56.817549844282368"/>
    <n v="3.9855555555555551"/>
    <n v="1.0044444444444451"/>
    <n v="440"/>
    <n v="1"/>
    <s v="Open ended"/>
    <s v=""/>
    <n v="5000"/>
    <n v="1000"/>
  </r>
  <r>
    <x v="440"/>
    <x v="16"/>
    <n v="4.62"/>
    <n v="3.06"/>
    <n v="4.16"/>
    <n v="0.38"/>
    <n v="62.212674543501613"/>
    <n v="24.931365820178453"/>
    <n v="31.715095676824944"/>
    <n v="35.77949249316633"/>
    <n v="90.038314176245223"/>
    <n v="19.857900558807202"/>
    <n v="65.605107300495519"/>
    <n v="56.80060161576835"/>
    <n v="4.9189795918367345"/>
    <n v="-0.75897959183673436"/>
    <n v="441"/>
    <n v="6"/>
    <s v="Open ended"/>
    <s v="NIFTY Banking and PSU Debt Index"/>
    <n v="5000"/>
    <n v="1000"/>
  </r>
  <r>
    <x v="441"/>
    <x v="33"/>
    <n v="5.36"/>
    <n v="4.53"/>
    <n v="3.88"/>
    <n v="0.4"/>
    <n v="63.802363050483343"/>
    <n v="27.453671928620459"/>
    <n v="30.722891566265055"/>
    <n v="36.358019971815338"/>
    <n v="89.272030651340998"/>
    <n v="20.108731838793172"/>
    <n v="65.170654779432283"/>
    <n v="56.789681343600989"/>
    <n v="4.4264935064935065"/>
    <n v="-0.54649350649350659"/>
    <n v="442"/>
    <n v="16"/>
    <s v="Open ended"/>
    <s v="CRISIL Ultra Short Term Debt Index"/>
    <n v="5000"/>
    <n v="1000"/>
  </r>
  <r>
    <x v="442"/>
    <x v="16"/>
    <n v="4.62"/>
    <n v="3.06"/>
    <n v="4.1500000000000004"/>
    <n v="0.38"/>
    <n v="62.212674543501613"/>
    <n v="24.931365820178453"/>
    <n v="31.679659815733519"/>
    <n v="35.761774562620616"/>
    <n v="90.038314176245223"/>
    <n v="19.864962624095551"/>
    <n v="65.592875444609746"/>
    <n v="56.78868468652405"/>
    <n v="4.9189795918367345"/>
    <n v="-0.76897959183673414"/>
    <n v="443"/>
    <n v="7"/>
    <s v="Open ended"/>
    <s v="NIFTY Banking and PSU Debt Index"/>
    <n v="5000"/>
    <n v="1000"/>
  </r>
  <r>
    <x v="443"/>
    <x v="31"/>
    <n v="5.37"/>
    <n v="4"/>
    <n v="5.74"/>
    <n v="0.6"/>
    <n v="63.823845327604722"/>
    <n v="26.544269045984905"/>
    <n v="37.313961729270019"/>
    <n v="39.385030643951424"/>
    <n v="81.609195402298852"/>
    <n v="19.185615343388438"/>
    <n v="66.769539450778211"/>
    <n v="56.787199035244981"/>
    <n v="5.2778260869565221"/>
    <n v="0.4621739130434781"/>
    <n v="444"/>
    <n v="9"/>
    <s v="Open ended"/>
    <s v=""/>
    <n v="5000"/>
    <n v="1000"/>
  </r>
  <r>
    <x v="444"/>
    <x v="33"/>
    <n v="5.36"/>
    <n v="4.5199999999999996"/>
    <n v="3.87"/>
    <n v="0.4"/>
    <n v="63.802363050483343"/>
    <n v="27.436513383665069"/>
    <n v="30.687455705173633"/>
    <n v="36.335154477783007"/>
    <n v="89.272030651340998"/>
    <n v="20.123124080088598"/>
    <n v="65.145726686273832"/>
    <n v="56.772016573295211"/>
    <n v="4.4264935064935065"/>
    <n v="-0.55649350649350637"/>
    <n v="445"/>
    <n v="17"/>
    <s v="Open ended"/>
    <s v="CRISIL Ultra Short Term Debt Index"/>
    <n v="5000"/>
    <n v="1000"/>
  </r>
  <r>
    <x v="445"/>
    <x v="33"/>
    <n v="5.37"/>
    <n v="4.5199999999999996"/>
    <n v="3.87"/>
    <n v="0.4"/>
    <n v="63.823845327604722"/>
    <n v="27.436513383665069"/>
    <n v="30.687455705173633"/>
    <n v="36.339450933207281"/>
    <n v="89.272030651340998"/>
    <n v="20.135486374333354"/>
    <n v="65.124314564543795"/>
    <n v="56.768811770574843"/>
    <n v="4.4264935064935065"/>
    <n v="-0.55649350649350637"/>
    <n v="446"/>
    <n v="18"/>
    <s v="Open ended"/>
    <s v="CRISIL Ultra Short Term Debt Index"/>
    <n v="5000"/>
    <n v="1000"/>
  </r>
  <r>
    <x v="446"/>
    <x v="33"/>
    <n v="5.9"/>
    <n v="4.88"/>
    <n v="4.47"/>
    <n v="0.48"/>
    <n v="64.962406015037587"/>
    <n v="28.05422100205903"/>
    <n v="32.813607370659106"/>
    <n v="37.815551188954785"/>
    <n v="86.206896551724128"/>
    <n v="20.076566496933111"/>
    <n v="65.226366785776747"/>
    <n v="56.766091428852612"/>
    <n v="4.4264935064935065"/>
    <n v="4.3506493506493271E-2"/>
    <n v="447"/>
    <n v="19"/>
    <s v="Open ended"/>
    <s v="NIFTY Ultra Short Duration Debt Index"/>
    <n v="5000"/>
    <n v="1000"/>
  </r>
  <r>
    <x v="447"/>
    <x v="21"/>
    <n v="7.35"/>
    <n v="18.809999999999999"/>
    <n v="11.63"/>
    <n v="2.09"/>
    <n v="68.077336197636939"/>
    <n v="51.95607412491421"/>
    <n v="58.185683912119067"/>
    <n v="58.295131433061186"/>
    <n v="24.521072796934874"/>
    <n v="8.1296567563442039"/>
    <n v="85.919021449916244"/>
    <n v="56.757589278243373"/>
    <n v="10.412619047619048"/>
    <n v="1.2173809523809531"/>
    <n v="448"/>
    <n v="14"/>
    <s v="Open ended"/>
    <s v="NIFTY LargeMidcap 250 - TRI"/>
    <n v="1000"/>
    <n v="1000"/>
  </r>
  <r>
    <x v="448"/>
    <x v="4"/>
    <n v="8.7799999999999994"/>
    <n v="23.08"/>
    <n v="9.25"/>
    <n v="1.9"/>
    <n v="71.149301825993547"/>
    <n v="59.282772820864793"/>
    <n v="49.751948972360026"/>
    <n v="56.89066669763816"/>
    <n v="31.800766283524908"/>
    <n v="10.719902230615164"/>
    <n v="81.432584684403594"/>
    <n v="56.753671090801205"/>
    <n v="12.127586206896551"/>
    <n v="-2.8775862068965505"/>
    <n v="449"/>
    <n v="21"/>
    <s v="Open ended"/>
    <s v="Nifty Smallcap 250 - TRI"/>
    <n v="5000"/>
    <n v="1000"/>
  </r>
  <r>
    <x v="449"/>
    <x v="31"/>
    <n v="5.33"/>
    <n v="3.93"/>
    <n v="5.72"/>
    <n v="0.6"/>
    <n v="63.737916219119214"/>
    <n v="26.424159231297189"/>
    <n v="37.243090007087162"/>
    <n v="39.296376016756582"/>
    <n v="81.609195402298852"/>
    <n v="19.197836421861677"/>
    <n v="66.748371921939281"/>
    <n v="56.737579839437828"/>
    <n v="5.2778260869565221"/>
    <n v="0.44217391304347764"/>
    <n v="450"/>
    <n v="10"/>
    <s v="Open ended"/>
    <s v=""/>
    <n v="5000"/>
    <n v="1000"/>
  </r>
  <r>
    <x v="450"/>
    <x v="33"/>
    <n v="5.77"/>
    <n v="4.75"/>
    <n v="4.54"/>
    <n v="0.49"/>
    <n v="64.683136412459717"/>
    <n v="27.831159917638988"/>
    <n v="33.061658398299073"/>
    <n v="37.816804456933177"/>
    <n v="85.82375478927203"/>
    <n v="19.938840478368896"/>
    <n v="65.464915247454144"/>
    <n v="56.730569737648132"/>
    <n v="4.4264935064935065"/>
    <n v="0.11350649350649356"/>
    <n v="451"/>
    <n v="20"/>
    <s v="Open ended"/>
    <s v="CRISIL Ultra Short Term Debt Index"/>
    <n v="5000"/>
    <n v="1000"/>
  </r>
  <r>
    <x v="451"/>
    <x v="33"/>
    <n v="5.9"/>
    <n v="4.88"/>
    <n v="4.4400000000000004"/>
    <n v="0.48"/>
    <n v="64.962406015037587"/>
    <n v="28.05422100205903"/>
    <n v="32.707299787384834"/>
    <n v="37.762397397317642"/>
    <n v="86.206896551724128"/>
    <n v="20.100817317097114"/>
    <n v="65.184363133127476"/>
    <n v="56.729013619871722"/>
    <n v="4.4264935064935065"/>
    <n v="1.3506493506493911E-2"/>
    <n v="452"/>
    <n v="21"/>
    <s v="Open ended"/>
    <s v="NIFTY Ultra Short Duration Debt Index"/>
    <n v="5000"/>
    <n v="1000"/>
  </r>
  <r>
    <x v="452"/>
    <x v="33"/>
    <n v="5.86"/>
    <n v="4.8600000000000003"/>
    <n v="4.41"/>
    <n v="0.48"/>
    <n v="64.876476906552099"/>
    <n v="28.019903912148251"/>
    <n v="32.600992204110554"/>
    <n v="37.681762657010175"/>
    <n v="86.206896551724128"/>
    <n v="20.087725338325853"/>
    <n v="65.207039105530896"/>
    <n v="56.694365242818847"/>
    <n v="4.4264935064935065"/>
    <n v="-1.6493506493506338E-2"/>
    <n v="453"/>
    <n v="22"/>
    <s v="Open ended"/>
    <s v="NIFTY Ultra Short Duration Debt Index"/>
    <n v="5000"/>
    <n v="1000"/>
  </r>
  <r>
    <x v="453"/>
    <x v="31"/>
    <n v="5.34"/>
    <n v="3.93"/>
    <n v="5.67"/>
    <n v="0.6"/>
    <n v="63.759398496240593"/>
    <n v="26.424159231297189"/>
    <n v="37.065910701630045"/>
    <n v="39.212082819452299"/>
    <n v="81.609195402298852"/>
    <n v="19.234124431887221"/>
    <n v="66.685519244869468"/>
    <n v="56.679720071518233"/>
    <n v="5.2778260869565221"/>
    <n v="0.39217391304347782"/>
    <n v="454"/>
    <n v="11"/>
    <s v="Open ended"/>
    <s v=""/>
    <n v="5000"/>
    <n v="1000"/>
  </r>
  <r>
    <x v="454"/>
    <x v="33"/>
    <n v="5.78"/>
    <n v="4.76"/>
    <n v="4.4800000000000004"/>
    <n v="0.49"/>
    <n v="64.704618689581096"/>
    <n v="27.848318462594374"/>
    <n v="32.849043231750528"/>
    <n v="37.719940892569795"/>
    <n v="85.82375478927203"/>
    <n v="19.992381058744066"/>
    <n v="65.372180241977617"/>
    <n v="56.658954204097313"/>
    <n v="4.4264935064935065"/>
    <n v="5.3506493506493946E-2"/>
    <n v="455"/>
    <n v="23"/>
    <s v="Open ended"/>
    <s v="CRISIL Ultra Short Term Debt Index"/>
    <n v="5000"/>
    <n v="1000"/>
  </r>
  <r>
    <x v="455"/>
    <x v="33"/>
    <n v="5.78"/>
    <n v="4.75"/>
    <n v="4.4800000000000004"/>
    <n v="0.49"/>
    <n v="64.704618689581096"/>
    <n v="27.831159917638988"/>
    <n v="32.849043231750528"/>
    <n v="37.714793329083179"/>
    <n v="85.82375478927203"/>
    <n v="19.998369944029982"/>
    <n v="65.361807188381704"/>
    <n v="56.653787158955026"/>
    <n v="4.4264935064935065"/>
    <n v="5.3506493506493946E-2"/>
    <n v="456"/>
    <n v="24"/>
    <s v="Open ended"/>
    <s v="CRISIL Ultra Short Term Debt Index"/>
    <n v="5000"/>
    <n v="1000"/>
  </r>
  <r>
    <x v="456"/>
    <x v="33"/>
    <n v="5.9"/>
    <n v="4.88"/>
    <n v="4.37"/>
    <n v="0.48"/>
    <n v="64.962406015037587"/>
    <n v="28.05422100205903"/>
    <n v="32.459248759744867"/>
    <n v="37.638371883497662"/>
    <n v="86.206896551724128"/>
    <n v="20.158015866566686"/>
    <n v="65.085292339326926"/>
    <n v="56.642233164511595"/>
    <n v="4.4264935064935065"/>
    <n v="-5.6493506493506374E-2"/>
    <n v="457"/>
    <n v="25"/>
    <s v="Open ended"/>
    <s v="NIFTY Ultra Short Duration Debt Index"/>
    <n v="5000"/>
    <n v="1000"/>
  </r>
  <r>
    <x v="457"/>
    <x v="26"/>
    <n v="5.53"/>
    <n v="4.5199999999999996"/>
    <n v="3.72"/>
    <n v="0.39"/>
    <n v="64.167561761546722"/>
    <n v="27.436513383665069"/>
    <n v="30.155917788802267"/>
    <n v="36.142425261809997"/>
    <n v="89.65517241379311"/>
    <n v="20.466871609936248"/>
    <n v="64.550338499601395"/>
    <n v="56.622590359253628"/>
    <n v="4.4728846153846158"/>
    <n v="-0.7528846153846156"/>
    <n v="458"/>
    <n v="32"/>
    <s v="Open ended"/>
    <s v="CRISIL Money Market Index"/>
    <n v="5000"/>
    <n v="1000"/>
  </r>
  <r>
    <x v="458"/>
    <x v="26"/>
    <n v="5.51"/>
    <n v="4.47"/>
    <n v="3.73"/>
    <n v="0.39"/>
    <n v="64.124597207303964"/>
    <n v="27.350720658888129"/>
    <n v="30.191353649893692"/>
    <n v="36.125812464074073"/>
    <n v="89.65517241379311"/>
    <n v="20.460743756904517"/>
    <n v="64.560952252393662"/>
    <n v="56.61693739858373"/>
    <n v="4.4728846153846158"/>
    <n v="-0.74288461538461581"/>
    <n v="459"/>
    <n v="33"/>
    <s v="Open ended"/>
    <s v="CRISIL Money Market Index"/>
    <n v="5000"/>
    <n v="1000"/>
  </r>
  <r>
    <x v="459"/>
    <x v="29"/>
    <n v="5.47"/>
    <n v="3.94"/>
    <n v="5.12"/>
    <n v="0.54"/>
    <n v="64.038668098818476"/>
    <n v="26.441317776252575"/>
    <n v="35.116938341601703"/>
    <n v="38.298598123440314"/>
    <n v="83.908045977011497"/>
    <n v="19.68626253516706"/>
    <n v="65.902393077950961"/>
    <n v="56.601908825460775"/>
    <n v="5.0554237288135591"/>
    <n v="6.4576271186441048E-2"/>
    <n v="460"/>
    <n v="10"/>
    <s v="Open ended"/>
    <s v="NIFTY Corporate Bond Index"/>
    <n v="5000"/>
    <n v="1000"/>
  </r>
  <r>
    <x v="460"/>
    <x v="27"/>
    <n v="3.49"/>
    <n v="14.55"/>
    <n v="9.64"/>
    <n v="1.75"/>
    <n v="59.785177228786246"/>
    <n v="44.64653397391902"/>
    <n v="51.133947554925584"/>
    <n v="50.917969415395746"/>
    <n v="37.547892720306521"/>
    <n v="7.5950513432437559"/>
    <n v="86.844985187407559"/>
    <n v="56.557204184626393"/>
    <n v="10.044583333333334"/>
    <n v="-0.40458333333333307"/>
    <n v="461"/>
    <n v="10"/>
    <s v="Open ended"/>
    <s v="NIFTY 100 - TRI"/>
    <n v="1000"/>
    <n v="1000"/>
  </r>
  <r>
    <x v="461"/>
    <x v="26"/>
    <n v="5.5"/>
    <n v="4.49"/>
    <n v="3.67"/>
    <n v="0.39"/>
    <n v="64.103114930182585"/>
    <n v="27.385037748798908"/>
    <n v="29.978738483345147"/>
    <n v="36.025503552348766"/>
    <n v="89.65517241379311"/>
    <n v="20.49153298024946"/>
    <n v="64.50762375323464"/>
    <n v="56.553450817931321"/>
    <n v="4.4728846153846158"/>
    <n v="-0.80288461538461586"/>
    <n v="462"/>
    <n v="34"/>
    <s v="Open ended"/>
    <s v="CRISIL Money Market Index"/>
    <n v="5000"/>
    <n v="1000"/>
  </r>
  <r>
    <x v="462"/>
    <x v="29"/>
    <n v="4.88"/>
    <n v="3.61"/>
    <n v="5.31"/>
    <n v="0.56999999999999995"/>
    <n v="62.771213748657352"/>
    <n v="25.875085792724782"/>
    <n v="35.790219702338767"/>
    <n v="38.211878338718293"/>
    <n v="82.758620689655174"/>
    <n v="19.094537518679722"/>
    <n v="66.927290870616559"/>
    <n v="56.52741705942708"/>
    <n v="5.0554237288135591"/>
    <n v="0.25457627118644055"/>
    <n v="463"/>
    <n v="11"/>
    <s v="Open ended"/>
    <s v="CRISIL Corporate Bond Composite Index"/>
    <n v="1000"/>
    <n v="1000"/>
  </r>
  <r>
    <x v="463"/>
    <x v="31"/>
    <n v="5.42"/>
    <n v="3.56"/>
    <n v="5.88"/>
    <n v="0.62"/>
    <n v="63.931256713211596"/>
    <n v="25.789293067947845"/>
    <n v="37.810063784549961"/>
    <n v="39.428071155301652"/>
    <n v="80.842911877394627"/>
    <n v="19.500534348892867"/>
    <n v="66.224083732975487"/>
    <n v="56.480784480243358"/>
    <n v="5.2778260869565221"/>
    <n v="0.60217391304347778"/>
    <n v="464"/>
    <n v="12"/>
    <s v="Open ended"/>
    <s v="Nifty Short Duration Debt Index"/>
    <n v="5000"/>
    <n v="1000"/>
  </r>
  <r>
    <x v="464"/>
    <x v="29"/>
    <n v="5.52"/>
    <n v="3.47"/>
    <n v="5.77"/>
    <n v="0.6"/>
    <n v="64.146079484425343"/>
    <n v="25.634866163349351"/>
    <n v="37.420269312544292"/>
    <n v="39.229810402162016"/>
    <n v="81.609195402298852"/>
    <n v="19.732706387255888"/>
    <n v="65.821949966433891"/>
    <n v="56.472691543264197"/>
    <n v="5.0554237288135591"/>
    <n v="0.71457627118644051"/>
    <n v="465"/>
    <n v="12"/>
    <s v="Open ended"/>
    <s v="NIFTY Corporate Bond Index"/>
    <n v="1000"/>
    <n v="1000"/>
  </r>
  <r>
    <x v="465"/>
    <x v="29"/>
    <n v="5.52"/>
    <n v="3.47"/>
    <n v="5.77"/>
    <n v="0.6"/>
    <n v="64.146079484425343"/>
    <n v="25.634866163349351"/>
    <n v="37.420269312544292"/>
    <n v="39.229810402162016"/>
    <n v="81.609195402298852"/>
    <n v="19.732706387255888"/>
    <n v="65.821949966433891"/>
    <n v="56.472691543264197"/>
    <n v="5.0554237288135591"/>
    <n v="0.71457627118644051"/>
    <n v="465"/>
    <n v="12"/>
    <s v="Open ended"/>
    <s v="NIFTY Corporate Bond Index"/>
    <n v="1000"/>
    <n v="1000"/>
  </r>
  <r>
    <x v="466"/>
    <x v="29"/>
    <n v="4.88"/>
    <n v="3.61"/>
    <n v="5.26"/>
    <n v="0.56999999999999995"/>
    <n v="62.771213748657352"/>
    <n v="25.875085792724782"/>
    <n v="35.613040396881637"/>
    <n v="38.123288685989721"/>
    <n v="82.758620689655174"/>
    <n v="19.121185448860423"/>
    <n v="66.88113530162704"/>
    <n v="56.471583340815414"/>
    <n v="5.0554237288135591"/>
    <n v="0.20457627118644073"/>
    <n v="467"/>
    <n v="14"/>
    <s v="Open ended"/>
    <s v="CRISIL Corporate Bond Composite Index"/>
    <n v="20000"/>
    <n v="1000"/>
  </r>
  <r>
    <x v="467"/>
    <x v="31"/>
    <n v="5.42"/>
    <n v="3.56"/>
    <n v="5.87"/>
    <n v="0.62"/>
    <n v="63.931256713211596"/>
    <n v="25.789293067947845"/>
    <n v="37.774627923458539"/>
    <n v="39.410353224755944"/>
    <n v="80.842911877394627"/>
    <n v="19.504815097646528"/>
    <n v="66.216669258639698"/>
    <n v="56.470071896386557"/>
    <n v="5.2778260869565221"/>
    <n v="0.592173913043478"/>
    <n v="468"/>
    <n v="13"/>
    <s v="Open ended"/>
    <s v="Nifty Short Duration Debt Index"/>
    <n v="5000"/>
    <n v="1000"/>
  </r>
  <r>
    <x v="468"/>
    <x v="20"/>
    <n v="5.21"/>
    <n v="3.93"/>
    <n v="2.92"/>
    <n v="0.28000000000000003"/>
    <n v="63.480128893662723"/>
    <n v="26.424159231297189"/>
    <n v="27.321048901488304"/>
    <n v="34.28379799886585"/>
    <n v="93.869731800766274"/>
    <n v="21.140121272827486"/>
    <n v="63.384235877295154"/>
    <n v="56.455390918948282"/>
    <n v="4.4280373831775703"/>
    <n v="-1.5080373831775704"/>
    <n v="469"/>
    <n v="102"/>
    <s v="Open ended"/>
    <s v="Nifty Liquid Fund Index"/>
    <n v="1000"/>
    <n v="1000"/>
  </r>
  <r>
    <x v="469"/>
    <x v="20"/>
    <n v="5.2"/>
    <n v="3.92"/>
    <n v="2.92"/>
    <n v="0.28000000000000003"/>
    <n v="63.458646616541344"/>
    <n v="26.407000686341803"/>
    <n v="27.321048901488304"/>
    <n v="34.274353979954967"/>
    <n v="93.869731800766274"/>
    <n v="21.132857193209393"/>
    <n v="63.396817632263911"/>
    <n v="56.453814348235035"/>
    <n v="4.4280373831775703"/>
    <n v="-1.5080373831775704"/>
    <n v="470"/>
    <n v="103"/>
    <s v="Open ended"/>
    <s v="Nifty Liquid Fund Index"/>
    <n v="1000"/>
    <n v="1000"/>
  </r>
  <r>
    <x v="470"/>
    <x v="40"/>
    <n v="2.66"/>
    <n v="13.23"/>
    <n v="10.31"/>
    <n v="1.75"/>
    <n v="58.002148227712134"/>
    <n v="42.381606039807828"/>
    <n v="53.508150248051024"/>
    <n v="51.068986581510288"/>
    <n v="37.547892720306521"/>
    <n v="8.0415311778218648"/>
    <n v="86.071659429363336"/>
    <n v="56.439381328172608"/>
    <n v="6.6483333333333334"/>
    <n v="3.6616666666666671"/>
    <n v="471"/>
    <n v="1"/>
    <s v="Open ended"/>
    <s v="NIFTY 50 Hybrid Composite Debt 50:50 Index"/>
    <n v="5000"/>
    <n v="1000"/>
  </r>
  <r>
    <x v="471"/>
    <x v="26"/>
    <n v="5.82"/>
    <n v="4.59"/>
    <n v="3.59"/>
    <n v="0.39"/>
    <n v="64.790547798066584"/>
    <n v="27.556623198352781"/>
    <n v="29.695251594613747"/>
    <n v="36.072722316426024"/>
    <n v="89.65517241379311"/>
    <n v="20.907011137106444"/>
    <n v="63.787994476123274"/>
    <n v="56.397152880692104"/>
    <n v="4.4728846153846158"/>
    <n v="-0.88288461538461593"/>
    <n v="472"/>
    <n v="35"/>
    <s v="Open ended"/>
    <s v="CRISIL Money Market Index"/>
    <n v="5000"/>
    <n v="1000"/>
  </r>
  <r>
    <x v="472"/>
    <x v="20"/>
    <n v="4.8099999999999996"/>
    <n v="3.77"/>
    <n v="2.82"/>
    <n v="0.28000000000000003"/>
    <n v="62.620837808807728"/>
    <n v="26.149622512010986"/>
    <n v="26.966690290574057"/>
    <n v="33.852399460651867"/>
    <n v="93.869731800766274"/>
    <n v="20.824806442606036"/>
    <n v="63.930377183618653"/>
    <n v="56.37622697642216"/>
    <n v="4.4280373831775703"/>
    <n v="-1.6080373831775705"/>
    <n v="473"/>
    <n v="104"/>
    <s v="Open ended"/>
    <s v="Nifty Liquid Fund Index"/>
    <n v="1000"/>
    <n v="1000"/>
  </r>
  <r>
    <x v="473"/>
    <x v="27"/>
    <n v="3.76"/>
    <n v="14.65"/>
    <n v="11.53"/>
    <n v="1.92"/>
    <n v="60.365198711063371"/>
    <n v="44.818119423472893"/>
    <n v="57.831325301204807"/>
    <n v="54.434138219856948"/>
    <n v="31.034482758620683"/>
    <n v="8.3414199035900509"/>
    <n v="85.552236919715739"/>
    <n v="56.363749029512583"/>
    <n v="10.044583333333334"/>
    <n v="1.4854166666666657"/>
    <n v="474"/>
    <n v="11"/>
    <s v="Open ended"/>
    <s v="NIFTY 100 - TRI"/>
    <n v="1000"/>
    <n v="1000"/>
  </r>
  <r>
    <x v="474"/>
    <x v="16"/>
    <n v="4.5"/>
    <n v="3.32"/>
    <n v="5.17"/>
    <n v="0.56999999999999995"/>
    <n v="61.954887218045108"/>
    <n v="25.377487989018533"/>
    <n v="35.294117647058819"/>
    <n v="37.651282663843986"/>
    <n v="82.758620689655174"/>
    <n v="18.916669510652707"/>
    <n v="67.23536729756043"/>
    <n v="56.324138328725894"/>
    <n v="4.9189795918367345"/>
    <n v="0.25102040816326543"/>
    <n v="475"/>
    <n v="8"/>
    <s v="Open ended"/>
    <s v="NIFTY Banking and PSU Debt Index"/>
    <n v="1000"/>
    <n v="1000"/>
  </r>
  <r>
    <x v="475"/>
    <x v="29"/>
    <n v="5.51"/>
    <n v="3.47"/>
    <n v="5.62"/>
    <n v="0.6"/>
    <n v="64.124597207303964"/>
    <n v="25.634866163349351"/>
    <n v="36.888731396172922"/>
    <n v="38.95974498855206"/>
    <n v="81.609195402298852"/>
    <n v="19.79015439133163"/>
    <n v="65.722447104581292"/>
    <n v="56.312783120996073"/>
    <n v="5.0554237288135591"/>
    <n v="0.56457627118644105"/>
    <n v="476"/>
    <n v="15"/>
    <s v="Open ended"/>
    <s v="NIFTY Corporate Bond Index"/>
    <n v="1000"/>
    <n v="1000"/>
  </r>
  <r>
    <x v="476"/>
    <x v="41"/>
    <n v="-0.51"/>
    <n v="18.09"/>
    <n v="11.49"/>
    <n v="2.12"/>
    <n v="51.192266380236305"/>
    <n v="50.720658888126295"/>
    <n v="57.689581856839126"/>
    <n v="54.299441870904715"/>
    <n v="23.371647509578541"/>
    <n v="3.8945134350127768"/>
    <n v="93.254504859798274"/>
    <n v="56.306259027796557"/>
    <n v="12.223750000000001"/>
    <n v="-0.73375000000000057"/>
    <n v="477"/>
    <n v="1"/>
    <s v="Open ended"/>
    <s v="S&amp;P BSE Health Care - TRI"/>
    <n v="5000"/>
    <n v="1000"/>
  </r>
  <r>
    <x v="477"/>
    <x v="41"/>
    <n v="-0.51"/>
    <n v="18.09"/>
    <n v="11.49"/>
    <n v="2.12"/>
    <n v="51.192266380236305"/>
    <n v="50.720658888126295"/>
    <n v="57.689581856839126"/>
    <n v="54.299441870904715"/>
    <n v="23.371647509578541"/>
    <n v="3.8945134350127768"/>
    <n v="93.254504859798274"/>
    <n v="56.306259027796557"/>
    <n v="12.223750000000001"/>
    <n v="-0.73375000000000057"/>
    <n v="477"/>
    <n v="1"/>
    <s v="Open ended"/>
    <s v="S&amp;P BSE Health Care - TRI"/>
    <n v="5000"/>
    <n v="1000"/>
  </r>
  <r>
    <x v="478"/>
    <x v="41"/>
    <n v="-3.33"/>
    <n v="18.760000000000002"/>
    <n v="14.08"/>
    <n v="1.99"/>
    <n v="45.13426423200859"/>
    <n v="51.870281400137273"/>
    <n v="66.867469879518069"/>
    <n v="58.021672206201934"/>
    <n v="28.352490421455933"/>
    <n v="11.125210239903591"/>
    <n v="80.730570619601437"/>
    <n v="56.281601363365311"/>
    <n v="12.223750000000001"/>
    <n v="1.8562499999999993"/>
    <n v="479"/>
    <n v="3"/>
    <s v="Open ended"/>
    <s v="S&amp;P BSE Health Care - TRI"/>
    <n v="5000"/>
    <n v="1000"/>
  </r>
  <r>
    <x v="479"/>
    <x v="23"/>
    <n v="3.59"/>
    <n v="15.53"/>
    <n v="10.25"/>
    <n v="1.9"/>
    <n v="60"/>
    <n v="46.328071379547019"/>
    <n v="53.295535081502479"/>
    <n v="52.546188954615346"/>
    <n v="31.800766283524908"/>
    <n v="6.8363858931966899"/>
    <n v="88.159032292836187"/>
    <n v="56.26304412139794"/>
    <n v="10.023387096774194"/>
    <n v="0.22661290322580641"/>
    <n v="480"/>
    <n v="15"/>
    <s v="Open ended"/>
    <s v="NIFTY 500 - TRI"/>
    <n v="1000"/>
    <n v="1000"/>
  </r>
  <r>
    <x v="480"/>
    <x v="18"/>
    <n v="9.44"/>
    <n v="10.57"/>
    <n v="6.2"/>
    <n v="0.94"/>
    <n v="72.567132116004302"/>
    <n v="37.817433081674679"/>
    <n v="38.944011339475551"/>
    <n v="45.330662017441043"/>
    <n v="68.582375478927204"/>
    <n v="19.745569175135966"/>
    <n v="65.799670964298627"/>
    <n v="56.260842619526983"/>
    <n v="6.9120588235294118"/>
    <n v="-0.71205882352941163"/>
    <n v="481"/>
    <n v="5"/>
    <s v="Open ended"/>
    <s v="MSCI Europe Index (Total Return Net)"/>
    <n v="1000"/>
    <n v="1000"/>
  </r>
  <r>
    <x v="481"/>
    <x v="18"/>
    <n v="9.44"/>
    <n v="10.57"/>
    <n v="6.2"/>
    <n v="0.94"/>
    <n v="72.567132116004302"/>
    <n v="37.817433081674679"/>
    <n v="38.944011339475551"/>
    <n v="45.330662017441043"/>
    <n v="68.582375478927204"/>
    <n v="19.745569175135966"/>
    <n v="65.799670964298627"/>
    <n v="56.260842619526983"/>
    <n v="6.9120588235294118"/>
    <n v="-0.71205882352941163"/>
    <n v="481"/>
    <n v="5"/>
    <s v="Open ended"/>
    <s v="MSCI Europe Index (Total Return Net)"/>
    <n v="1000"/>
    <n v="1000"/>
  </r>
  <r>
    <x v="482"/>
    <x v="26"/>
    <n v="5.82"/>
    <n v="4.37"/>
    <n v="4.4800000000000004"/>
    <n v="0.51"/>
    <n v="64.790547798066584"/>
    <n v="27.179135209334255"/>
    <n v="32.849043231750528"/>
    <n v="37.536371738288857"/>
    <n v="85.057471264367805"/>
    <n v="20.277351601653599"/>
    <n v="64.878596782997818"/>
    <n v="56.252202880985834"/>
    <n v="4.4728846153846158"/>
    <n v="7.1153846153846345E-3"/>
    <n v="483"/>
    <n v="36"/>
    <s v="Open ended"/>
    <s v="CRISIL Money Market Index"/>
    <n v="1000"/>
    <n v="1000"/>
  </r>
  <r>
    <x v="483"/>
    <x v="12"/>
    <n v="1.77"/>
    <n v="12.46"/>
    <n v="11.09"/>
    <n v="1.77"/>
    <n v="56.090225563909769"/>
    <n v="41.060398078242969"/>
    <n v="56.27214741318214"/>
    <n v="51.672238242845914"/>
    <n v="36.781609195402297"/>
    <n v="8.7304651235121309"/>
    <n v="84.878390832368893"/>
    <n v="56.251119128365758"/>
    <n v="9.219019607843137"/>
    <n v="1.8709803921568628"/>
    <n v="484"/>
    <n v="7"/>
    <s v="Open ended"/>
    <s v="CRISIL Hybrid 35+65 - Aggressive Index"/>
    <n v="5000"/>
    <n v="1000"/>
  </r>
  <r>
    <x v="484"/>
    <x v="2"/>
    <n v="1.1200000000000001"/>
    <n v="11.17"/>
    <n v="8"/>
    <n v="1.47"/>
    <n v="54.693877551020407"/>
    <n v="38.846945778997942"/>
    <n v="45.322466335931963"/>
    <n v="45.254092411869443"/>
    <n v="48.275862068965523"/>
    <n v="7.9674437685778035"/>
    <n v="86.199982586375199"/>
    <n v="56.246007369769899"/>
    <n v="9.2084615384615383"/>
    <n v="-1.2084615384615383"/>
    <n v="485"/>
    <n v="10"/>
    <s v="Open ended"/>
    <s v="CRISIL Hybrid 35+65 - Aggressive Index"/>
    <n v="5000"/>
    <n v="1000"/>
  </r>
  <r>
    <x v="485"/>
    <x v="2"/>
    <n v="1.1200000000000001"/>
    <n v="11.17"/>
    <n v="8"/>
    <n v="1.47"/>
    <n v="54.693877551020407"/>
    <n v="38.846945778997942"/>
    <n v="45.322466335931963"/>
    <n v="45.254092411869443"/>
    <n v="48.275862068965523"/>
    <n v="7.9674437685778035"/>
    <n v="86.199982586375199"/>
    <n v="56.246007369769899"/>
    <n v="9.2084615384615383"/>
    <n v="-1.2084615384615383"/>
    <n v="485"/>
    <n v="10"/>
    <s v="Open ended"/>
    <s v="CRISIL Hybrid 35+65 - Aggressive Index"/>
    <n v="5000"/>
    <n v="1000"/>
  </r>
  <r>
    <x v="486"/>
    <x v="25"/>
    <n v="5.28"/>
    <n v="4.42"/>
    <n v="4.93"/>
    <n v="0.59"/>
    <n v="63.630504833512347"/>
    <n v="27.264927934111192"/>
    <n v="34.443656980864631"/>
    <n v="38.127407837368139"/>
    <n v="81.992337164750964"/>
    <n v="19.260760721938301"/>
    <n v="66.639383837175856"/>
    <n v="56.221634169165768"/>
    <n v="5.1221052631578941"/>
    <n v="-0.19210526315789433"/>
    <n v="487"/>
    <n v="14"/>
    <s v="Open ended"/>
    <s v="CRISIL Low Duration Debt Index"/>
    <n v="5000"/>
    <n v="1000"/>
  </r>
  <r>
    <x v="487"/>
    <x v="3"/>
    <n v="2.12"/>
    <n v="12.36"/>
    <n v="9.23"/>
    <n v="1.64"/>
    <n v="56.84210526315789"/>
    <n v="40.888812628689095"/>
    <n v="49.681077250177182"/>
    <n v="48.475603466326902"/>
    <n v="41.762452107279692"/>
    <n v="7.9905338292461385"/>
    <n v="86.159989428147796"/>
    <n v="56.218412117020321"/>
    <n v="7.5967647058823538"/>
    <n v="1.6332352941176467"/>
    <n v="488"/>
    <n v="20"/>
    <s v="Open ended"/>
    <s v="CRISIL Hybrid 50+50 - Moderate Index"/>
    <n v="1000"/>
    <n v="1000"/>
  </r>
  <r>
    <x v="488"/>
    <x v="3"/>
    <n v="2.12"/>
    <n v="12.36"/>
    <n v="9.23"/>
    <n v="1.64"/>
    <n v="56.84210526315789"/>
    <n v="40.888812628689095"/>
    <n v="49.681077250177182"/>
    <n v="48.475603466326902"/>
    <n v="41.762452107279692"/>
    <n v="7.9905338292461385"/>
    <n v="86.159989428147796"/>
    <n v="56.218412117020321"/>
    <n v="7.5967647058823538"/>
    <n v="1.6332352941176467"/>
    <n v="488"/>
    <n v="20"/>
    <s v="Open ended"/>
    <s v="CRISIL Hybrid 50+50 - Moderate Index"/>
    <n v="1000"/>
    <n v="1000"/>
  </r>
  <r>
    <x v="489"/>
    <x v="3"/>
    <n v="2.12"/>
    <n v="12.36"/>
    <n v="9.23"/>
    <n v="1.64"/>
    <n v="56.84210526315789"/>
    <n v="40.888812628689095"/>
    <n v="49.681077250177182"/>
    <n v="48.475603466326902"/>
    <n v="41.762452107279692"/>
    <n v="7.9905338292461385"/>
    <n v="86.159989428147796"/>
    <n v="56.218412117020321"/>
    <n v="7.5967647058823538"/>
    <n v="1.6332352941176467"/>
    <n v="488"/>
    <n v="20"/>
    <s v="Open ended"/>
    <s v="CRISIL Hybrid 50+50 - Moderate Index"/>
    <n v="1000"/>
    <n v="1000"/>
  </r>
  <r>
    <x v="490"/>
    <x v="3"/>
    <n v="0.54"/>
    <n v="6.99"/>
    <n v="6.19"/>
    <n v="1.04"/>
    <n v="53.447905477980662"/>
    <n v="31.674673987645853"/>
    <n v="38.908575478384122"/>
    <n v="39.646271031081952"/>
    <n v="64.750957854406124"/>
    <n v="11.088996476587205"/>
    <n v="80.793294697598697"/>
    <n v="56.209198653542181"/>
    <n v="7.5967647058823538"/>
    <n v="-1.4067647058823534"/>
    <n v="491"/>
    <n v="23"/>
    <s v="Open ended"/>
    <s v="NIFTY 50 Hybrid Composite Debt 50:50 Index"/>
    <n v="1000"/>
    <n v="1000"/>
  </r>
  <r>
    <x v="491"/>
    <x v="25"/>
    <n v="5.31"/>
    <n v="4.37"/>
    <n v="4.95"/>
    <n v="0.59"/>
    <n v="63.694951664876477"/>
    <n v="27.179135209334255"/>
    <n v="34.514528703047482"/>
    <n v="38.149995247299316"/>
    <n v="81.992337164750964"/>
    <n v="19.3162709192436"/>
    <n v="66.543237355104907"/>
    <n v="56.208891253613629"/>
    <n v="5.1221052631578941"/>
    <n v="-0.17210526315789387"/>
    <n v="492"/>
    <n v="15"/>
    <s v="Open ended"/>
    <s v="CRISIL Low Duration Debt Index"/>
    <n v="5000"/>
    <n v="1000"/>
  </r>
  <r>
    <x v="492"/>
    <x v="30"/>
    <n v="1.87"/>
    <n v="8.4"/>
    <n v="7.05"/>
    <n v="1.18"/>
    <n v="56.305048335123523"/>
    <n v="34.094028826355526"/>
    <n v="41.956059532246634"/>
    <n v="42.467248081054677"/>
    <n v="59.38697318007663"/>
    <n v="11.262285100460545"/>
    <n v="80.493149996676379"/>
    <n v="56.203654834715593"/>
    <n v="6.1480952380952392"/>
    <n v="0.90190476190476065"/>
    <n v="493"/>
    <n v="4"/>
    <s v="Open ended"/>
    <s v="NIFTY 50 Equity Savings Index"/>
    <n v="1000"/>
    <n v="1000"/>
  </r>
  <r>
    <x v="493"/>
    <x v="3"/>
    <n v="1.84"/>
    <n v="5.37"/>
    <n v="5.8"/>
    <n v="0.86"/>
    <n v="56.240601503759393"/>
    <n v="28.89498970487303"/>
    <n v="37.526576895818565"/>
    <n v="38.679905660123069"/>
    <n v="71.64750957854406"/>
    <n v="13.979160079185151"/>
    <n v="75.787384495712743"/>
    <n v="56.198676348625739"/>
    <n v="7.5967647058823538"/>
    <n v="-1.7967647058823539"/>
    <n v="494"/>
    <n v="24"/>
    <s v="Open ended"/>
    <s v="CRISIL Hybrid 85+15 - Conservative Index"/>
    <n v="1000"/>
    <n v="1000"/>
  </r>
  <r>
    <x v="494"/>
    <x v="16"/>
    <n v="4.62"/>
    <n v="3.45"/>
    <n v="4.6900000000000004"/>
    <n v="0.53"/>
    <n v="62.212674543501613"/>
    <n v="25.600549073438579"/>
    <n v="33.59319631467045"/>
    <n v="36.919297788067126"/>
    <n v="84.291187739463595"/>
    <n v="19.250128464718319"/>
    <n v="66.657799446880006"/>
    <n v="56.196895690619463"/>
    <n v="4.9189795918367345"/>
    <n v="-0.22897959183673411"/>
    <n v="495"/>
    <n v="9"/>
    <s v="Open ended"/>
    <s v="NIFTY Banking and PSU Debt Index"/>
    <n v="5000"/>
    <n v="1000"/>
  </r>
  <r>
    <x v="495"/>
    <x v="39"/>
    <n v="5.73"/>
    <n v="2.15"/>
    <n v="4.4400000000000004"/>
    <n v="0.39"/>
    <n v="64.59720730397423"/>
    <n v="23.369938229238162"/>
    <n v="32.707299787384834"/>
    <n v="36.284072823258711"/>
    <n v="89.65517241379311"/>
    <n v="21.617277957091286"/>
    <n v="62.557776256979146"/>
    <n v="56.195273579322418"/>
    <n v="3.9855555555555551"/>
    <n v="0.45444444444444532"/>
    <n v="496"/>
    <n v="2"/>
    <s v="Open ended"/>
    <s v=""/>
    <n v="5000"/>
    <n v="1000"/>
  </r>
  <r>
    <x v="496"/>
    <x v="30"/>
    <n v="1.87"/>
    <n v="8.4"/>
    <n v="7.03"/>
    <n v="1.18"/>
    <n v="56.305048335123523"/>
    <n v="34.094028826355526"/>
    <n v="41.885187810063783"/>
    <n v="42.431812219963255"/>
    <n v="59.38697318007663"/>
    <n v="11.26916089371392"/>
    <n v="80.481240773419188"/>
    <n v="56.182959598355581"/>
    <n v="6.1480952380952392"/>
    <n v="0.88190476190476108"/>
    <n v="497"/>
    <n v="5"/>
    <s v="Open ended"/>
    <s v="NIFTY 50 Equity Savings Index"/>
    <n v="1000"/>
    <n v="1000"/>
  </r>
  <r>
    <x v="497"/>
    <x v="27"/>
    <n v="3.75"/>
    <n v="14.65"/>
    <n v="11.22"/>
    <n v="1.92"/>
    <n v="60.343716433941999"/>
    <n v="44.818119423472893"/>
    <n v="56.732813607370659"/>
    <n v="53.880585917515596"/>
    <n v="31.034482758620683"/>
    <n v="8.124476590835819"/>
    <n v="85.927993759768384"/>
    <n v="56.180912088355065"/>
    <n v="10.044583333333334"/>
    <n v="1.175416666666667"/>
    <n v="498"/>
    <n v="12"/>
    <s v="Open ended"/>
    <s v="NIFTY 100 - TRI"/>
    <n v="1000"/>
    <n v="1000"/>
  </r>
  <r>
    <x v="498"/>
    <x v="40"/>
    <n v="2.63"/>
    <n v="13.15"/>
    <n v="10.01"/>
    <n v="1.75"/>
    <n v="57.937701396348004"/>
    <n v="42.244337680164726"/>
    <n v="52.445074415308291"/>
    <n v="50.483378790973163"/>
    <n v="37.547892720306521"/>
    <n v="7.9635172905462088"/>
    <n v="86.206783445820719"/>
    <n v="56.180358437018391"/>
    <n v="6.6483333333333334"/>
    <n v="3.3616666666666664"/>
    <n v="499"/>
    <n v="2"/>
    <s v="Open ended"/>
    <s v="NIFTY 50 Hybrid Composite Debt 50:50 Index"/>
    <n v="5000"/>
    <n v="1000"/>
  </r>
  <r>
    <x v="499"/>
    <x v="27"/>
    <n v="10.67"/>
    <n v="15.97"/>
    <n v="11.02"/>
    <n v="1.81"/>
    <n v="75.209452201933402"/>
    <n v="47.083047357584086"/>
    <n v="56.024096385542165"/>
    <n v="57.178852840432988"/>
    <n v="35.249042145593855"/>
    <n v="14.37077407443155"/>
    <n v="75.10908915899094"/>
    <n v="56.178959246362695"/>
    <n v="10.044583333333334"/>
    <n v="0.97541666666666593"/>
    <n v="500"/>
    <n v="13"/>
    <s v="Open ended"/>
    <s v="S&amp;P BSE 100 - TRI"/>
    <n v="1000"/>
    <n v="1000"/>
  </r>
  <r>
    <x v="500"/>
    <x v="30"/>
    <n v="1.87"/>
    <n v="8.4"/>
    <n v="7.01"/>
    <n v="1.18"/>
    <n v="56.305048335123523"/>
    <n v="34.094028826355526"/>
    <n v="41.814316087880933"/>
    <n v="42.396376358871834"/>
    <n v="59.38697318007663"/>
    <n v="11.276180973484331"/>
    <n v="80.469081638583646"/>
    <n v="56.162201884100988"/>
    <n v="6.1480952380952392"/>
    <n v="0.86190476190476062"/>
    <n v="501"/>
    <n v="6"/>
    <s v="Open ended"/>
    <s v="NIFTY 50 Equity Savings Index"/>
    <n v="1000"/>
    <n v="1000"/>
  </r>
  <r>
    <x v="501"/>
    <x v="16"/>
    <n v="5.15"/>
    <n v="3.75"/>
    <n v="5.4"/>
    <n v="0.62"/>
    <n v="63.351235230934478"/>
    <n v="26.11530542210021"/>
    <n v="36.109142452161585"/>
    <n v="38.559409898897755"/>
    <n v="80.842911877394627"/>
    <n v="19.272272250909808"/>
    <n v="66.619445284124396"/>
    <n v="56.145294239828637"/>
    <n v="4.9189795918367345"/>
    <n v="0.48102040816326586"/>
    <n v="502"/>
    <n v="10"/>
    <s v="Open ended"/>
    <s v="NIFTY Banking and PSU Debt Index"/>
    <n v="1000"/>
    <n v="1000"/>
  </r>
  <r>
    <x v="502"/>
    <x v="29"/>
    <n v="4.88"/>
    <n v="3.61"/>
    <n v="4.97"/>
    <n v="0.56999999999999995"/>
    <n v="62.771213748657352"/>
    <n v="25.875085792724782"/>
    <n v="34.585400425230326"/>
    <n v="37.609468700164072"/>
    <n v="82.758620689655174"/>
    <n v="19.285719724884807"/>
    <n v="66.596153575966241"/>
    <n v="56.14342791648739"/>
    <n v="5.0554237288135591"/>
    <n v="-8.5423728813559308E-2"/>
    <n v="503"/>
    <n v="16"/>
    <s v="Open ended"/>
    <s v="CRISIL Corporate Bond Composite Index"/>
    <n v="20000"/>
    <n v="1000"/>
  </r>
  <r>
    <x v="503"/>
    <x v="29"/>
    <n v="4.88"/>
    <n v="3.61"/>
    <n v="4.97"/>
    <n v="0.56999999999999995"/>
    <n v="62.771213748657352"/>
    <n v="25.875085792724782"/>
    <n v="34.585400425230326"/>
    <n v="37.609468700164072"/>
    <n v="82.758620689655174"/>
    <n v="19.285719724884807"/>
    <n v="66.596153575966241"/>
    <n v="56.14342791648739"/>
    <n v="5.0554237288135591"/>
    <n v="-8.5423728813559308E-2"/>
    <n v="503"/>
    <n v="16"/>
    <s v="Open ended"/>
    <s v="CRISIL Corporate Bond Composite Index"/>
    <n v="20000"/>
    <n v="1000"/>
  </r>
  <r>
    <x v="504"/>
    <x v="29"/>
    <n v="5.9"/>
    <n v="4.5"/>
    <n v="5.74"/>
    <n v="0.68"/>
    <n v="64.962406015037587"/>
    <n v="27.402196293754294"/>
    <n v="37.313961729270019"/>
    <n v="39.870120955768812"/>
    <n v="78.544061302681996"/>
    <n v="19.46556326686807"/>
    <n v="66.284655423838075"/>
    <n v="56.142239659514424"/>
    <n v="5.0554237288135591"/>
    <n v="0.68457627118644115"/>
    <n v="505"/>
    <n v="18"/>
    <s v="Open ended"/>
    <s v="NIFTY Corporate Bond Index"/>
    <n v="5000"/>
    <n v="1000"/>
  </r>
  <r>
    <x v="505"/>
    <x v="12"/>
    <n v="8.16"/>
    <n v="15.78"/>
    <n v="10.48"/>
    <n v="1.82"/>
    <n v="69.817400644468307"/>
    <n v="46.75703500343171"/>
    <n v="54.110559886605245"/>
    <n v="55.045870573225798"/>
    <n v="34.865900383141771"/>
    <n v="11.779640899298967"/>
    <n v="79.597063467497847"/>
    <n v="56.138676249272805"/>
    <n v="9.219019607843137"/>
    <n v="1.2609803921568634"/>
    <n v="506"/>
    <n v="8"/>
    <s v="Open ended"/>
    <s v="NIFTY 50 Hybrid Composite Debt 65:35 Index"/>
    <n v="1000"/>
    <n v="1000"/>
  </r>
  <r>
    <x v="506"/>
    <x v="12"/>
    <n v="8.16"/>
    <n v="15.78"/>
    <n v="10.48"/>
    <n v="1.82"/>
    <n v="69.817400644468307"/>
    <n v="46.75703500343171"/>
    <n v="54.110559886605245"/>
    <n v="55.045870573225798"/>
    <n v="34.865900383141771"/>
    <n v="11.779640899298967"/>
    <n v="79.597063467497847"/>
    <n v="56.138676249272805"/>
    <n v="9.219019607843137"/>
    <n v="1.2609803921568634"/>
    <n v="506"/>
    <n v="8"/>
    <s v="Open ended"/>
    <s v="NIFTY 50 Hybrid Composite Debt 65:35 Index"/>
    <n v="1000"/>
    <n v="1000"/>
  </r>
  <r>
    <x v="507"/>
    <x v="29"/>
    <n v="4.88"/>
    <n v="3.61"/>
    <n v="4.96"/>
    <n v="0.56999999999999995"/>
    <n v="62.771213748657352"/>
    <n v="25.875085792724782"/>
    <n v="34.549964564138904"/>
    <n v="37.591750769618358"/>
    <n v="82.758620689655174"/>
    <n v="19.291693745296893"/>
    <n v="66.585806269087058"/>
    <n v="56.131982124494741"/>
    <n v="5.0554237288135591"/>
    <n v="-9.5423728813559094E-2"/>
    <n v="508"/>
    <n v="19"/>
    <s v="Open ended"/>
    <s v="CRISIL Corporate Bond Composite Index"/>
    <n v="20000"/>
    <n v="1000"/>
  </r>
  <r>
    <x v="508"/>
    <x v="27"/>
    <n v="9.56"/>
    <n v="15.92"/>
    <n v="10.52"/>
    <n v="1.79"/>
    <n v="72.824919441460793"/>
    <n v="46.997254632807142"/>
    <n v="54.252303330970932"/>
    <n v="55.79031194361977"/>
    <n v="36.015325670498079"/>
    <n v="13.320698619495163"/>
    <n v="76.92787319872177"/>
    <n v="56.130955689114842"/>
    <n v="10.044583333333334"/>
    <n v="0.47541666666666593"/>
    <n v="509"/>
    <n v="14"/>
    <s v="Open ended"/>
    <s v="NIFTY 100 - TRI"/>
    <n v="1000"/>
    <n v="1000"/>
  </r>
  <r>
    <x v="509"/>
    <x v="41"/>
    <n v="-3.33"/>
    <n v="18.37"/>
    <n v="13.63"/>
    <n v="1.99"/>
    <n v="45.13426423200859"/>
    <n v="51.201098146877143"/>
    <n v="65.272856130403966"/>
    <n v="57.023610355666847"/>
    <n v="28.352490421455933"/>
    <n v="10.331051335235813"/>
    <n v="82.106094191769287"/>
    <n v="56.126451331139734"/>
    <n v="12.223750000000001"/>
    <n v="1.40625"/>
    <n v="510"/>
    <n v="4"/>
    <s v="Open ended"/>
    <s v="S&amp;P BSE Health Care - TRI"/>
    <n v="5000"/>
    <n v="1000"/>
  </r>
  <r>
    <x v="510"/>
    <x v="29"/>
    <n v="5.79"/>
    <n v="4.37"/>
    <n v="5.76"/>
    <n v="0.68"/>
    <n v="64.726100966702475"/>
    <n v="27.179135209334255"/>
    <n v="37.38483345145287"/>
    <n v="39.791377481867208"/>
    <n v="78.544061302681996"/>
    <n v="19.414238003480023"/>
    <n v="66.373553387738042"/>
    <n v="56.125092413538617"/>
    <n v="5.0554237288135591"/>
    <n v="0.70457627118644073"/>
    <n v="511"/>
    <n v="20"/>
    <s v="Open ended"/>
    <s v="NIFTY Corporate Bond Index"/>
    <n v="1000"/>
    <n v="1000"/>
  </r>
  <r>
    <x v="511"/>
    <x v="21"/>
    <n v="10.130000000000001"/>
    <n v="16.75"/>
    <n v="12.26"/>
    <n v="2.0099999999999998"/>
    <n v="74.049409237379166"/>
    <n v="48.421413864104331"/>
    <n v="60.418143160878813"/>
    <n v="59.54537758714654"/>
    <n v="27.586206896551737"/>
    <n v="12.822682217598059"/>
    <n v="77.790462909810202"/>
    <n v="56.116856245163753"/>
    <n v="10.412619047619048"/>
    <n v="1.8473809523809521"/>
    <n v="512"/>
    <n v="15"/>
    <s v="Open ended"/>
    <s v="NIFTY LargeMidcap 250 - TRI"/>
    <n v="5000"/>
    <n v="1000"/>
  </r>
  <r>
    <x v="512"/>
    <x v="18"/>
    <n v="8.93"/>
    <n v="10.98"/>
    <n v="9.32"/>
    <n v="1.38"/>
    <n v="71.471535982814174"/>
    <n v="38.52093342484558"/>
    <n v="50"/>
    <n v="50.850587224016508"/>
    <n v="51.724137931034477"/>
    <n v="16.725918190198698"/>
    <n v="71.029859891335377"/>
    <n v="56.113793067600717"/>
    <n v="6.9120588235294118"/>
    <n v="2.4079411764705885"/>
    <n v="513"/>
    <n v="7"/>
    <s v="Open ended"/>
    <s v="MSCI World Index-Net Dividend"/>
    <n v="1000"/>
    <n v="1000"/>
  </r>
  <r>
    <x v="513"/>
    <x v="25"/>
    <n v="5.28"/>
    <n v="4.34"/>
    <n v="4.87"/>
    <n v="0.59"/>
    <n v="63.630504833512347"/>
    <n v="27.127659574468087"/>
    <n v="34.231041814316086"/>
    <n v="37.979919746200935"/>
    <n v="81.992337164750964"/>
    <n v="19.353053923813533"/>
    <n v="66.479527322334746"/>
    <n v="56.107925994871898"/>
    <n v="5.1221052631578941"/>
    <n v="-0.25210526315789394"/>
    <n v="514"/>
    <n v="16"/>
    <s v="Open ended"/>
    <s v="CRISIL Low Duration Debt Index"/>
    <n v="5000"/>
    <n v="1000"/>
  </r>
  <r>
    <x v="514"/>
    <x v="18"/>
    <n v="8.93"/>
    <n v="10.98"/>
    <n v="9.31"/>
    <n v="1.38"/>
    <n v="71.471535982814174"/>
    <n v="38.52093342484558"/>
    <n v="49.964564138908571"/>
    <n v="50.832869293470793"/>
    <n v="51.724137931034477"/>
    <n v="16.729458701880748"/>
    <n v="71.02372754521727"/>
    <n v="56.103401015798333"/>
    <n v="6.9120588235294118"/>
    <n v="2.3979411764705887"/>
    <n v="515"/>
    <n v="8"/>
    <s v="Open ended"/>
    <s v="MSCI World Index-Net Dividend"/>
    <n v="1000"/>
    <n v="1000"/>
  </r>
  <r>
    <x v="515"/>
    <x v="11"/>
    <n v="3.43"/>
    <n v="18.77"/>
    <n v="10.86"/>
    <n v="2.19"/>
    <n v="59.656283566058001"/>
    <n v="51.887439945092659"/>
    <n v="55.457122608079381"/>
    <n v="55.226050000779082"/>
    <n v="20.68965517241379"/>
    <n v="3.8886698298272844"/>
    <n v="93.264626280878929"/>
    <n v="56.101595363712718"/>
    <n v="11.362272727272726"/>
    <n v="-0.50227272727272698"/>
    <n v="516"/>
    <n v="25"/>
    <s v="Open ended"/>
    <s v="Nifty Midcap 150 - TRI"/>
    <n v="5000"/>
    <n v="1000"/>
  </r>
  <r>
    <x v="516"/>
    <x v="32"/>
    <n v="5.77"/>
    <n v="15.73"/>
    <n v="10.75"/>
    <n v="1.92"/>
    <n v="64.683136412459717"/>
    <n v="46.671242278654773"/>
    <n v="55.067328136073698"/>
    <n v="54.471664034125226"/>
    <n v="31.034482758620683"/>
    <n v="9.0128274958598205"/>
    <n v="84.389324857317021"/>
    <n v="56.091783921047039"/>
    <n v="12.057857142857143"/>
    <n v="-1.3078571428571433"/>
    <n v="517"/>
    <n v="5"/>
    <s v="Open ended"/>
    <s v="Nifty500 Multicap 50:25:25 - TRI"/>
    <n v="5000"/>
    <n v="1000"/>
  </r>
  <r>
    <x v="517"/>
    <x v="29"/>
    <n v="5.79"/>
    <n v="4.37"/>
    <n v="5.69"/>
    <n v="0.68"/>
    <n v="64.726100966702475"/>
    <n v="27.179135209334255"/>
    <n v="37.136782423812896"/>
    <n v="39.667351968047221"/>
    <n v="78.544061302681996"/>
    <n v="19.451220498527537"/>
    <n v="66.309497827325089"/>
    <n v="56.047065766525385"/>
    <n v="5.0554237288135591"/>
    <n v="0.63457627118644133"/>
    <n v="518"/>
    <n v="21"/>
    <s v="Open ended"/>
    <s v="NIFTY Corporate Bond Index"/>
    <n v="5000"/>
    <n v="1000"/>
  </r>
  <r>
    <x v="518"/>
    <x v="16"/>
    <n v="4.55"/>
    <n v="3.91"/>
    <n v="5.14"/>
    <n v="0.63"/>
    <n v="62.062298603651975"/>
    <n v="26.389842141386417"/>
    <n v="35.187810063784546"/>
    <n v="37.923317395038595"/>
    <n v="80.459770114942529"/>
    <n v="18.583893222784994"/>
    <n v="67.811752735701461"/>
    <n v="56.029539410180291"/>
    <n v="4.9189795918367345"/>
    <n v="0.22102040816326518"/>
    <n v="519"/>
    <n v="11"/>
    <s v="Open ended"/>
    <s v="NIFTY Banking and PSU Debt Index"/>
    <n v="5000"/>
    <n v="1000"/>
  </r>
  <r>
    <x v="519"/>
    <x v="25"/>
    <n v="5.39"/>
    <n v="4.3"/>
    <n v="4.68"/>
    <n v="0.56999999999999995"/>
    <n v="63.866809881847473"/>
    <n v="27.05902539464654"/>
    <n v="33.557760453579021"/>
    <n v="37.669949821552969"/>
    <n v="82.758620689655174"/>
    <n v="19.645546711098199"/>
    <n v="65.972914953910262"/>
    <n v="56.017858821667843"/>
    <n v="5.1221052631578941"/>
    <n v="-0.44210526315789433"/>
    <n v="520"/>
    <n v="17"/>
    <s v="Open ended"/>
    <s v="NIFTY Low Duration Debt Index"/>
    <n v="1000"/>
    <n v="1000"/>
  </r>
  <r>
    <x v="520"/>
    <x v="16"/>
    <n v="4.55"/>
    <n v="3.91"/>
    <n v="5.12"/>
    <n v="0.63"/>
    <n v="62.062298603651975"/>
    <n v="26.389842141386417"/>
    <n v="35.116938341601703"/>
    <n v="37.887881533947173"/>
    <n v="80.459770114942529"/>
    <n v="18.595424158430848"/>
    <n v="67.791780569304038"/>
    <n v="56.006828438035228"/>
    <n v="4.9189795918367345"/>
    <n v="0.20102040816326561"/>
    <n v="521"/>
    <n v="12"/>
    <s v="Open ended"/>
    <s v="NIFTY Banking and PSU Debt Index"/>
    <n v="5000"/>
    <n v="1000"/>
  </r>
  <r>
    <x v="521"/>
    <x v="21"/>
    <n v="10.199999999999999"/>
    <n v="16.59"/>
    <n v="12.26"/>
    <n v="2.0099999999999998"/>
    <n v="74.19978517722879"/>
    <n v="48.14687714481812"/>
    <n v="60.418143160878813"/>
    <n v="59.493091759330596"/>
    <n v="27.586206896551737"/>
    <n v="13.033748778005746"/>
    <n v="77.424884903405285"/>
    <n v="55.999318829654555"/>
    <n v="10.412619047619048"/>
    <n v="1.8473809523809521"/>
    <n v="522"/>
    <n v="16"/>
    <s v="Open ended"/>
    <s v="NIFTY LargeMidcap 250 - TRI"/>
    <n v="5000"/>
    <n v="1000"/>
  </r>
  <r>
    <x v="522"/>
    <x v="17"/>
    <n v="-9.4"/>
    <n v="27.63"/>
    <n v="22.39"/>
    <n v="1.94"/>
    <n v="32.09452201933405"/>
    <n v="67.089910775566224"/>
    <n v="96.314670446491846"/>
    <n v="74.703212859782596"/>
    <n v="30.268199233716466"/>
    <n v="32.153256123419702"/>
    <n v="44.308926765461955"/>
    <n v="55.995887929685907"/>
    <n v="20.878999999999998"/>
    <n v="1.5110000000000028"/>
    <n v="523"/>
    <n v="3"/>
    <s v="Open ended"/>
    <s v="NIFTY IT - TRI"/>
    <n v="5000"/>
    <n v="1000"/>
  </r>
  <r>
    <x v="523"/>
    <x v="17"/>
    <n v="-9.4"/>
    <n v="27.63"/>
    <n v="22.39"/>
    <n v="1.94"/>
    <n v="32.09452201933405"/>
    <n v="67.089910775566224"/>
    <n v="96.314670446491846"/>
    <n v="74.703212859782596"/>
    <n v="30.268199233716466"/>
    <n v="32.153256123419702"/>
    <n v="44.308926765461955"/>
    <n v="55.995887929685907"/>
    <n v="20.878999999999998"/>
    <n v="1.5110000000000028"/>
    <n v="523"/>
    <n v="3"/>
    <s v="Open ended"/>
    <s v="NIFTY IT - TRI"/>
    <n v="5000"/>
    <n v="1000"/>
  </r>
  <r>
    <x v="524"/>
    <x v="29"/>
    <n v="5.79"/>
    <n v="4.37"/>
    <n v="5.64"/>
    <n v="0.68"/>
    <n v="64.726100966702475"/>
    <n v="27.179135209334255"/>
    <n v="36.959603118355773"/>
    <n v="39.578762315318656"/>
    <n v="78.544061302681996"/>
    <n v="19.478238253953322"/>
    <n v="66.26270170222115"/>
    <n v="55.991071908885118"/>
    <n v="5.0554237288135591"/>
    <n v="0.58457627118644062"/>
    <n v="525"/>
    <n v="22"/>
    <s v="Open ended"/>
    <s v="NIFTY Corporate Bond Index"/>
    <n v="5000"/>
    <n v="1000"/>
  </r>
  <r>
    <x v="525"/>
    <x v="16"/>
    <n v="4.55"/>
    <n v="3.9"/>
    <n v="5.0999999999999996"/>
    <n v="0.63"/>
    <n v="62.062298603651975"/>
    <n v="26.372683596431024"/>
    <n v="35.046066619418845"/>
    <n v="37.84729810936912"/>
    <n v="80.459770114942529"/>
    <n v="18.613852292728147"/>
    <n v="67.759862104412406"/>
    <n v="55.978557109523294"/>
    <n v="4.9189795918367345"/>
    <n v="0.18102040816326515"/>
    <n v="526"/>
    <n v="13"/>
    <s v="Open ended"/>
    <s v="NIFTY Banking and PSU Debt Index"/>
    <n v="5000"/>
    <n v="1000"/>
  </r>
  <r>
    <x v="526"/>
    <x v="30"/>
    <n v="6.13"/>
    <n v="6.87"/>
    <n v="7.12"/>
    <n v="0.99"/>
    <n v="65.456498388829203"/>
    <n v="31.468771448181197"/>
    <n v="42.204110559886601"/>
    <n v="43.6339863921635"/>
    <n v="66.666666666666657"/>
    <n v="17.373766758070055"/>
    <n v="69.907753256171446"/>
    <n v="55.960598176791272"/>
    <n v="6.1480952380952392"/>
    <n v="0.97190476190476094"/>
    <n v="527"/>
    <n v="7"/>
    <s v="Open ended"/>
    <s v="NIFTY 50 Equity Savings Index"/>
    <n v="5000"/>
    <n v="1000"/>
  </r>
  <r>
    <x v="527"/>
    <x v="23"/>
    <n v="5.86"/>
    <n v="15.63"/>
    <n v="12.8"/>
    <n v="2.08"/>
    <n v="64.876476906552099"/>
    <n v="46.4996568291009"/>
    <n v="62.331679659815734"/>
    <n v="58.091032259948555"/>
    <n v="24.904214559386961"/>
    <n v="9.956877489942034"/>
    <n v="82.754182302681528"/>
    <n v="55.960115345491403"/>
    <n v="10.023387096774194"/>
    <n v="2.7766129032258071"/>
    <n v="528"/>
    <n v="16"/>
    <s v="Open ended"/>
    <s v="NIFTY 500 - TRI"/>
    <n v="1000"/>
    <n v="1000"/>
  </r>
  <r>
    <x v="528"/>
    <x v="25"/>
    <n v="5.39"/>
    <n v="4.32"/>
    <n v="4.62"/>
    <n v="0.56999999999999995"/>
    <n v="63.866809881847473"/>
    <n v="27.093342484557315"/>
    <n v="33.345145287030476"/>
    <n v="37.573937365251929"/>
    <n v="82.758620689655174"/>
    <n v="19.676318051315221"/>
    <n v="65.919617429237391"/>
    <n v="55.956528212349113"/>
    <n v="5.1221052631578941"/>
    <n v="-0.50210526315789394"/>
    <n v="529"/>
    <n v="18"/>
    <s v="Open ended"/>
    <s v="NIFTY Low Duration Debt Index"/>
    <n v="1000"/>
    <n v="1000"/>
  </r>
  <r>
    <x v="529"/>
    <x v="12"/>
    <n v="2.4700000000000002"/>
    <n v="12.66"/>
    <n v="10.4"/>
    <n v="1.77"/>
    <n v="57.593984962406012"/>
    <n v="41.403568977350723"/>
    <n v="53.827072997873849"/>
    <n v="50.853404184623344"/>
    <n v="36.781609195402297"/>
    <n v="8.4721371532967176"/>
    <n v="85.325828001798129"/>
    <n v="55.953561391611778"/>
    <n v="9.219019607843137"/>
    <n v="1.1809803921568633"/>
    <n v="530"/>
    <n v="10"/>
    <s v="Open ended"/>
    <s v="CRISIL Hybrid 35+65 - Aggressive Index"/>
    <n v="5000"/>
    <n v="1000"/>
  </r>
  <r>
    <x v="530"/>
    <x v="25"/>
    <n v="5.69"/>
    <n v="4.6500000000000004"/>
    <n v="5.03"/>
    <n v="0.63"/>
    <n v="64.511278195488714"/>
    <n v="27.659574468085111"/>
    <n v="34.798015591778878"/>
    <n v="38.599135775412719"/>
    <n v="80.459770114942529"/>
    <n v="19.544323062574957"/>
    <n v="66.148239456080006"/>
    <n v="55.951570280461993"/>
    <n v="5.1221052631578941"/>
    <n v="-9.2105263157893802E-2"/>
    <n v="531"/>
    <n v="19"/>
    <s v="Open ended"/>
    <s v="NIFTY Low Duration Debt Index"/>
    <n v="5000"/>
    <n v="1000"/>
  </r>
  <r>
    <x v="531"/>
    <x v="21"/>
    <n v="4.5599999999999996"/>
    <n v="14.6"/>
    <n v="10.4"/>
    <n v="1.86"/>
    <n v="62.083780880773354"/>
    <n v="44.732326698695957"/>
    <n v="53.827072997873849"/>
    <n v="52.749990684700379"/>
    <n v="33.333333333333329"/>
    <n v="8.6790993920517288"/>
    <n v="84.967358889026258"/>
    <n v="55.950168397940082"/>
    <n v="10.412619047619048"/>
    <n v="-1.2619047619047308E-2"/>
    <n v="532"/>
    <n v="17"/>
    <s v="Open ended"/>
    <s v="NIFTY LargeMidcap 250 - TRI"/>
    <n v="1000"/>
    <n v="1000"/>
  </r>
  <r>
    <x v="532"/>
    <x v="42"/>
    <n v="2.69"/>
    <n v="15.32"/>
    <n v="10.01"/>
    <n v="1.92"/>
    <n v="58.066595059076256"/>
    <n v="45.967741935483872"/>
    <n v="52.445074415308291"/>
    <n v="51.626178800114559"/>
    <n v="31.034482758620683"/>
    <n v="6.0544691111712252"/>
    <n v="89.513351886595061"/>
    <n v="55.950048061361215"/>
    <n v="6.7733333333333334"/>
    <n v="3.2366666666666664"/>
    <n v="533"/>
    <n v="1"/>
    <s v="Open ended"/>
    <s v="NIFTY MNC - TRI"/>
    <n v="5000"/>
    <n v="1000"/>
  </r>
  <r>
    <x v="533"/>
    <x v="42"/>
    <n v="2.69"/>
    <n v="15.32"/>
    <n v="10.01"/>
    <n v="1.92"/>
    <n v="58.066595059076256"/>
    <n v="45.967741935483872"/>
    <n v="52.445074415308291"/>
    <n v="51.626178800114559"/>
    <n v="31.034482758620683"/>
    <n v="6.0544691111712252"/>
    <n v="89.513351886595061"/>
    <n v="55.950048061361215"/>
    <n v="6.7733333333333334"/>
    <n v="3.2366666666666664"/>
    <n v="533"/>
    <n v="1"/>
    <s v="Open ended"/>
    <s v="NIFTY MNC - TRI"/>
    <n v="5000"/>
    <n v="1000"/>
  </r>
  <r>
    <x v="534"/>
    <x v="25"/>
    <n v="5.39"/>
    <n v="4.3"/>
    <n v="4.6100000000000003"/>
    <n v="0.56999999999999995"/>
    <n v="63.866809881847473"/>
    <n v="27.05902539464654"/>
    <n v="33.309709425939047"/>
    <n v="37.545924307732982"/>
    <n v="82.758620689655174"/>
    <n v="19.696109759661358"/>
    <n v="65.885337184813295"/>
    <n v="55.933951622483605"/>
    <n v="5.1221052631578941"/>
    <n v="-0.51210526315789373"/>
    <n v="535"/>
    <n v="20"/>
    <s v="Open ended"/>
    <s v="NIFTY Low Duration Debt Index"/>
    <n v="1000"/>
    <n v="1000"/>
  </r>
  <r>
    <x v="535"/>
    <x v="16"/>
    <n v="4.55"/>
    <n v="3.91"/>
    <n v="5.05"/>
    <n v="0.63"/>
    <n v="62.062298603651975"/>
    <n v="26.389842141386417"/>
    <n v="34.868887313961729"/>
    <n v="37.763856020127186"/>
    <n v="80.459770114942529"/>
    <n v="18.636433737266085"/>
    <n v="67.720749895164403"/>
    <n v="55.927058012590329"/>
    <n v="4.9189795918367345"/>
    <n v="0.13102040816326532"/>
    <n v="536"/>
    <n v="14"/>
    <s v="Open ended"/>
    <s v="NIFTY Banking and PSU Debt Index"/>
    <n v="5000"/>
    <n v="1000"/>
  </r>
  <r>
    <x v="536"/>
    <x v="29"/>
    <n v="4.6399999999999997"/>
    <n v="2.68"/>
    <n v="5.51"/>
    <n v="0.61"/>
    <n v="62.25563909774435"/>
    <n v="24.279341111873716"/>
    <n v="36.498936924167261"/>
    <n v="37.984398615194621"/>
    <n v="81.226053639846739"/>
    <n v="19.3861008516661"/>
    <n v="66.422288364260027"/>
    <n v="55.904284808624006"/>
    <n v="5.0554237288135591"/>
    <n v="0.45457627118644073"/>
    <n v="537"/>
    <n v="23"/>
    <s v="Open ended"/>
    <s v="NIFTY Corporate Bond Index"/>
    <n v="1000"/>
    <n v="1000"/>
  </r>
  <r>
    <x v="537"/>
    <x v="25"/>
    <n v="5.69"/>
    <n v="4.6500000000000004"/>
    <n v="4.99"/>
    <n v="0.63"/>
    <n v="64.511278195488714"/>
    <n v="27.659574468085111"/>
    <n v="34.656272147413183"/>
    <n v="38.528264053229869"/>
    <n v="80.459770114942529"/>
    <n v="19.571762108366201"/>
    <n v="66.100713634658376"/>
    <n v="55.904252964015164"/>
    <n v="5.1221052631578941"/>
    <n v="-0.13210526315789384"/>
    <n v="538"/>
    <n v="21"/>
    <s v="Open ended"/>
    <s v="NIFTY Low Duration Debt Index"/>
    <n v="5000"/>
    <n v="1000"/>
  </r>
  <r>
    <x v="538"/>
    <x v="12"/>
    <n v="1.76"/>
    <n v="12.33"/>
    <n v="10.53"/>
    <n v="1.77"/>
    <n v="56.06874328678839"/>
    <n v="40.837336993822923"/>
    <n v="54.287739192062354"/>
    <n v="50.608819351535729"/>
    <n v="36.781609195402297"/>
    <n v="8.3274749328275082"/>
    <n v="85.576390317586529"/>
    <n v="55.893909554015067"/>
    <n v="9.219019607843137"/>
    <n v="1.3109803921568624"/>
    <n v="539"/>
    <n v="11"/>
    <s v="Open ended"/>
    <s v="CRISIL Hybrid 35+65 - Aggressive Index"/>
    <n v="5000"/>
    <n v="1000"/>
  </r>
  <r>
    <x v="539"/>
    <x v="25"/>
    <n v="5.39"/>
    <n v="4.3"/>
    <n v="4.57"/>
    <n v="0.56999999999999995"/>
    <n v="63.866809881847473"/>
    <n v="27.05902539464654"/>
    <n v="33.167965981573353"/>
    <n v="37.475052585550131"/>
    <n v="82.758620689655174"/>
    <n v="19.725411574769186"/>
    <n v="65.834584952292545"/>
    <n v="55.885827703261995"/>
    <n v="5.1221052631578941"/>
    <n v="-0.55210526315789377"/>
    <n v="540"/>
    <n v="22"/>
    <s v="Open ended"/>
    <s v="NIFTY Low Duration Debt Index"/>
    <n v="1000"/>
    <n v="1000"/>
  </r>
  <r>
    <x v="540"/>
    <x v="25"/>
    <n v="5.69"/>
    <n v="4.6500000000000004"/>
    <n v="4.97"/>
    <n v="0.63"/>
    <n v="64.511278195488714"/>
    <n v="27.659574468085111"/>
    <n v="34.585400425230326"/>
    <n v="38.49282819213844"/>
    <n v="80.459770114942529"/>
    <n v="19.585595442916052"/>
    <n v="66.07675359637993"/>
    <n v="55.880545023899842"/>
    <n v="5.1221052631578941"/>
    <n v="-0.1521052631578943"/>
    <n v="541"/>
    <n v="23"/>
    <s v="Open ended"/>
    <s v="NIFTY Low Duration Debt Index"/>
    <n v="5000"/>
    <n v="1000"/>
  </r>
  <r>
    <x v="541"/>
    <x v="25"/>
    <n v="5.69"/>
    <n v="4.6500000000000004"/>
    <n v="4.97"/>
    <n v="0.63"/>
    <n v="64.511278195488714"/>
    <n v="27.659574468085111"/>
    <n v="34.585400425230326"/>
    <n v="38.49282819213844"/>
    <n v="80.459770114942529"/>
    <n v="19.585595442916052"/>
    <n v="66.07675359637993"/>
    <n v="55.880545023899842"/>
    <n v="5.1221052631578941"/>
    <n v="-0.1521052631578943"/>
    <n v="541"/>
    <n v="23"/>
    <s v="Open ended"/>
    <s v="NIFTY Low Duration Debt Index"/>
    <n v="5000"/>
    <n v="1000"/>
  </r>
  <r>
    <x v="542"/>
    <x v="19"/>
    <n v="22.14"/>
    <n v="26.31"/>
    <n v="12.64"/>
    <n v="2.2200000000000002"/>
    <n v="99.849624060150362"/>
    <n v="64.824982841455054"/>
    <n v="61.764705882352942"/>
    <n v="70.299772605643057"/>
    <n v="19.540229885057457"/>
    <n v="21.160307890695833"/>
    <n v="63.349271629514192"/>
    <n v="55.872261681464437"/>
    <n v="9.4014285714285712"/>
    <n v="3.2385714285714293"/>
    <n v="543"/>
    <n v="3"/>
    <s v="Open ended"/>
    <s v="S&amp;P BSE India Infrastructure Index - TRI"/>
    <n v="5000"/>
    <n v="1000"/>
  </r>
  <r>
    <x v="543"/>
    <x v="23"/>
    <n v="3.59"/>
    <n v="15.53"/>
    <n v="9.83"/>
    <n v="1.9"/>
    <n v="60"/>
    <n v="46.328071379547019"/>
    <n v="51.807228915662648"/>
    <n v="51.802035871695431"/>
    <n v="31.800766283524908"/>
    <n v="6.8807012427112424"/>
    <n v="88.082275855921807"/>
    <n v="55.871778470709394"/>
    <n v="10.023387096774194"/>
    <n v="-0.19338709677419352"/>
    <n v="544"/>
    <n v="17"/>
    <s v="Open ended"/>
    <s v="NIFTY 500 - TRI"/>
    <n v="1000"/>
    <n v="1000"/>
  </r>
  <r>
    <x v="544"/>
    <x v="29"/>
    <n v="5.79"/>
    <n v="4.37"/>
    <n v="5.53"/>
    <n v="0.68"/>
    <n v="64.726100966702475"/>
    <n v="27.179135209334255"/>
    <n v="36.569808646350104"/>
    <n v="39.383865079315825"/>
    <n v="78.544061302681996"/>
    <n v="19.539430998260887"/>
    <n v="66.156712760025869"/>
    <n v="55.867126055334879"/>
    <n v="5.0554237288135591"/>
    <n v="0.47457627118644119"/>
    <n v="545"/>
    <n v="24"/>
    <s v="Open ended"/>
    <s v="NIFTY Corporate Bond Index"/>
    <n v="5000"/>
    <n v="1000"/>
  </r>
  <r>
    <x v="545"/>
    <x v="33"/>
    <n v="5.73"/>
    <n v="4.7699999999999996"/>
    <n v="3.36"/>
    <n v="0.43"/>
    <n v="64.59720730397423"/>
    <n v="27.865477007549767"/>
    <n v="28.880226789510981"/>
    <n v="35.719197957815268"/>
    <n v="88.122605363984675"/>
    <n v="20.920294870292039"/>
    <n v="63.764986375331631"/>
    <n v="55.831496913736707"/>
    <n v="4.4264935064935065"/>
    <n v="-1.0664935064935066"/>
    <n v="546"/>
    <n v="26"/>
    <s v="Open ended"/>
    <s v="NIFTY Ultra Short Duration Debt Index"/>
    <n v="1000"/>
    <n v="1000"/>
  </r>
  <r>
    <x v="546"/>
    <x v="12"/>
    <n v="2.4900000000000002"/>
    <n v="12.66"/>
    <n v="10.1"/>
    <n v="1.77"/>
    <n v="57.636949516648762"/>
    <n v="41.403568977350723"/>
    <n v="52.763997165131116"/>
    <n v="50.330459179100529"/>
    <n v="36.781609195402297"/>
    <n v="8.3299423463744819"/>
    <n v="85.572116631959886"/>
    <n v="55.75366104639081"/>
    <n v="9.219019607843137"/>
    <n v="0.88098039215686264"/>
    <n v="547"/>
    <n v="12"/>
    <s v="Open ended"/>
    <s v="CRISIL Hybrid 35+65 - Aggressive Index"/>
    <n v="5000"/>
    <n v="1000"/>
  </r>
  <r>
    <x v="547"/>
    <x v="26"/>
    <n v="5.66"/>
    <n v="4.26"/>
    <n v="4.3899999999999997"/>
    <n v="0.55000000000000004"/>
    <n v="64.446831364124591"/>
    <n v="26.990391214824989"/>
    <n v="32.530120481927703"/>
    <n v="37.251543878236262"/>
    <n v="83.524904214559385"/>
    <n v="20.216948098681144"/>
    <n v="64.983218719101245"/>
    <n v="55.752802672533285"/>
    <n v="4.4728846153846158"/>
    <n v="-8.2884615384616112E-2"/>
    <n v="548"/>
    <n v="37"/>
    <s v="Open ended"/>
    <s v="Nifty Money Market Index"/>
    <n v="1000"/>
    <n v="1000"/>
  </r>
  <r>
    <x v="548"/>
    <x v="13"/>
    <n v="0.5"/>
    <n v="12.59"/>
    <n v="9.52"/>
    <n v="1.76"/>
    <n v="53.361976369495167"/>
    <n v="41.283459162663014"/>
    <n v="50.708717221828479"/>
    <n v="48.411791633612182"/>
    <n v="37.164750957854409"/>
    <n v="6.3477798153144445"/>
    <n v="89.005322844615193"/>
    <n v="55.748414267423492"/>
    <n v="10.461"/>
    <n v="-0.94100000000000072"/>
    <n v="549"/>
    <n v="16"/>
    <s v="Open ended"/>
    <s v="NIFTY 500 - TRI"/>
    <n v="1000"/>
    <n v="1000"/>
  </r>
  <r>
    <x v="549"/>
    <x v="12"/>
    <n v="5.17"/>
    <n v="15.21"/>
    <n v="11.25"/>
    <n v="1.98"/>
    <n v="63.394199785177229"/>
    <n v="45.778997940974612"/>
    <n v="56.839121190644939"/>
    <n v="54.832099934650302"/>
    <n v="28.735632183908045"/>
    <n v="8.9030960690686385"/>
    <n v="84.579385263706371"/>
    <n v="55.744804329228757"/>
    <n v="9.219019607843137"/>
    <n v="2.030980392156863"/>
    <n v="550"/>
    <n v="13"/>
    <s v="Open ended"/>
    <s v="NIFTY 50 Hybrid Composite Debt 65:35 Index"/>
    <n v="5000"/>
    <n v="1000"/>
  </r>
  <r>
    <x v="550"/>
    <x v="32"/>
    <n v="5.78"/>
    <n v="15.73"/>
    <n v="10.39"/>
    <n v="1.92"/>
    <n v="64.704618689581096"/>
    <n v="46.671242278654773"/>
    <n v="53.79163713678242"/>
    <n v="53.838114989903858"/>
    <n v="31.034482758620683"/>
    <n v="9.0829130246994438"/>
    <n v="84.267933160491452"/>
    <n v="55.744661474729966"/>
    <n v="12.057857142857143"/>
    <n v="-1.6678571428571427"/>
    <n v="551"/>
    <n v="6"/>
    <s v="Open ended"/>
    <s v="Nifty500 Multicap 50:25:25 - TRI"/>
    <n v="5000"/>
    <n v="1000"/>
  </r>
  <r>
    <x v="551"/>
    <x v="11"/>
    <n v="3.42"/>
    <n v="18.440000000000001"/>
    <n v="10.68"/>
    <n v="2.19"/>
    <n v="59.634801288936622"/>
    <n v="51.321207961564873"/>
    <n v="54.819277108433731"/>
    <n v="54.732961200473653"/>
    <n v="20.68965517241379"/>
    <n v="4.1741584960764628"/>
    <n v="92.770145405950274"/>
    <n v="55.73143074482784"/>
    <n v="11.362272727272726"/>
    <n v="-0.6822727272727267"/>
    <n v="552"/>
    <n v="26"/>
    <s v="Open ended"/>
    <s v="Nifty Midcap 150 - TRI"/>
    <n v="5000"/>
    <n v="1000"/>
  </r>
  <r>
    <x v="552"/>
    <x v="35"/>
    <n v="9.76"/>
    <n v="16.350000000000001"/>
    <n v="11.6"/>
    <n v="1.97"/>
    <n v="73.254564983888287"/>
    <n v="47.735072065888815"/>
    <n v="58.079376328844788"/>
    <n v="58.011122780966694"/>
    <n v="29.118773946360154"/>
    <n v="12.835728132784906"/>
    <n v="77.76786672187535"/>
    <n v="55.727221557542222"/>
    <n v="8.6269999999999989"/>
    <n v="2.9730000000000008"/>
    <n v="553"/>
    <n v="2"/>
    <s v="Open ended"/>
    <s v="NIFTY 50 Hybrid Composite Debt 65:35 Index"/>
    <n v="1000"/>
    <n v="1000"/>
  </r>
  <r>
    <x v="553"/>
    <x v="3"/>
    <n v="0.54"/>
    <n v="6.78"/>
    <n v="5.85"/>
    <n v="1.04"/>
    <n v="53.447905477980662"/>
    <n v="31.314344543582706"/>
    <n v="37.703756201275681"/>
    <n v="38.935762559308785"/>
    <n v="64.750957854406124"/>
    <n v="11.391497834023264"/>
    <n v="80.269346977160893"/>
    <n v="55.722957487546147"/>
    <n v="7.5967647058823538"/>
    <n v="-1.7467647058823541"/>
    <n v="554"/>
    <n v="25"/>
    <s v="Open ended"/>
    <s v="NIFTY 50 Hybrid Composite Debt 50:50 Index"/>
    <n v="1000"/>
    <n v="1000"/>
  </r>
  <r>
    <x v="554"/>
    <x v="16"/>
    <n v="5.25"/>
    <n v="2.84"/>
    <n v="5.67"/>
    <n v="0.64"/>
    <n v="63.566058002148232"/>
    <n v="24.55387783115992"/>
    <n v="37.065910701630045"/>
    <n v="38.612330300592646"/>
    <n v="80.076628352490417"/>
    <n v="19.91966773147643"/>
    <n v="65.498123419192552"/>
    <n v="55.699853093217065"/>
    <n v="4.9189795918367345"/>
    <n v="0.75102040816326543"/>
    <n v="555"/>
    <n v="15"/>
    <s v="Open ended"/>
    <s v="NIFTY Banking and PSU Debt Index"/>
    <n v="5000"/>
    <n v="1000"/>
  </r>
  <r>
    <x v="555"/>
    <x v="16"/>
    <n v="5.25"/>
    <n v="2.84"/>
    <n v="5.67"/>
    <n v="0.64"/>
    <n v="63.566058002148232"/>
    <n v="24.55387783115992"/>
    <n v="37.065910701630045"/>
    <n v="38.612330300592646"/>
    <n v="80.076628352490417"/>
    <n v="19.91966773147643"/>
    <n v="65.498123419192552"/>
    <n v="55.699853093217065"/>
    <n v="4.9189795918367345"/>
    <n v="0.75102040816326543"/>
    <n v="555"/>
    <n v="15"/>
    <s v="Open ended"/>
    <s v="NIFTY Banking and PSU Debt Index"/>
    <n v="5000"/>
    <n v="1000"/>
  </r>
  <r>
    <x v="556"/>
    <x v="27"/>
    <n v="10.67"/>
    <n v="15.97"/>
    <n v="10.58"/>
    <n v="1.81"/>
    <n v="75.209452201933402"/>
    <n v="47.083047357584086"/>
    <n v="54.464918497519491"/>
    <n v="56.399263896421651"/>
    <n v="35.249042145593855"/>
    <n v="14.58265150563283"/>
    <n v="74.742106683173148"/>
    <n v="55.697419155402578"/>
    <n v="10.044583333333334"/>
    <n v="0.53541666666666643"/>
    <n v="557"/>
    <n v="15"/>
    <s v="Open ended"/>
    <s v="S&amp;P BSE 100 - TRI"/>
    <n v="1000"/>
    <n v="1000"/>
  </r>
  <r>
    <x v="557"/>
    <x v="26"/>
    <n v="5.69"/>
    <n v="4.28"/>
    <n v="4.34"/>
    <n v="0.55000000000000004"/>
    <n v="64.511278195488714"/>
    <n v="27.024708304735761"/>
    <n v="32.352941176470587"/>
    <n v="37.186138718753767"/>
    <n v="83.524904214559385"/>
    <n v="20.280498134655097"/>
    <n v="64.873146827971539"/>
    <n v="55.692582120009618"/>
    <n v="4.4728846153846158"/>
    <n v="-0.13288461538461593"/>
    <n v="558"/>
    <n v="38"/>
    <s v="Open ended"/>
    <s v="Nifty Money Market Index"/>
    <n v="1000"/>
    <n v="1000"/>
  </r>
  <r>
    <x v="558"/>
    <x v="16"/>
    <n v="4.62"/>
    <n v="3.45"/>
    <n v="4.25"/>
    <n v="0.53"/>
    <n v="62.212674543501613"/>
    <n v="25.600549073438579"/>
    <n v="32.034018426647762"/>
    <n v="36.139708844055775"/>
    <n v="84.291187739463595"/>
    <n v="19.547329503769564"/>
    <n v="66.143032147180989"/>
    <n v="55.678409393689037"/>
    <n v="4.9189795918367345"/>
    <n v="-0.6689795918367345"/>
    <n v="559"/>
    <n v="17"/>
    <s v="Open ended"/>
    <s v="NIFTY Banking and PSU Debt Index"/>
    <n v="5000"/>
    <n v="1000"/>
  </r>
  <r>
    <x v="559"/>
    <x v="30"/>
    <n v="6.13"/>
    <n v="6.88"/>
    <n v="6.84"/>
    <n v="0.99"/>
    <n v="65.456498388829203"/>
    <n v="31.485929993136587"/>
    <n v="41.211906449326719"/>
    <n v="43.143031900370175"/>
    <n v="66.666666666666657"/>
    <n v="17.494734319530661"/>
    <n v="69.698231293653976"/>
    <n v="55.662740440265246"/>
    <n v="6.1480952380952392"/>
    <n v="0.69190476190476069"/>
    <n v="560"/>
    <n v="8"/>
    <s v="Open ended"/>
    <s v="NIFTY 50 Equity Savings Index"/>
    <n v="5000"/>
    <n v="1000"/>
  </r>
  <r>
    <x v="560"/>
    <x v="26"/>
    <n v="5.66"/>
    <n v="4.26"/>
    <n v="4.3099999999999996"/>
    <n v="0.55000000000000004"/>
    <n v="64.446831364124591"/>
    <n v="26.990391214824989"/>
    <n v="32.246633593196314"/>
    <n v="37.109800433870575"/>
    <n v="83.524904214559385"/>
    <n v="20.279158961378485"/>
    <n v="64.87546634412675"/>
    <n v="55.654992856606817"/>
    <n v="4.4728846153846158"/>
    <n v="-0.16288461538461618"/>
    <n v="561"/>
    <n v="39"/>
    <s v="Open ended"/>
    <s v="Nifty Money Market Index"/>
    <n v="1000"/>
    <n v="1000"/>
  </r>
  <r>
    <x v="561"/>
    <x v="23"/>
    <n v="5.86"/>
    <n v="15.53"/>
    <n v="12.38"/>
    <n v="2.08"/>
    <n v="64.876476906552099"/>
    <n v="46.328071379547019"/>
    <n v="60.843373493975903"/>
    <n v="57.295403542162475"/>
    <n v="24.904214559386961"/>
    <n v="9.7553683187250808"/>
    <n v="83.103206425420382"/>
    <n v="55.649557017283072"/>
    <n v="10.023387096774194"/>
    <n v="2.3566129032258072"/>
    <n v="562"/>
    <n v="18"/>
    <s v="Open ended"/>
    <s v="NIFTY 500 - TRI"/>
    <n v="1000"/>
    <n v="1000"/>
  </r>
  <r>
    <x v="562"/>
    <x v="3"/>
    <n v="6.89"/>
    <n v="8.67"/>
    <n v="8.31"/>
    <n v="1.24"/>
    <n v="67.089151450053691"/>
    <n v="34.557309540150996"/>
    <n v="46.420978029766125"/>
    <n v="46.9955121669391"/>
    <n v="57.088122605363978"/>
    <n v="16.463296351852254"/>
    <n v="71.484734258528562"/>
    <n v="55.640970299442685"/>
    <n v="7.5967647058823538"/>
    <n v="0.71323529411764675"/>
    <n v="563"/>
    <n v="26"/>
    <s v="Open ended"/>
    <s v="NIFTY 50"/>
    <n v="5000"/>
    <n v="1000"/>
  </r>
  <r>
    <x v="563"/>
    <x v="3"/>
    <n v="6.89"/>
    <n v="8.67"/>
    <n v="8.31"/>
    <n v="1.24"/>
    <n v="67.089151450053691"/>
    <n v="34.557309540150996"/>
    <n v="46.420978029766125"/>
    <n v="46.9955121669391"/>
    <n v="57.088122605363978"/>
    <n v="16.463296351852254"/>
    <n v="71.484734258528562"/>
    <n v="55.640970299442685"/>
    <n v="7.5967647058823538"/>
    <n v="0.71323529411764675"/>
    <n v="563"/>
    <n v="26"/>
    <s v="Open ended"/>
    <s v="NIFTY 50"/>
    <n v="5000"/>
    <n v="1000"/>
  </r>
  <r>
    <x v="564"/>
    <x v="3"/>
    <n v="1.84"/>
    <n v="5.17"/>
    <n v="5.38"/>
    <n v="0.86"/>
    <n v="56.240601503759393"/>
    <n v="28.551818805765272"/>
    <n v="36.038270729978741"/>
    <n v="37.832801307470831"/>
    <n v="71.64750957854406"/>
    <n v="14.322766366892623"/>
    <n v="75.192240947603281"/>
    <n v="55.626338285272254"/>
    <n v="7.5967647058823538"/>
    <n v="-2.2167647058823539"/>
    <n v="565"/>
    <n v="28"/>
    <s v="Open ended"/>
    <s v="CRISIL Hybrid 85+15 - Conservative Index"/>
    <n v="1000"/>
    <n v="1000"/>
  </r>
  <r>
    <x v="565"/>
    <x v="16"/>
    <n v="4.5"/>
    <n v="3.32"/>
    <n v="4.55"/>
    <n v="0.56999999999999995"/>
    <n v="61.954887218045108"/>
    <n v="25.377487989018533"/>
    <n v="33.097094259390502"/>
    <n v="36.552770970009831"/>
    <n v="82.758620689655174"/>
    <n v="19.279828274536644"/>
    <n v="66.606357867299522"/>
    <n v="55.61763012424359"/>
    <n v="4.9189795918367345"/>
    <n v="-0.36897959183673468"/>
    <n v="566"/>
    <n v="18"/>
    <s v="Open ended"/>
    <s v="NIFTY Banking and PSU Debt Index"/>
    <n v="1000"/>
    <n v="1000"/>
  </r>
  <r>
    <x v="566"/>
    <x v="25"/>
    <n v="5.42"/>
    <n v="4.47"/>
    <n v="4.66"/>
    <n v="0.62"/>
    <n v="63.931256713211596"/>
    <n v="27.350720658888129"/>
    <n v="33.486888731396171"/>
    <n v="37.734911906006843"/>
    <n v="80.842911877394627"/>
    <n v="19.590166404125288"/>
    <n v="66.068836459326107"/>
    <n v="55.595393037183612"/>
    <n v="5.1221052631578941"/>
    <n v="-0.46210526315789391"/>
    <n v="567"/>
    <n v="25"/>
    <s v="Open ended"/>
    <s v="NIFTY Low Duration Debt Index"/>
    <n v="1000"/>
    <n v="1000"/>
  </r>
  <r>
    <x v="567"/>
    <x v="28"/>
    <n v="1.4"/>
    <n v="16.29"/>
    <n v="10.39"/>
    <n v="2.08"/>
    <n v="55.295381310418904"/>
    <n v="47.632120796156492"/>
    <n v="53.79163713678242"/>
    <n v="52.244531069321937"/>
    <n v="24.904214559386961"/>
    <n v="4.0605100213240224"/>
    <n v="92.96699033842421"/>
    <n v="55.59006675911376"/>
    <n v="10.248999999999999"/>
    <n v="0.14100000000000179"/>
    <n v="568"/>
    <n v="3"/>
    <s v="Open ended"/>
    <s v="NIFTY 500 - TRI"/>
    <n v="5000"/>
    <n v="1000"/>
  </r>
  <r>
    <x v="568"/>
    <x v="29"/>
    <n v="5.05"/>
    <n v="3.69"/>
    <n v="5.32"/>
    <n v="0.67"/>
    <n v="63.136412459720724"/>
    <n v="26.012354152367884"/>
    <n v="35.825655563430189"/>
    <n v="38.343816519369604"/>
    <n v="78.927203065134094"/>
    <n v="19.237004410078907"/>
    <n v="66.680530976316774"/>
    <n v="55.573841770047522"/>
    <n v="5.0554237288135591"/>
    <n v="0.26457627118644123"/>
    <n v="569"/>
    <n v="25"/>
    <s v="Open ended"/>
    <s v="CRISIL Corporate Bond Index"/>
    <n v="5000"/>
    <n v="1000"/>
  </r>
  <r>
    <x v="569"/>
    <x v="11"/>
    <n v="4.3600000000000003"/>
    <n v="19.329999999999998"/>
    <n v="9.64"/>
    <n v="2.09"/>
    <n v="61.65413533834586"/>
    <n v="52.848318462594371"/>
    <n v="51.133947554925584"/>
    <n v="53.752296383910277"/>
    <n v="24.521072796934874"/>
    <n v="5.6444047435898268"/>
    <n v="90.223604205619637"/>
    <n v="55.562317442593766"/>
    <n v="11.362272727272726"/>
    <n v="-1.7222727272727258"/>
    <n v="570"/>
    <n v="27"/>
    <s v="Open ended"/>
    <s v="Nifty Midcap 150 - TRI"/>
    <n v="5000"/>
    <n v="1000"/>
  </r>
  <r>
    <x v="570"/>
    <x v="29"/>
    <n v="5.05"/>
    <n v="3.69"/>
    <n v="5.29"/>
    <n v="0.67"/>
    <n v="63.136412459720724"/>
    <n v="26.012354152367884"/>
    <n v="35.719347980155916"/>
    <n v="38.290662727732467"/>
    <n v="78.927203065134094"/>
    <n v="19.253211243223223"/>
    <n v="66.652459917881032"/>
    <n v="55.540247109620019"/>
    <n v="5.0554237288135591"/>
    <n v="0.23457627118644098"/>
    <n v="571"/>
    <n v="26"/>
    <s v="Open ended"/>
    <s v="CRISIL Corporate Bond Index"/>
    <n v="5000"/>
    <n v="1000"/>
  </r>
  <r>
    <x v="571"/>
    <x v="32"/>
    <n v="1.25"/>
    <n v="18.14"/>
    <n v="11.48"/>
    <n v="2.2599999999999998"/>
    <n v="54.973147153598276"/>
    <n v="50.806451612903224"/>
    <n v="57.654145995747697"/>
    <n v="55.063637912464472"/>
    <n v="18.00766283524904"/>
    <n v="3.4506044127875701"/>
    <n v="94.023377840230552"/>
    <n v="55.539579125102136"/>
    <n v="12.057857142857143"/>
    <n v="-0.57785714285714285"/>
    <n v="572"/>
    <n v="7"/>
    <s v="Open ended"/>
    <s v="Nifty500 Multicap 50:25:25 - TRI"/>
    <n v="5000"/>
    <n v="1000"/>
  </r>
  <r>
    <x v="572"/>
    <x v="29"/>
    <n v="4.13"/>
    <n v="1.96"/>
    <n v="4.43"/>
    <n v="0.5"/>
    <n v="61.160042964554236"/>
    <n v="23.043925875085797"/>
    <n v="32.671863926293412"/>
    <n v="35.481118318583292"/>
    <n v="85.440613026819918"/>
    <n v="19.820494099172379"/>
    <n v="65.669897189114309"/>
    <n v="55.518186713275199"/>
    <n v="5.0554237288135591"/>
    <n v="-0.62542372881355934"/>
    <n v="573"/>
    <n v="27"/>
    <s v="Open ended"/>
    <s v="CRISIL Corporate Bond Index"/>
    <n v="1000"/>
    <n v="1000"/>
  </r>
  <r>
    <x v="573"/>
    <x v="33"/>
    <n v="5.64"/>
    <n v="4.7"/>
    <n v="4.16"/>
    <n v="0.56999999999999995"/>
    <n v="64.403866809881833"/>
    <n v="27.745367192862048"/>
    <n v="31.715095676824944"/>
    <n v="37.061931358247449"/>
    <n v="82.758620689655174"/>
    <n v="20.116991560191099"/>
    <n v="65.156348522314715"/>
    <n v="55.509707982116197"/>
    <n v="4.4264935064935065"/>
    <n v="-0.26649350649350634"/>
    <n v="574"/>
    <n v="27"/>
    <s v="Open ended"/>
    <s v="CRISIL Ultra Short Term Debt Index"/>
    <n v="5000"/>
    <n v="1000"/>
  </r>
  <r>
    <x v="574"/>
    <x v="34"/>
    <n v="7.05"/>
    <n v="11.28"/>
    <n v="9.7200000000000006"/>
    <n v="1.56"/>
    <n v="67.432867883995698"/>
    <n v="39.035689773507208"/>
    <n v="51.417434443656987"/>
    <n v="50.905997730679793"/>
    <n v="44.827586206896555"/>
    <n v="14.237283413614579"/>
    <n v="75.340301765861881"/>
    <n v="55.494970858529506"/>
    <n v="7.9378947368421047"/>
    <n v="1.782105263157896"/>
    <n v="575"/>
    <n v="3"/>
    <s v="Open ended"/>
    <s v="CRISIL Hybrid 50+50 - Moderate Index"/>
    <n v="1000"/>
    <n v="1000"/>
  </r>
  <r>
    <x v="575"/>
    <x v="13"/>
    <n v="0.51"/>
    <n v="12.59"/>
    <n v="9.14"/>
    <n v="1.76"/>
    <n v="53.383458646616532"/>
    <n v="41.283459162663014"/>
    <n v="49.362154500354357"/>
    <n v="47.742806728299385"/>
    <n v="37.164750957854409"/>
    <n v="6.1623344184334421"/>
    <n v="89.326523694042862"/>
    <n v="55.49422202712401"/>
    <n v="10.461"/>
    <n v="-1.3209999999999997"/>
    <n v="576"/>
    <n v="17"/>
    <s v="Open ended"/>
    <s v="NIFTY 500 - TRI"/>
    <n v="1000"/>
    <n v="1000"/>
  </r>
  <r>
    <x v="576"/>
    <x v="25"/>
    <n v="5.4"/>
    <n v="4.4000000000000004"/>
    <n v="4.4400000000000004"/>
    <n v="0.6"/>
    <n v="63.888292158968852"/>
    <n v="27.230610844200413"/>
    <n v="32.707299787384834"/>
    <n v="37.300491578746318"/>
    <n v="81.609195402298852"/>
    <n v="19.773863247699399"/>
    <n v="65.750664193065717"/>
    <n v="55.490210688214297"/>
    <n v="5.1221052631578941"/>
    <n v="-0.68210526315789366"/>
    <n v="577"/>
    <n v="26"/>
    <s v="Open ended"/>
    <s v="CRISIL Low Duration Debt Index"/>
    <n v="5000"/>
    <n v="1000"/>
  </r>
  <r>
    <x v="577"/>
    <x v="25"/>
    <n v="5.4"/>
    <n v="4.3899999999999997"/>
    <n v="4.4400000000000004"/>
    <n v="0.6"/>
    <n v="63.888292158968852"/>
    <n v="27.213452299245027"/>
    <n v="32.707299787384834"/>
    <n v="37.295344015259701"/>
    <n v="81.609195402298852"/>
    <n v="19.779958393266437"/>
    <n v="65.740107091264065"/>
    <n v="55.484997631020576"/>
    <n v="5.1221052631578941"/>
    <n v="-0.68210526315789366"/>
    <n v="578"/>
    <n v="27"/>
    <s v="Open ended"/>
    <s v="CRISIL Low Duration Debt Index"/>
    <n v="5000"/>
    <n v="1000"/>
  </r>
  <r>
    <x v="578"/>
    <x v="12"/>
    <n v="5.18"/>
    <n v="15.21"/>
    <n v="10.92"/>
    <n v="1.98"/>
    <n v="63.415682062298593"/>
    <n v="45.778997940974612"/>
    <n v="55.669737774627912"/>
    <n v="54.251704682066062"/>
    <n v="28.735632183908045"/>
    <n v="8.8400510383149147"/>
    <n v="84.688582460136558"/>
    <n v="55.481906002044184"/>
    <n v="9.219019607843137"/>
    <n v="1.7009803921568629"/>
    <n v="579"/>
    <n v="14"/>
    <s v="Open ended"/>
    <s v="NIFTY 50 Hybrid Composite Debt 65:35 Index"/>
    <n v="5000"/>
    <n v="1000"/>
  </r>
  <r>
    <x v="579"/>
    <x v="19"/>
    <n v="22.21"/>
    <n v="26.31"/>
    <n v="12.36"/>
    <n v="2.2200000000000002"/>
    <n v="100"/>
    <n v="64.824982841455054"/>
    <n v="60.772501771793053"/>
    <n v="69.83374573833305"/>
    <n v="19.540229885057457"/>
    <n v="21.573521780830777"/>
    <n v="62.633564177407287"/>
    <n v="55.460321384782709"/>
    <n v="9.4014285714285712"/>
    <n v="2.9585714285714282"/>
    <n v="580"/>
    <n v="4"/>
    <s v="Open ended"/>
    <s v="S&amp;P BSE India Infrastructure Index - TRI"/>
    <n v="5000"/>
    <n v="1000"/>
  </r>
  <r>
    <x v="580"/>
    <x v="25"/>
    <n v="5.4"/>
    <n v="4.4000000000000004"/>
    <n v="4.3899999999999997"/>
    <n v="0.6"/>
    <n v="63.888292158968852"/>
    <n v="27.230610844200413"/>
    <n v="32.530120481927703"/>
    <n v="37.211901926017745"/>
    <n v="81.609195402298852"/>
    <n v="19.81247642565274"/>
    <n v="65.683784207008827"/>
    <n v="55.429195865335799"/>
    <n v="5.1221052631578941"/>
    <n v="-0.73210526315789437"/>
    <n v="581"/>
    <n v="28"/>
    <s v="Open ended"/>
    <s v="CRISIL Low Duration Debt Index"/>
    <n v="5000"/>
    <n v="1000"/>
  </r>
  <r>
    <x v="581"/>
    <x v="25"/>
    <n v="5.42"/>
    <n v="4.47"/>
    <n v="4.5199999999999996"/>
    <n v="0.62"/>
    <n v="63.931256713211596"/>
    <n v="27.350720658888129"/>
    <n v="32.990786676116223"/>
    <n v="37.486860878366869"/>
    <n v="80.842911877394627"/>
    <n v="19.694578986854676"/>
    <n v="65.887988561089315"/>
    <n v="55.426155548804424"/>
    <n v="5.1221052631578941"/>
    <n v="-0.60210526315789448"/>
    <n v="582"/>
    <n v="29"/>
    <s v="Open ended"/>
    <s v="NIFTY Low Duration Debt Index"/>
    <n v="1000"/>
    <n v="1000"/>
  </r>
  <r>
    <x v="582"/>
    <x v="33"/>
    <n v="5.64"/>
    <n v="4.6900000000000004"/>
    <n v="4.09"/>
    <n v="0.56999999999999995"/>
    <n v="64.403866809881833"/>
    <n v="27.728208647906662"/>
    <n v="31.46704464918497"/>
    <n v="36.932758280940853"/>
    <n v="82.758620689655174"/>
    <n v="20.182158169630434"/>
    <n v="65.043476643808788"/>
    <n v="55.416903473836413"/>
    <n v="4.4264935064935065"/>
    <n v="-0.33649350649350662"/>
    <n v="583"/>
    <n v="28"/>
    <s v="Open ended"/>
    <s v="CRISIL Ultra Short Term Debt Index"/>
    <n v="5000"/>
    <n v="1000"/>
  </r>
  <r>
    <x v="583"/>
    <x v="21"/>
    <n v="4.5599999999999996"/>
    <n v="14.6"/>
    <n v="9.82"/>
    <n v="1.86"/>
    <n v="62.083780880773354"/>
    <n v="44.732326698695957"/>
    <n v="51.771793054571226"/>
    <n v="51.722350713049067"/>
    <n v="33.333333333333329"/>
    <n v="8.7270092408183384"/>
    <n v="84.884376596779546"/>
    <n v="55.415602839052752"/>
    <n v="10.412619047619048"/>
    <n v="-0.59261904761904738"/>
    <n v="584"/>
    <n v="18"/>
    <s v="Open ended"/>
    <s v="NIFTY LargeMidcap 250 - TRI"/>
    <n v="1000"/>
    <n v="1000"/>
  </r>
  <r>
    <x v="584"/>
    <x v="25"/>
    <n v="5.41"/>
    <n v="4.4000000000000004"/>
    <n v="4.37"/>
    <n v="0.6"/>
    <n v="63.909774436090231"/>
    <n v="27.230610844200413"/>
    <n v="32.459248759744867"/>
    <n v="37.180762520350605"/>
    <n v="81.609195402298852"/>
    <n v="19.840342997585097"/>
    <n v="65.63551788858922"/>
    <n v="55.40155958289732"/>
    <n v="5.1221052631578941"/>
    <n v="-0.75210526315789394"/>
    <n v="585"/>
    <n v="30"/>
    <s v="Open ended"/>
    <s v="CRISIL Low Duration Debt Index"/>
    <n v="5000"/>
    <n v="1000"/>
  </r>
  <r>
    <x v="585"/>
    <x v="34"/>
    <n v="7"/>
    <n v="11.42"/>
    <n v="9.52"/>
    <n v="1.56"/>
    <n v="67.325456498388832"/>
    <n v="39.275909402882633"/>
    <n v="50.708717221828479"/>
    <n v="50.602222731456791"/>
    <n v="44.827586206896555"/>
    <n v="14.104385908132461"/>
    <n v="75.570486997556074"/>
    <n v="55.400629666841553"/>
    <n v="7.9378947368421047"/>
    <n v="1.5821052631578949"/>
    <n v="586"/>
    <n v="4"/>
    <s v="Open ended"/>
    <s v="CRISIL Hybrid 50+50 - Moderate Index"/>
    <n v="1000"/>
    <n v="1000"/>
  </r>
  <r>
    <x v="586"/>
    <x v="16"/>
    <n v="5.08"/>
    <n v="3.81"/>
    <n v="5.52"/>
    <n v="0.72"/>
    <n v="63.200859291084853"/>
    <n v="26.218256691832536"/>
    <n v="36.534372785258675"/>
    <n v="38.772835258396071"/>
    <n v="77.011494252873575"/>
    <n v="19.084184764845993"/>
    <n v="66.945222366254825"/>
    <n v="55.375596783980136"/>
    <n v="4.9189795918367345"/>
    <n v="0.60102040816326507"/>
    <n v="587"/>
    <n v="19"/>
    <s v="Open ended"/>
    <s v="NIFTY Banking and PSU Debt Index"/>
    <n v="1000"/>
    <n v="1000"/>
  </r>
  <r>
    <x v="587"/>
    <x v="38"/>
    <n v="5.04"/>
    <n v="10.85"/>
    <n v="9.1"/>
    <n v="1.54"/>
    <n v="63.114930182599352"/>
    <n v="38.297872340425535"/>
    <n v="49.220411055988656"/>
    <n v="48.722553266641853"/>
    <n v="45.593869731800773"/>
    <n v="12.43815282169159"/>
    <n v="78.456487360523965"/>
    <n v="55.373865906402109"/>
    <n v="4.625"/>
    <n v="4.4749999999999996"/>
    <n v="588"/>
    <n v="5"/>
    <s v="Open ended"/>
    <s v="CRISIL Dynamic Debt Index"/>
    <n v="1000"/>
    <n v="1000"/>
  </r>
  <r>
    <x v="588"/>
    <x v="38"/>
    <n v="5.04"/>
    <n v="10.85"/>
    <n v="9.1"/>
    <n v="1.54"/>
    <n v="63.114930182599352"/>
    <n v="38.297872340425535"/>
    <n v="49.220411055988656"/>
    <n v="48.722553266641853"/>
    <n v="45.593869731800773"/>
    <n v="12.43815282169159"/>
    <n v="78.456487360523965"/>
    <n v="55.373865906402109"/>
    <n v="4.625"/>
    <n v="4.4749999999999996"/>
    <n v="588"/>
    <n v="5"/>
    <s v="Open ended"/>
    <s v="CRISIL Dynamic Debt Index"/>
    <n v="20000"/>
    <n v="1000"/>
  </r>
  <r>
    <x v="589"/>
    <x v="28"/>
    <n v="1.41"/>
    <n v="16.29"/>
    <n v="10.06"/>
    <n v="2.08"/>
    <n v="55.316863587540276"/>
    <n v="47.632120796156492"/>
    <n v="52.622253720765414"/>
    <n v="51.664135816737712"/>
    <n v="24.904214559386961"/>
    <n v="3.8990943544433376"/>
    <n v="93.246570474599167"/>
    <n v="55.369764166865387"/>
    <n v="10.248999999999999"/>
    <n v="-0.18899999999999828"/>
    <n v="590"/>
    <n v="4"/>
    <s v="Open ended"/>
    <s v="NIFTY 500 - TRI"/>
    <n v="5000"/>
    <n v="1000"/>
  </r>
  <r>
    <x v="590"/>
    <x v="17"/>
    <n v="-9.33"/>
    <n v="31.52"/>
    <n v="22.46"/>
    <n v="2.1"/>
    <n v="32.244897959183675"/>
    <n v="73.764584763212085"/>
    <n v="96.562721474131834"/>
    <n v="76.859715757866269"/>
    <n v="24.137931034482762"/>
    <n v="32.609870314304167"/>
    <n v="43.518047787393108"/>
    <n v="55.3438525844021"/>
    <n v="20.878999999999998"/>
    <n v="1.5810000000000031"/>
    <n v="591"/>
    <n v="5"/>
    <s v="Open ended"/>
    <s v="S&amp;P BSE TECk Index - TRI"/>
    <n v="5000"/>
    <n v="1000"/>
  </r>
  <r>
    <x v="591"/>
    <x v="13"/>
    <n v="-0.16"/>
    <n v="12.15"/>
    <n v="11.08"/>
    <n v="1.84"/>
    <n v="51.944146079484419"/>
    <n v="40.528483184625955"/>
    <n v="56.236711552090711"/>
    <n v="50.665729947330021"/>
    <n v="34.099616858237546"/>
    <n v="8.1188249982174607"/>
    <n v="85.937782605327058"/>
    <n v="55.342214839556163"/>
    <n v="10.461"/>
    <n v="0.61899999999999977"/>
    <n v="592"/>
    <n v="18"/>
    <s v="Open ended"/>
    <s v="NIFTY 500 - TRI"/>
    <n v="1000"/>
    <n v="1000"/>
  </r>
  <r>
    <x v="592"/>
    <x v="27"/>
    <n v="-0.31"/>
    <n v="13.56"/>
    <n v="10.79"/>
    <n v="1.93"/>
    <n v="51.621911922663799"/>
    <n v="42.947838023335628"/>
    <n v="55.209071580439392"/>
    <n v="50.813269581753147"/>
    <n v="30.651340996168575"/>
    <n v="6.3040346969649308"/>
    <n v="89.081091612179677"/>
    <n v="55.339742942963639"/>
    <n v="10.044583333333334"/>
    <n v="0.74541666666666551"/>
    <n v="593"/>
    <n v="16"/>
    <s v="Open ended"/>
    <s v="S&amp;P BSE 100 - TRI"/>
    <n v="1000"/>
    <n v="1000"/>
  </r>
  <r>
    <x v="593"/>
    <x v="40"/>
    <n v="2.67"/>
    <n v="12.65"/>
    <n v="9.36"/>
    <n v="1.75"/>
    <n v="58.023630504833513"/>
    <n v="41.386410432395337"/>
    <n v="50.141743444365694"/>
    <n v="49.091520952868152"/>
    <n v="37.547892720306521"/>
    <n v="8.3224304495262249"/>
    <n v="85.585127618962289"/>
    <n v="55.329015561251282"/>
    <n v="6.6483333333333334"/>
    <n v="2.711666666666666"/>
    <n v="594"/>
    <n v="3"/>
    <s v="Open ended"/>
    <s v="NIFTY 50 Hybrid Composite Debt 50:50 Index"/>
    <n v="5000"/>
    <n v="1000"/>
  </r>
  <r>
    <x v="594"/>
    <x v="22"/>
    <n v="-5.88"/>
    <n v="10.97"/>
    <n v="10.58"/>
    <n v="1.6"/>
    <n v="39.656283566058001"/>
    <n v="38.503774879890187"/>
    <n v="54.464918497519491"/>
    <n v="46.714848425938399"/>
    <n v="43.295019157088113"/>
    <n v="8.9011427205310962"/>
    <n v="84.582768562618284"/>
    <n v="55.326871142895797"/>
    <n v="9.83"/>
    <n v="0.75"/>
    <n v="595"/>
    <n v="9"/>
    <s v="Open ended"/>
    <s v="S&amp;P BSE 500 - TRI"/>
    <n v="5000"/>
    <n v="1000"/>
  </r>
  <r>
    <x v="595"/>
    <x v="22"/>
    <n v="-5.88"/>
    <n v="10.97"/>
    <n v="10.58"/>
    <n v="1.6"/>
    <n v="39.656283566058001"/>
    <n v="38.503774879890187"/>
    <n v="54.464918497519491"/>
    <n v="46.714848425938399"/>
    <n v="43.295019157088113"/>
    <n v="8.9011427205310962"/>
    <n v="84.582768562618284"/>
    <n v="55.326871142895797"/>
    <n v="9.83"/>
    <n v="0.75"/>
    <n v="595"/>
    <n v="9"/>
    <s v="Open ended"/>
    <s v="S&amp;P BSE 500 - TRI"/>
    <n v="5000"/>
    <n v="1000"/>
  </r>
  <r>
    <x v="596"/>
    <x v="25"/>
    <n v="5.33"/>
    <n v="4.29"/>
    <n v="4.7300000000000004"/>
    <n v="0.65"/>
    <n v="63.737916219119214"/>
    <n v="27.04186684969115"/>
    <n v="33.734939759036145"/>
    <n v="37.727613178249257"/>
    <n v="79.693486590038304"/>
    <n v="19.543011797731385"/>
    <n v="66.150510633411258"/>
    <n v="55.324805894987023"/>
    <n v="5.1221052631578941"/>
    <n v="-0.39210526315789362"/>
    <n v="597"/>
    <n v="31"/>
    <s v="Open ended"/>
    <s v="NIFTY Low Duration Debt Index"/>
    <n v="1000"/>
    <n v="1000"/>
  </r>
  <r>
    <x v="597"/>
    <x v="25"/>
    <n v="5.33"/>
    <n v="4.29"/>
    <n v="4.72"/>
    <n v="0.65"/>
    <n v="63.737916219119214"/>
    <n v="27.04186684969115"/>
    <n v="33.699503897944716"/>
    <n v="37.709895247703543"/>
    <n v="79.693486590038304"/>
    <n v="19.550065580310587"/>
    <n v="66.138293123598544"/>
    <n v="55.312892552260983"/>
    <n v="5.1221052631578941"/>
    <n v="-0.4021052631578943"/>
    <n v="598"/>
    <n v="32"/>
    <s v="Open ended"/>
    <s v="NIFTY Low Duration Debt Index"/>
    <n v="1000"/>
    <n v="1000"/>
  </r>
  <r>
    <x v="598"/>
    <x v="17"/>
    <n v="-7.61"/>
    <n v="26.99"/>
    <n v="21.38"/>
    <n v="2.11"/>
    <n v="35.939849624060152"/>
    <n v="65.991763898421425"/>
    <n v="92.735648476257964"/>
    <n v="73.35332333246744"/>
    <n v="23.754789272030653"/>
    <n v="28.41395103678683"/>
    <n v="50.785593160510835"/>
    <n v="55.311757274369093"/>
    <n v="20.878999999999998"/>
    <n v="0.50100000000000122"/>
    <n v="599"/>
    <n v="6"/>
    <s v="Open ended"/>
    <s v="S&amp;P BSE TECk Index - TRI"/>
    <n v="1000"/>
    <n v="1000"/>
  </r>
  <r>
    <x v="599"/>
    <x v="17"/>
    <n v="-9.32"/>
    <n v="31.53"/>
    <n v="22.19"/>
    <n v="2.1"/>
    <n v="32.266380236305046"/>
    <n v="73.781743308167464"/>
    <n v="95.605953224663367"/>
    <n v="76.390775652042933"/>
    <n v="24.137931034482762"/>
    <n v="32.175878687342291"/>
    <n v="44.269743335350555"/>
    <n v="55.297306418479792"/>
    <n v="20.878999999999998"/>
    <n v="1.3110000000000035"/>
    <n v="600"/>
    <n v="7"/>
    <s v="Open ended"/>
    <s v="S&amp;P BSE TECk Index - TRI"/>
    <n v="5000"/>
    <n v="1000"/>
  </r>
  <r>
    <x v="600"/>
    <x v="25"/>
    <n v="5.33"/>
    <n v="4.29"/>
    <n v="4.67"/>
    <n v="0.65"/>
    <n v="63.737916219119214"/>
    <n v="27.04186684969115"/>
    <n v="33.522324592487593"/>
    <n v="37.621305594974984"/>
    <n v="79.693486590038304"/>
    <n v="19.58561695576222"/>
    <n v="66.076716335037347"/>
    <n v="55.253203528756401"/>
    <n v="5.1221052631578941"/>
    <n v="-0.45210526315789412"/>
    <n v="601"/>
    <n v="33"/>
    <s v="Open ended"/>
    <s v="NIFTY Low Duration Debt Index"/>
    <n v="1000"/>
    <n v="1000"/>
  </r>
  <r>
    <x v="601"/>
    <x v="43"/>
    <n v="7.85"/>
    <n v="14.4"/>
    <n v="16.27"/>
    <n v="2.21"/>
    <n v="69.151450053705688"/>
    <n v="44.389155799588195"/>
    <n v="74.627923458540039"/>
    <n v="64.460998479887621"/>
    <n v="19.923371647509569"/>
    <n v="16.11182819759772"/>
    <n v="72.093494958939857"/>
    <n v="55.234715891556164"/>
    <n v="8.7869230769230775"/>
    <n v="7.4830769230769221"/>
    <n v="602"/>
    <n v="1"/>
    <s v="Open ended"/>
    <s v="S&amp;P 500"/>
    <n v="5000"/>
    <n v="1000"/>
  </r>
  <r>
    <x v="602"/>
    <x v="43"/>
    <n v="7.85"/>
    <n v="14.4"/>
    <n v="16.27"/>
    <n v="2.21"/>
    <n v="69.151450053705688"/>
    <n v="44.389155799588195"/>
    <n v="74.627923458540039"/>
    <n v="64.460998479887621"/>
    <n v="19.923371647509569"/>
    <n v="16.11182819759772"/>
    <n v="72.093494958939857"/>
    <n v="55.234715891556164"/>
    <n v="8.7869230769230775"/>
    <n v="7.4830769230769221"/>
    <n v="602"/>
    <n v="1"/>
    <s v="Open ended"/>
    <s v="S&amp;P 500"/>
    <n v="5000"/>
    <n v="1000"/>
  </r>
  <r>
    <x v="603"/>
    <x v="25"/>
    <n v="5.33"/>
    <n v="4.2699999999999996"/>
    <n v="4.66"/>
    <n v="0.65"/>
    <n v="63.737916219119214"/>
    <n v="27.007549759780375"/>
    <n v="33.486888731396171"/>
    <n v="37.593292537456037"/>
    <n v="79.693486590038304"/>
    <n v="19.605383265017622"/>
    <n v="66.042480083128879"/>
    <n v="55.230637937019814"/>
    <n v="5.1221052631578941"/>
    <n v="-0.46210526315789391"/>
    <n v="604"/>
    <n v="34"/>
    <s v="Open ended"/>
    <s v="NIFTY Low Duration Debt Index"/>
    <n v="1000"/>
    <n v="1000"/>
  </r>
  <r>
    <x v="604"/>
    <x v="27"/>
    <n v="-0.31"/>
    <n v="13.56"/>
    <n v="10.38"/>
    <n v="1.93"/>
    <n v="51.621911922663799"/>
    <n v="42.947838023335628"/>
    <n v="53.756201275691005"/>
    <n v="50.086834429378953"/>
    <n v="30.651340996168575"/>
    <n v="5.7244426984688159"/>
    <n v="90.084974401235328"/>
    <n v="55.227496064040452"/>
    <n v="10.044583333333334"/>
    <n v="0.33541666666666714"/>
    <n v="605"/>
    <n v="17"/>
    <s v="Open ended"/>
    <s v="S&amp;P BSE 100 - TRI"/>
    <n v="5000"/>
    <n v="1000"/>
  </r>
  <r>
    <x v="605"/>
    <x v="17"/>
    <n v="-7.63"/>
    <n v="26.99"/>
    <n v="20.84"/>
    <n v="2.11"/>
    <n v="35.896885069817394"/>
    <n v="65.991763898421425"/>
    <n v="90.822111977321043"/>
    <n v="72.387962172150424"/>
    <n v="23.754789272030653"/>
    <n v="27.504631332039448"/>
    <n v="52.360581089456829"/>
    <n v="55.222823676447078"/>
    <n v="20.878999999999998"/>
    <n v="-3.8999999999997925E-2"/>
    <n v="606"/>
    <n v="8"/>
    <s v="Open ended"/>
    <s v="S&amp;P BSE TECk Index - TRI"/>
    <n v="1000"/>
    <n v="1000"/>
  </r>
  <r>
    <x v="606"/>
    <x v="16"/>
    <n v="5.08"/>
    <n v="3.81"/>
    <n v="5.38"/>
    <n v="0.72"/>
    <n v="63.200859291084853"/>
    <n v="26.218256691832536"/>
    <n v="36.038270729978741"/>
    <n v="38.524784230756097"/>
    <n v="77.011494252873575"/>
    <n v="19.157034339303607"/>
    <n v="66.819043201984471"/>
    <n v="55.22002647909256"/>
    <n v="4.9189795918367345"/>
    <n v="0.46102040816326539"/>
    <n v="607"/>
    <n v="20"/>
    <s v="Open ended"/>
    <s v="NIFTY Banking and PSU Debt Index"/>
    <n v="1000"/>
    <n v="1000"/>
  </r>
  <r>
    <x v="607"/>
    <x v="4"/>
    <n v="1.74"/>
    <n v="22.72"/>
    <n v="11.42"/>
    <n v="2.52"/>
    <n v="56.025778732545653"/>
    <n v="58.665065202470835"/>
    <n v="57.441530829199138"/>
    <n v="57.525440721849947"/>
    <n v="8.045977011494255"/>
    <n v="1.3208093120057256"/>
    <n v="97.712291164495994"/>
    <n v="55.202287404922536"/>
    <n v="12.127586206896551"/>
    <n v="-0.70758620689655061"/>
    <n v="608"/>
    <n v="22"/>
    <s v="Open ended"/>
    <s v="S&amp;P BSE 250 Small Cap - TRI"/>
    <n v="1000"/>
    <n v="1000"/>
  </r>
  <r>
    <x v="608"/>
    <x v="4"/>
    <n v="1.72"/>
    <n v="22.72"/>
    <n v="11.41"/>
    <n v="2.52"/>
    <n v="55.982814178302895"/>
    <n v="58.665065202470835"/>
    <n v="57.406094968107723"/>
    <n v="57.499129880455691"/>
    <n v="8.045977011494255"/>
    <n v="1.3419640341858226"/>
    <n v="97.675650110860062"/>
    <n v="55.179971720816425"/>
    <n v="12.127586206896551"/>
    <n v="-0.71758620689655039"/>
    <n v="609"/>
    <n v="23"/>
    <s v="Open ended"/>
    <s v="S&amp;P BSE 250 Small Cap - TRI"/>
    <n v="1000"/>
    <n v="1000"/>
  </r>
  <r>
    <x v="609"/>
    <x v="33"/>
    <n v="5.74"/>
    <n v="4.82"/>
    <n v="4.8"/>
    <n v="0.69"/>
    <n v="64.618689581095595"/>
    <n v="27.951269732326701"/>
    <n v="33.982990786676112"/>
    <n v="38.300614229255189"/>
    <n v="78.160919540229884"/>
    <n v="19.661414741678552"/>
    <n v="65.945430718729028"/>
    <n v="55.176894679367322"/>
    <n v="4.4264935064935065"/>
    <n v="0.37350649350649334"/>
    <n v="610"/>
    <n v="29"/>
    <s v="Open ended"/>
    <s v="CRISIL Ultra Short Term Debt Index"/>
    <n v="1000"/>
    <n v="1000"/>
  </r>
  <r>
    <x v="610"/>
    <x v="11"/>
    <n v="2.58"/>
    <n v="18.309999999999999"/>
    <n v="12.48"/>
    <n v="2.35"/>
    <n v="57.830290010741138"/>
    <n v="51.098146877144821"/>
    <n v="61.197732104890143"/>
    <n v="57.494368117736741"/>
    <n v="14.559386973180066"/>
    <n v="5.1423574230950759"/>
    <n v="91.09317567252036"/>
    <n v="55.160324720293474"/>
    <n v="11.362272727272726"/>
    <n v="1.117727272727274"/>
    <n v="611"/>
    <n v="28"/>
    <s v="Open ended"/>
    <s v="Nifty Midcap 150 - TRI"/>
    <n v="1000"/>
    <n v="1000"/>
  </r>
  <r>
    <x v="611"/>
    <x v="11"/>
    <n v="2.54"/>
    <n v="18.309999999999999"/>
    <n v="12.48"/>
    <n v="2.35"/>
    <n v="57.744360902255629"/>
    <n v="51.098146877144821"/>
    <n v="61.197732104890143"/>
    <n v="57.477182296039643"/>
    <n v="14.559386973180066"/>
    <n v="5.1332178878239798"/>
    <n v="91.109005811967464"/>
    <n v="55.155689344306708"/>
    <n v="11.362272727272726"/>
    <n v="1.117727272727274"/>
    <n v="612"/>
    <n v="29"/>
    <s v="Open ended"/>
    <s v="Nifty Midcap 150 - TRI"/>
    <n v="1000"/>
    <n v="1000"/>
  </r>
  <r>
    <x v="612"/>
    <x v="29"/>
    <n v="4.7699999999999996"/>
    <n v="2.4300000000000002"/>
    <n v="5.16"/>
    <n v="0.63"/>
    <n v="62.534908700322234"/>
    <n v="23.850377487989022"/>
    <n v="35.258681785967397"/>
    <n v="37.291435879444848"/>
    <n v="80.459770114942529"/>
    <n v="19.877268913496096"/>
    <n v="65.571560326115346"/>
    <n v="55.153550549986889"/>
    <n v="5.0554237288135591"/>
    <n v="0.10457627118644108"/>
    <n v="613"/>
    <n v="28"/>
    <s v="Open ended"/>
    <s v="NIFTY Corporate Bond Index"/>
    <n v="5000"/>
    <n v="1000"/>
  </r>
  <r>
    <x v="613"/>
    <x v="21"/>
    <n v="0.03"/>
    <n v="12.79"/>
    <n v="10.78"/>
    <n v="1.9"/>
    <n v="52.352309344790548"/>
    <n v="41.626630061770761"/>
    <n v="55.173635719347971"/>
    <n v="50.545268747163327"/>
    <n v="31.800766283524908"/>
    <n v="7.1475105325840795"/>
    <n v="87.620148609930681"/>
    <n v="55.127863096945561"/>
    <n v="10.412619047619048"/>
    <n v="0.3673809523809517"/>
    <n v="614"/>
    <n v="19"/>
    <s v="Open ended"/>
    <s v="NIFTY LargeMidcap 250 - TRI"/>
    <n v="1000"/>
    <n v="1000"/>
  </r>
  <r>
    <x v="614"/>
    <x v="27"/>
    <n v="9.64"/>
    <n v="15.38"/>
    <n v="9.91"/>
    <n v="1.79"/>
    <n v="72.996777658431782"/>
    <n v="46.070693205216209"/>
    <n v="52.090715804394037"/>
    <n v="54.465921395448234"/>
    <n v="36.015325670498079"/>
    <n v="14.132221565870676"/>
    <n v="75.52227422409139"/>
    <n v="55.117360671371486"/>
    <n v="10.044583333333334"/>
    <n v="-0.1345833333333335"/>
    <n v="615"/>
    <n v="18"/>
    <s v="Open ended"/>
    <s v="NIFTY 100 - TRI"/>
    <n v="1000"/>
    <n v="1000"/>
  </r>
  <r>
    <x v="615"/>
    <x v="33"/>
    <n v="5.74"/>
    <n v="4.82"/>
    <n v="4.75"/>
    <n v="0.69"/>
    <n v="64.618689581095595"/>
    <n v="27.951269732326701"/>
    <n v="33.805811481218996"/>
    <n v="38.21202457652663"/>
    <n v="78.160919540229884"/>
    <n v="19.69859891063858"/>
    <n v="65.881025848853042"/>
    <n v="55.116498635534043"/>
    <n v="4.4264935064935065"/>
    <n v="0.32350649350649352"/>
    <n v="616"/>
    <n v="30"/>
    <s v="Open ended"/>
    <s v="CRISIL Ultra Short Term Debt Index"/>
    <n v="1000"/>
    <n v="1000"/>
  </r>
  <r>
    <x v="616"/>
    <x v="3"/>
    <n v="5.94"/>
    <n v="10.47"/>
    <n v="8.18"/>
    <n v="1.42"/>
    <n v="65.048335123523088"/>
    <n v="37.645847632120798"/>
    <n v="45.960311835577599"/>
    <n v="47.283577232129659"/>
    <n v="50.191570881226056"/>
    <n v="14.049788069268594"/>
    <n v="75.665053228451754"/>
    <n v="55.105944643484278"/>
    <n v="7.5967647058823538"/>
    <n v="0.58323529411764596"/>
    <n v="617"/>
    <n v="29"/>
    <s v="Open ended"/>
    <s v="CRISIL Hybrid 50+50 - Moderate Index"/>
    <n v="5000"/>
    <n v="1000"/>
  </r>
  <r>
    <x v="617"/>
    <x v="33"/>
    <n v="5.72"/>
    <n v="4.8"/>
    <n v="4.7300000000000004"/>
    <n v="0.69"/>
    <n v="64.575725026852851"/>
    <n v="27.916952642415925"/>
    <n v="33.734939759036145"/>
    <n v="38.15770067761342"/>
    <n v="78.160919540229884"/>
    <n v="19.701389979553447"/>
    <n v="65.87619157568507"/>
    <n v="55.088128117785445"/>
    <n v="4.4264935064935065"/>
    <n v="0.30350649350649395"/>
    <n v="618"/>
    <n v="31"/>
    <s v="Open ended"/>
    <s v="CRISIL Ultra Short Term Debt Index"/>
    <n v="1000"/>
    <n v="1000"/>
  </r>
  <r>
    <x v="618"/>
    <x v="16"/>
    <n v="6.31"/>
    <n v="4.7"/>
    <n v="5.48"/>
    <n v="0.76"/>
    <n v="65.843179377013968"/>
    <n v="27.745367192862048"/>
    <n v="36.392629340892981"/>
    <n v="39.6885607037079"/>
    <n v="75.478927203065126"/>
    <n v="19.973120826524784"/>
    <n v="65.405539942746984"/>
    <n v="55.065397138306977"/>
    <n v="4.9189795918367345"/>
    <n v="0.56102040816326593"/>
    <n v="619"/>
    <n v="21"/>
    <s v="Open ended"/>
    <s v="CRISIL Banking and PSU Debt Index"/>
    <n v="1000"/>
    <n v="1000"/>
  </r>
  <r>
    <x v="619"/>
    <x v="16"/>
    <n v="6.31"/>
    <n v="4.7"/>
    <n v="5.48"/>
    <n v="0.76"/>
    <n v="65.843179377013968"/>
    <n v="27.745367192862048"/>
    <n v="36.392629340892981"/>
    <n v="39.6885607037079"/>
    <n v="75.478927203065126"/>
    <n v="19.973120826524784"/>
    <n v="65.405539942746984"/>
    <n v="55.065397138306977"/>
    <n v="4.9189795918367345"/>
    <n v="0.56102040816326593"/>
    <n v="619"/>
    <n v="21"/>
    <s v="Open ended"/>
    <s v="CRISIL Banking and PSU Debt Index"/>
    <n v="1000"/>
    <n v="1000"/>
  </r>
  <r>
    <x v="620"/>
    <x v="11"/>
    <n v="4.3600000000000003"/>
    <n v="19.329999999999998"/>
    <n v="9.3000000000000007"/>
    <n v="2.09"/>
    <n v="61.65413533834586"/>
    <n v="52.848318462594371"/>
    <n v="49.929128277817156"/>
    <n v="53.149886745356063"/>
    <n v="24.521072796934874"/>
    <n v="6.1038222007964995"/>
    <n v="89.427869827853584"/>
    <n v="55.062179028875143"/>
    <n v="11.362272727272726"/>
    <n v="-2.0622727272727257"/>
    <n v="621"/>
    <n v="30"/>
    <s v="Open ended"/>
    <s v="Nifty Midcap 150 - TRI"/>
    <n v="5000"/>
    <n v="1000"/>
  </r>
  <r>
    <x v="621"/>
    <x v="32"/>
    <n v="1.26"/>
    <n v="17.600000000000001"/>
    <n v="10.96"/>
    <n v="2.2599999999999998"/>
    <n v="54.994629430719655"/>
    <n v="49.879890185312291"/>
    <n v="55.81148121899362"/>
    <n v="53.868633551234424"/>
    <n v="18.00766283524904"/>
    <n v="3.2148503486001077"/>
    <n v="94.431715857494098"/>
    <n v="55.044161448802996"/>
    <n v="12.057857142857143"/>
    <n v="-1.0978571428571424"/>
    <n v="622"/>
    <n v="8"/>
    <s v="Open ended"/>
    <s v="Nifty500 Multicap 50:25:25 - TRI"/>
    <n v="5000"/>
    <n v="1000"/>
  </r>
  <r>
    <x v="622"/>
    <x v="11"/>
    <n v="-2.62"/>
    <n v="11.75"/>
    <n v="8.73"/>
    <n v="1.76"/>
    <n v="46.659505907626205"/>
    <n v="39.842141386410432"/>
    <n v="47.909284195605949"/>
    <n v="45.239185695251344"/>
    <n v="37.164750957854409"/>
    <n v="4.3419887511022734"/>
    <n v="92.479454877198322"/>
    <n v="55.030644306388851"/>
    <n v="11.362272727272726"/>
    <n v="-2.632272727272726"/>
    <n v="623"/>
    <n v="31"/>
    <s v="Open ended"/>
    <s v="Nifty Midcap 150 - TRI"/>
    <n v="1000"/>
    <n v="1000"/>
  </r>
  <r>
    <x v="623"/>
    <x v="29"/>
    <n v="4.7300000000000004"/>
    <n v="3.01"/>
    <n v="4.9800000000000004"/>
    <n v="0.66"/>
    <n v="62.448979591836732"/>
    <n v="24.845573095401512"/>
    <n v="34.620836286321754"/>
    <n v="37.253885990148675"/>
    <n v="79.310344827586206"/>
    <n v="19.510584778610919"/>
    <n v="66.206675878065909"/>
    <n v="55.006198171487362"/>
    <n v="5.0554237288135591"/>
    <n v="-7.5423728813558633E-2"/>
    <n v="624"/>
    <n v="29"/>
    <s v="Open ended"/>
    <s v="NIFTY Corporate Bond Index"/>
    <n v="1000"/>
    <n v="1000"/>
  </r>
  <r>
    <x v="624"/>
    <x v="29"/>
    <n v="4.7300000000000004"/>
    <n v="3.01"/>
    <n v="4.9800000000000004"/>
    <n v="0.66"/>
    <n v="62.448979591836732"/>
    <n v="24.845573095401512"/>
    <n v="34.620836286321754"/>
    <n v="37.253885990148675"/>
    <n v="79.310344827586206"/>
    <n v="19.510584778610919"/>
    <n v="66.206675878065909"/>
    <n v="55.006198171487362"/>
    <n v="5.0554237288135591"/>
    <n v="-7.5423728813558633E-2"/>
    <n v="624"/>
    <n v="29"/>
    <s v="Open ended"/>
    <s v="NIFTY Corporate Bond Index"/>
    <n v="1000"/>
    <n v="1000"/>
  </r>
  <r>
    <x v="625"/>
    <x v="21"/>
    <n v="0.04"/>
    <n v="12.79"/>
    <n v="10.35"/>
    <n v="1.9"/>
    <n v="52.373791621911913"/>
    <n v="41.626630061770761"/>
    <n v="53.649893692416725"/>
    <n v="49.787694189121979"/>
    <n v="31.800766283524908"/>
    <n v="6.6041500390049723"/>
    <n v="88.561276591635405"/>
    <n v="54.984357813351068"/>
    <n v="10.412619047619048"/>
    <n v="-6.2619047619048018E-2"/>
    <n v="626"/>
    <n v="20"/>
    <s v="Open ended"/>
    <s v="NIFTY LargeMidcap 250 - TRI"/>
    <n v="1000"/>
    <n v="1000"/>
  </r>
  <r>
    <x v="626"/>
    <x v="32"/>
    <n v="-0.54"/>
    <n v="18.97"/>
    <n v="13.1"/>
    <n v="2.2999999999999998"/>
    <n v="51.127819548872175"/>
    <n v="52.23061084420042"/>
    <n v="63.39475549255846"/>
    <n v="57.592124909313796"/>
    <n v="16.475095785440619"/>
    <n v="6.7864078841094289"/>
    <n v="88.245596743836472"/>
    <n v="54.976235586976173"/>
    <n v="12.057857142857143"/>
    <n v="1.0421428571428564"/>
    <n v="627"/>
    <n v="9"/>
    <s v="Open ended"/>
    <s v="Nifty500 Multicap 50:25:25 - TRI"/>
    <n v="1000"/>
    <n v="1000"/>
  </r>
  <r>
    <x v="627"/>
    <x v="44"/>
    <n v="8.1199999999999992"/>
    <n v="15.14"/>
    <n v="12.11"/>
    <n v="2.06"/>
    <n v="69.731471535982806"/>
    <n v="45.658888126286897"/>
    <n v="59.886605244507443"/>
    <n v="57.587263367336348"/>
    <n v="25.670498084291182"/>
    <n v="12.102607148254604"/>
    <n v="79.037669515176745"/>
    <n v="54.970673583535159"/>
    <n v="11.035555555555554"/>
    <n v="1.0744444444444454"/>
    <n v="628"/>
    <n v="1"/>
    <s v="Open ended"/>
    <s v="Nifty India Consumption - TRI"/>
    <n v="5000"/>
    <n v="1000"/>
  </r>
  <r>
    <x v="628"/>
    <x v="8"/>
    <n v="6.57"/>
    <n v="16.170000000000002"/>
    <n v="12.92"/>
    <n v="2.2200000000000002"/>
    <n v="66.401718582169707"/>
    <n v="47.42621825669184"/>
    <n v="62.756909992912824"/>
    <n v="58.886664189897907"/>
    <n v="19.540229885057457"/>
    <n v="10.069627197382282"/>
    <n v="82.55889408085649"/>
    <n v="54.968113086427437"/>
    <n v="12.436666666666667"/>
    <n v="0.4833333333333325"/>
    <n v="629"/>
    <n v="5"/>
    <s v="Open ended"/>
    <s v="NIFTY500 Value 50 - TRI"/>
    <n v="5000"/>
    <n v="1000"/>
  </r>
  <r>
    <x v="629"/>
    <x v="16"/>
    <n v="5.08"/>
    <n v="3.48"/>
    <n v="5.32"/>
    <n v="0.72"/>
    <n v="63.200859291084853"/>
    <n v="25.652024708304737"/>
    <n v="35.825655563430189"/>
    <n v="38.248607052423488"/>
    <n v="77.011494252873575"/>
    <n v="19.420004816477014"/>
    <n v="66.363564974629497"/>
    <n v="54.968068333087508"/>
    <n v="4.9189795918367345"/>
    <n v="0.40102040816326578"/>
    <n v="630"/>
    <n v="23"/>
    <s v="Open ended"/>
    <s v="NIFTY Banking and PSU Debt Index"/>
    <n v="1000"/>
    <n v="1000"/>
  </r>
  <r>
    <x v="630"/>
    <x v="33"/>
    <n v="5.74"/>
    <n v="4.66"/>
    <n v="4.68"/>
    <n v="0.69"/>
    <n v="64.618689581095595"/>
    <n v="27.676733013040501"/>
    <n v="33.557760453579021"/>
    <n v="38.00563804692078"/>
    <n v="78.160919540229884"/>
    <n v="19.849752127323249"/>
    <n v="65.619220797827722"/>
    <n v="54.947854107974791"/>
    <n v="4.4264935064935065"/>
    <n v="0.25350649350649324"/>
    <n v="631"/>
    <n v="32"/>
    <s v="Open ended"/>
    <s v="CRISIL Ultra Short Term Debt Index"/>
    <n v="1000"/>
    <n v="1000"/>
  </r>
  <r>
    <x v="631"/>
    <x v="32"/>
    <n v="-0.6"/>
    <n v="18.91"/>
    <n v="13.06"/>
    <n v="2.2999999999999998"/>
    <n v="50.99892588614393"/>
    <n v="52.12765957446809"/>
    <n v="63.253012048192772"/>
    <n v="57.4645890736656"/>
    <n v="16.475095785440619"/>
    <n v="6.7726180938477887"/>
    <n v="88.269481361195346"/>
    <n v="54.91843882349179"/>
    <n v="12.057857142857143"/>
    <n v="1.0021428571428572"/>
    <n v="632"/>
    <n v="10"/>
    <s v="Open ended"/>
    <s v="Nifty500 Multicap 50:25:25 - TRI"/>
    <n v="1000"/>
    <n v="1000"/>
  </r>
  <r>
    <x v="632"/>
    <x v="7"/>
    <n v="1.01"/>
    <n v="12.89"/>
    <n v="11.63"/>
    <n v="1.96"/>
    <n v="54.457572502685281"/>
    <n v="41.798215511324642"/>
    <n v="58.185683912119067"/>
    <n v="52.523821109993982"/>
    <n v="29.501915708812266"/>
    <n v="8.5897929224448095"/>
    <n v="85.122042231830036"/>
    <n v="54.917900040157562"/>
    <n v="8.6526315789473696"/>
    <n v="2.9773684210526312"/>
    <n v="633"/>
    <n v="5"/>
    <s v="Open ended"/>
    <s v="NIFTY100 ESG - TRI"/>
    <n v="1000"/>
    <n v="1000"/>
  </r>
  <r>
    <x v="633"/>
    <x v="7"/>
    <n v="1.01"/>
    <n v="12.89"/>
    <n v="11.63"/>
    <n v="1.96"/>
    <n v="54.457572502685281"/>
    <n v="41.798215511324642"/>
    <n v="58.185683912119067"/>
    <n v="52.523821109993982"/>
    <n v="29.501915708812266"/>
    <n v="8.5897929224448095"/>
    <n v="85.122042231830036"/>
    <n v="54.917900040157562"/>
    <n v="8.6526315789473696"/>
    <n v="2.9773684210526312"/>
    <n v="633"/>
    <n v="5"/>
    <s v="Open ended"/>
    <s v="NIFTY100 ESG - TRI"/>
    <n v="1000"/>
    <n v="1000"/>
  </r>
  <r>
    <x v="634"/>
    <x v="32"/>
    <n v="-0.98"/>
    <n v="16.5"/>
    <n v="9.8699999999999992"/>
    <n v="2.15"/>
    <n v="50.182599355531686"/>
    <n v="47.99245024021964"/>
    <n v="51.948972360028343"/>
    <n v="50.408741123186402"/>
    <n v="22.222222222222232"/>
    <n v="1.9820399433770348"/>
    <n v="96.567006115440037"/>
    <n v="54.901677646008764"/>
    <n v="12.057857142857143"/>
    <n v="-2.1878571428571441"/>
    <n v="635"/>
    <n v="11"/>
    <s v="Open ended"/>
    <s v="Nifty500 Multicap 50:25:25 - TRI"/>
    <n v="1000"/>
    <n v="1000"/>
  </r>
  <r>
    <x v="635"/>
    <x v="32"/>
    <n v="-0.99"/>
    <n v="16.5"/>
    <n v="9.8699999999999992"/>
    <n v="2.15"/>
    <n v="50.161117078410314"/>
    <n v="47.99245024021964"/>
    <n v="51.948972360028343"/>
    <n v="50.404444667762121"/>
    <n v="22.222222222222232"/>
    <n v="1.9813131019441361"/>
    <n v="96.568265041730868"/>
    <n v="54.899844149869338"/>
    <n v="12.057857142857143"/>
    <n v="-2.1878571428571441"/>
    <n v="636"/>
    <n v="12"/>
    <s v="Open ended"/>
    <s v="Nifty500 Multicap 50:25:25 - TRI"/>
    <n v="1000"/>
    <n v="1000"/>
  </r>
  <r>
    <x v="636"/>
    <x v="18"/>
    <n v="6.59"/>
    <n v="9.32"/>
    <n v="10.19"/>
    <n v="1.55"/>
    <n v="66.444683136412451"/>
    <n v="35.672614962251203"/>
    <n v="53.082919914953933"/>
    <n v="50.532181073434813"/>
    <n v="45.21072796934866"/>
    <n v="15.430357603588099"/>
    <n v="73.27383665162867"/>
    <n v="54.887231691961738"/>
    <n v="6.9120588235294118"/>
    <n v="3.2779411764705877"/>
    <n v="637"/>
    <n v="9"/>
    <s v="Open ended"/>
    <s v="MSCI World"/>
    <n v="5000"/>
    <n v="1000"/>
  </r>
  <r>
    <x v="637"/>
    <x v="18"/>
    <n v="6.59"/>
    <n v="9.32"/>
    <n v="10.19"/>
    <n v="1.55"/>
    <n v="66.444683136412451"/>
    <n v="35.672614962251203"/>
    <n v="53.082919914953933"/>
    <n v="50.532181073434813"/>
    <n v="45.21072796934866"/>
    <n v="15.430357603588099"/>
    <n v="73.27383665162867"/>
    <n v="54.887231691961738"/>
    <n v="6.9120588235294118"/>
    <n v="3.2779411764705877"/>
    <n v="637"/>
    <n v="9"/>
    <s v="Open ended"/>
    <s v="MSCI World"/>
    <n v="5000"/>
    <n v="1000"/>
  </r>
  <r>
    <x v="638"/>
    <x v="15"/>
    <n v="5.31"/>
    <n v="3.81"/>
    <n v="5.64"/>
    <n v="0.78"/>
    <n v="63.694951664876477"/>
    <n v="26.218256691832536"/>
    <n v="36.959603118355773"/>
    <n v="39.084268899702941"/>
    <n v="74.712643678160916"/>
    <n v="19.298782565493205"/>
    <n v="66.573528072341333"/>
    <n v="54.863677387477033"/>
    <n v="5.2086538461538465"/>
    <n v="0.43134615384615316"/>
    <n v="639"/>
    <n v="7"/>
    <s v="Open ended"/>
    <s v=""/>
    <n v="1000"/>
    <n v="1000"/>
  </r>
  <r>
    <x v="639"/>
    <x v="21"/>
    <n v="3.04"/>
    <n v="15.65"/>
    <n v="11.76"/>
    <n v="2.17"/>
    <n v="58.818474758324378"/>
    <n v="46.533973919011672"/>
    <n v="58.64635010630758"/>
    <n v="55.047062180522168"/>
    <n v="21.455938697318011"/>
    <n v="7.0432975784249363"/>
    <n v="87.800650741341173"/>
    <n v="54.837678449925882"/>
    <n v="10.412619047619048"/>
    <n v="1.3473809523809521"/>
    <n v="640"/>
    <n v="21"/>
    <s v="Open ended"/>
    <s v="NIFTY LargeMidcap 250 - TRI"/>
    <n v="5000"/>
    <n v="1000"/>
  </r>
  <r>
    <x v="640"/>
    <x v="45"/>
    <n v="9.9600000000000009"/>
    <n v="3.68"/>
    <n v="4.6900000000000004"/>
    <n v="0.51"/>
    <n v="73.68421052631578"/>
    <n v="25.995195607412498"/>
    <n v="33.59319631467045"/>
    <n v="39.331998944822132"/>
    <n v="85.057471264367805"/>
    <n v="25.623105390777091"/>
    <n v="55.619479615482085"/>
    <n v="54.83523719237354"/>
    <n v="4.1175000000000006"/>
    <n v="0.57249999999999979"/>
    <n v="641"/>
    <n v="1"/>
    <s v="Open ended"/>
    <s v="Crisil Long Term Debt Index"/>
    <n v="5000"/>
    <n v="1000"/>
  </r>
  <r>
    <x v="641"/>
    <x v="45"/>
    <n v="9.9600000000000009"/>
    <n v="3.68"/>
    <n v="4.6900000000000004"/>
    <n v="0.51"/>
    <n v="73.68421052631578"/>
    <n v="25.995195607412498"/>
    <n v="33.59319631467045"/>
    <n v="39.331998944822132"/>
    <n v="85.057471264367805"/>
    <n v="25.623105390777091"/>
    <n v="55.619479615482085"/>
    <n v="54.83523719237354"/>
    <n v="4.1175000000000006"/>
    <n v="0.57249999999999979"/>
    <n v="641"/>
    <n v="1"/>
    <s v="Open ended"/>
    <s v="Crisil Long Term Debt Index"/>
    <n v="5000"/>
    <n v="1000"/>
  </r>
  <r>
    <x v="642"/>
    <x v="28"/>
    <n v="8.5299999999999994"/>
    <n v="23.79"/>
    <n v="10.25"/>
    <n v="2.2999999999999998"/>
    <n v="70.612244897959172"/>
    <n v="60.501029512697336"/>
    <n v="53.295535081502479"/>
    <n v="58.920525374152277"/>
    <n v="16.475095785440619"/>
    <n v="8.6988913607089735"/>
    <n v="84.933078193730097"/>
    <n v="54.81230618186882"/>
    <n v="10.248999999999999"/>
    <n v="1.0000000000012221E-3"/>
    <n v="643"/>
    <n v="5"/>
    <s v="Open ended"/>
    <s v="NIFTY 500 - TRI"/>
    <n v="5000"/>
    <n v="1000"/>
  </r>
  <r>
    <x v="643"/>
    <x v="15"/>
    <n v="5.3"/>
    <n v="3.82"/>
    <n v="5.58"/>
    <n v="0.78"/>
    <n v="63.673469387755098"/>
    <n v="26.235415236787922"/>
    <n v="36.746987951807228"/>
    <n v="38.978812424491011"/>
    <n v="74.712643678160916"/>
    <n v="19.309481531423597"/>
    <n v="66.554996919761436"/>
    <n v="54.80631636172609"/>
    <n v="5.2086538461538465"/>
    <n v="0.37134615384615355"/>
    <n v="644"/>
    <n v="8"/>
    <s v="Open ended"/>
    <s v=""/>
    <n v="1000"/>
    <n v="1000"/>
  </r>
  <r>
    <x v="644"/>
    <x v="29"/>
    <n v="4.13"/>
    <n v="1.96"/>
    <n v="3.81"/>
    <n v="0.5"/>
    <n v="61.160042964554236"/>
    <n v="23.043925875085797"/>
    <n v="30.474840538625088"/>
    <n v="34.38260662474913"/>
    <n v="85.440613026819918"/>
    <n v="20.205768659119435"/>
    <n v="65.002582076422271"/>
    <n v="54.802102088185116"/>
    <n v="5.0554237288135591"/>
    <n v="-1.245423728813559"/>
    <n v="645"/>
    <n v="31"/>
    <s v="Open ended"/>
    <s v="CRISIL Corporate Bond Index"/>
    <n v="1000"/>
    <n v="1000"/>
  </r>
  <r>
    <x v="645"/>
    <x v="13"/>
    <n v="-0.16"/>
    <n v="11.61"/>
    <n v="10.47"/>
    <n v="1.84"/>
    <n v="51.944146079484419"/>
    <n v="39.601921757035008"/>
    <n v="54.075124025513823"/>
    <n v="49.306967755764298"/>
    <n v="34.099616858237546"/>
    <n v="7.8139314916417693"/>
    <n v="86.465873649613997"/>
    <n v="54.794856504845036"/>
    <n v="10.461"/>
    <n v="9.0000000000003411E-3"/>
    <n v="646"/>
    <n v="19"/>
    <s v="Open ended"/>
    <s v="NIFTY 500 - TRI"/>
    <n v="1000"/>
    <n v="1000"/>
  </r>
  <r>
    <x v="646"/>
    <x v="29"/>
    <n v="4.7300000000000004"/>
    <n v="3.01"/>
    <n v="4.79"/>
    <n v="0.66"/>
    <n v="62.448979591836732"/>
    <n v="24.845573095401512"/>
    <n v="33.94755492558469"/>
    <n v="36.917245309780142"/>
    <n v="79.310344827586206"/>
    <n v="19.617991153442002"/>
    <n v="66.020642579801688"/>
    <n v="54.791369506737041"/>
    <n v="5.0554237288135591"/>
    <n v="-0.26542372881355902"/>
    <n v="647"/>
    <n v="32"/>
    <s v="Open ended"/>
    <s v="NIFTY Corporate Bond Index"/>
    <n v="1000"/>
    <n v="1000"/>
  </r>
  <r>
    <x v="647"/>
    <x v="8"/>
    <n v="6.57"/>
    <n v="16.170000000000002"/>
    <n v="12.63"/>
    <n v="2.2200000000000002"/>
    <n v="66.401718582169707"/>
    <n v="47.42621825669184"/>
    <n v="61.72927002126152"/>
    <n v="58.372844204072251"/>
    <n v="19.540229885057457"/>
    <n v="9.8866802478258897"/>
    <n v="82.875767492577893"/>
    <n v="54.790421446444967"/>
    <n v="12.436666666666667"/>
    <n v="0.19333333333333336"/>
    <n v="648"/>
    <n v="6"/>
    <s v="Open ended"/>
    <s v="NIFTY500 Value 50 - TRI"/>
    <n v="5000"/>
    <n v="1000"/>
  </r>
  <r>
    <x v="648"/>
    <x v="27"/>
    <n v="-0.27"/>
    <n v="13.63"/>
    <n v="8.77"/>
    <n v="1.9"/>
    <n v="51.707841031149293"/>
    <n v="43.067947838023343"/>
    <n v="48.051027639971643"/>
    <n v="47.287466377622678"/>
    <n v="31.800766283524908"/>
    <n v="4.3368791175049948"/>
    <n v="92.488305022196869"/>
    <n v="54.716001015241787"/>
    <n v="10.044583333333334"/>
    <n v="-1.2745833333333341"/>
    <n v="649"/>
    <n v="19"/>
    <s v="Open ended"/>
    <s v="NIFTY 100 - TRI"/>
    <n v="5000"/>
    <n v="1000"/>
  </r>
  <r>
    <x v="649"/>
    <x v="16"/>
    <n v="5.08"/>
    <n v="3.8"/>
    <n v="4.93"/>
    <n v="0.72"/>
    <n v="63.200859291084853"/>
    <n v="26.20109814687715"/>
    <n v="34.443656980864631"/>
    <n v="37.722329792712429"/>
    <n v="77.011494252873575"/>
    <n v="19.424635498815682"/>
    <n v="66.355544397545216"/>
    <n v="54.702924558960916"/>
    <n v="4.9189795918367345"/>
    <n v="1.1020408163265216E-2"/>
    <n v="650"/>
    <n v="24"/>
    <s v="Open ended"/>
    <s v="NIFTY Banking and PSU Debt Index"/>
    <n v="1000"/>
    <n v="1000"/>
  </r>
  <r>
    <x v="650"/>
    <x v="15"/>
    <n v="5.64"/>
    <n v="4.04"/>
    <n v="7.07"/>
    <n v="0.96"/>
    <n v="64.403866809881833"/>
    <n v="26.612903225806456"/>
    <n v="42.026931254429478"/>
    <n v="41.878109956933045"/>
    <n v="67.81609195402298"/>
    <n v="19.002089505862923"/>
    <n v="67.087415525874036"/>
    <n v="54.66493184844078"/>
    <n v="5.2086538461538465"/>
    <n v="1.8613461538461538"/>
    <n v="651"/>
    <n v="9"/>
    <s v="Open ended"/>
    <s v=""/>
    <n v="1000"/>
    <n v="1000"/>
  </r>
  <r>
    <x v="651"/>
    <x v="15"/>
    <n v="5.65"/>
    <n v="4.04"/>
    <n v="7.07"/>
    <n v="0.96"/>
    <n v="64.425349087003212"/>
    <n v="26.612903225806456"/>
    <n v="42.026931254429478"/>
    <n v="41.882406412357312"/>
    <n v="67.81609195402298"/>
    <n v="19.013427025287807"/>
    <n v="67.06777836619834"/>
    <n v="54.662170786233986"/>
    <n v="5.2086538461538465"/>
    <n v="1.8613461538461538"/>
    <n v="652"/>
    <n v="10"/>
    <s v="Open ended"/>
    <s v=""/>
    <n v="20000"/>
    <n v="1000"/>
  </r>
  <r>
    <x v="652"/>
    <x v="38"/>
    <n v="6.36"/>
    <n v="4.53"/>
    <n v="4.97"/>
    <n v="0.73"/>
    <n v="65.950590762620848"/>
    <n v="27.453671928620459"/>
    <n v="34.585400425230326"/>
    <n v="38.718919943725467"/>
    <n v="76.628352490421463"/>
    <n v="20.480272930968258"/>
    <n v="64.52712673068541"/>
    <n v="54.648329777139452"/>
    <n v="4.625"/>
    <n v="0.34499999999999975"/>
    <n v="653"/>
    <n v="7"/>
    <s v="Open ended"/>
    <s v="CRISIL Dynamic Debt Index"/>
    <n v="1000"/>
    <n v="1000"/>
  </r>
  <r>
    <x v="653"/>
    <x v="38"/>
    <n v="5.39"/>
    <n v="2.48"/>
    <n v="5.09"/>
    <n v="0.66"/>
    <n v="63.866809881847473"/>
    <n v="23.936170212765962"/>
    <n v="35.010630758327423"/>
    <n v="37.459528419362996"/>
    <n v="79.310344827586206"/>
    <n v="20.614633695370781"/>
    <n v="64.294407060196448"/>
    <n v="54.630952181627158"/>
    <n v="4.625"/>
    <n v="0.46499999999999986"/>
    <n v="654"/>
    <n v="8"/>
    <s v="Open ended"/>
    <s v="NIFTY Composite Debt Index"/>
    <n v="5000"/>
    <n v="1000"/>
  </r>
  <r>
    <x v="654"/>
    <x v="44"/>
    <n v="8.1199999999999992"/>
    <n v="15.14"/>
    <n v="11.65"/>
    <n v="2.06"/>
    <n v="69.731471535982806"/>
    <n v="45.658888126286897"/>
    <n v="58.256555634301911"/>
    <n v="56.772238562233582"/>
    <n v="25.670498084291182"/>
    <n v="12.040654699876255"/>
    <n v="79.144974303421336"/>
    <n v="54.589987378044924"/>
    <n v="11.035555555555554"/>
    <n v="0.61444444444444635"/>
    <n v="655"/>
    <n v="2"/>
    <s v="Open ended"/>
    <s v="Nifty India Consumption - TRI"/>
    <n v="5000"/>
    <n v="1000"/>
  </r>
  <r>
    <x v="655"/>
    <x v="45"/>
    <n v="9.9600000000000009"/>
    <n v="3.68"/>
    <n v="4.4800000000000004"/>
    <n v="0.51"/>
    <n v="73.68421052631578"/>
    <n v="25.995195607412498"/>
    <n v="32.849043231750528"/>
    <n v="38.959922403362171"/>
    <n v="85.057471264367805"/>
    <n v="25.78348392274971"/>
    <n v="55.341695849662202"/>
    <n v="54.579752980188587"/>
    <n v="4.1175000000000006"/>
    <n v="0.36249999999999982"/>
    <n v="656"/>
    <n v="3"/>
    <s v="Open ended"/>
    <s v="Crisil Long Term Debt Index"/>
    <n v="5000"/>
    <n v="1000"/>
  </r>
  <r>
    <x v="656"/>
    <x v="45"/>
    <n v="9.9600000000000009"/>
    <n v="3.68"/>
    <n v="4.45"/>
    <n v="0.51"/>
    <n v="73.68421052631578"/>
    <n v="25.995195607412498"/>
    <n v="32.742735648476256"/>
    <n v="38.906768611725035"/>
    <n v="85.057471264367805"/>
    <n v="25.806897675214351"/>
    <n v="55.3011420407976"/>
    <n v="54.543037632153869"/>
    <n v="4.1175000000000006"/>
    <n v="0.33249999999999957"/>
    <n v="657"/>
    <n v="4"/>
    <s v="Open ended"/>
    <s v="Crisil Long Term Debt Index"/>
    <n v="5000"/>
    <n v="1000"/>
  </r>
  <r>
    <x v="657"/>
    <x v="16"/>
    <n v="4.87"/>
    <n v="3.05"/>
    <n v="5.07"/>
    <n v="0.72"/>
    <n v="62.749731471535974"/>
    <n v="24.914207275223067"/>
    <n v="34.939759036144579"/>
    <n v="37.494087994946405"/>
    <n v="77.011494252873575"/>
    <n v="19.602011572701432"/>
    <n v="66.048320025528"/>
    <n v="54.5119975670736"/>
    <n v="4.9189795918367345"/>
    <n v="0.15102040816326578"/>
    <n v="658"/>
    <n v="25"/>
    <s v="Open ended"/>
    <s v="CRISIL Banking and PSU Debt Index"/>
    <n v="5000"/>
    <n v="1000"/>
  </r>
  <r>
    <x v="658"/>
    <x v="16"/>
    <n v="4.87"/>
    <n v="3.05"/>
    <n v="5.07"/>
    <n v="0.72"/>
    <n v="62.749731471535974"/>
    <n v="24.914207275223067"/>
    <n v="34.939759036144579"/>
    <n v="37.494087994946405"/>
    <n v="77.011494252873575"/>
    <n v="19.602011572701432"/>
    <n v="66.048320025528"/>
    <n v="54.5119975670736"/>
    <n v="4.9189795918367345"/>
    <n v="0.15102040816326578"/>
    <n v="658"/>
    <n v="25"/>
    <s v="Open ended"/>
    <s v="CRISIL Banking and PSU Debt Index"/>
    <n v="5000"/>
    <n v="1000"/>
  </r>
  <r>
    <x v="659"/>
    <x v="27"/>
    <n v="-3.89"/>
    <n v="8.94"/>
    <n v="11.66"/>
    <n v="1.65"/>
    <n v="43.931256713211596"/>
    <n v="35.020590253946473"/>
    <n v="58.291991495393333"/>
    <n v="48.438424166522928"/>
    <n v="41.37931034482758"/>
    <n v="11.741584191616075"/>
    <n v="79.66297961877342"/>
    <n v="54.479784574161712"/>
    <n v="10.044583333333334"/>
    <n v="1.6154166666666665"/>
    <n v="660"/>
    <n v="20"/>
    <s v="Open ended"/>
    <s v="S&amp;P BSE 100 - TRI"/>
    <n v="1000"/>
    <n v="1000"/>
  </r>
  <r>
    <x v="660"/>
    <x v="11"/>
    <n v="-2.6"/>
    <n v="11.27"/>
    <n v="8.16"/>
    <n v="1.76"/>
    <n v="46.702470461868955"/>
    <n v="39.018531228551822"/>
    <n v="45.889440113394755"/>
    <n v="43.990773517636718"/>
    <n v="37.164750957854409"/>
    <n v="4.2212424986146742"/>
    <n v="92.68859352133039"/>
    <n v="54.458722878614559"/>
    <n v="11.362272727272726"/>
    <n v="-3.2022727272727263"/>
    <n v="661"/>
    <n v="32"/>
    <s v="Open ended"/>
    <s v="Nifty Midcap 150 - TRI"/>
    <n v="1000"/>
    <n v="1000"/>
  </r>
  <r>
    <x v="661"/>
    <x v="38"/>
    <n v="6.36"/>
    <n v="4.53"/>
    <n v="4.8"/>
    <n v="0.73"/>
    <n v="65.950590762620848"/>
    <n v="27.453671928620459"/>
    <n v="33.982990786676112"/>
    <n v="38.417715124448364"/>
    <n v="76.628352490421463"/>
    <n v="20.601667459552061"/>
    <n v="64.316865239417382"/>
    <n v="54.445161994683893"/>
    <n v="4.625"/>
    <n v="0.17499999999999982"/>
    <n v="662"/>
    <n v="9"/>
    <s v="Open ended"/>
    <s v="CRISIL Dynamic Debt Index"/>
    <n v="1000"/>
    <n v="1000"/>
  </r>
  <r>
    <x v="662"/>
    <x v="38"/>
    <n v="5.39"/>
    <n v="2.48"/>
    <n v="4.91"/>
    <n v="0.66"/>
    <n v="63.866809881847473"/>
    <n v="23.936170212765962"/>
    <n v="34.37278525868178"/>
    <n v="37.140605669540179"/>
    <n v="79.310344827586206"/>
    <n v="20.709403687176216"/>
    <n v="64.130260619356548"/>
    <n v="54.430454196505778"/>
    <n v="4.625"/>
    <n v="0.28500000000000014"/>
    <n v="663"/>
    <n v="10"/>
    <s v="Open ended"/>
    <s v="NIFTY Composite Debt Index"/>
    <n v="5000"/>
    <n v="1000"/>
  </r>
  <r>
    <x v="663"/>
    <x v="23"/>
    <n v="4.74"/>
    <n v="14.37"/>
    <n v="10.58"/>
    <n v="2.02"/>
    <n v="62.470461868958104"/>
    <n v="44.337680164722038"/>
    <n v="54.464918497519491"/>
    <n v="53.027855671967977"/>
    <n v="27.203065134099624"/>
    <n v="9.0870553834813581"/>
    <n v="84.260758384618001"/>
    <n v="54.379883715663397"/>
    <n v="10.023387096774194"/>
    <n v="0.55661290322580648"/>
    <n v="664"/>
    <n v="19"/>
    <s v="Open ended"/>
    <s v="NIFTY 500 - TRI"/>
    <n v="1000"/>
    <n v="1000"/>
  </r>
  <r>
    <x v="664"/>
    <x v="45"/>
    <n v="9.9600000000000009"/>
    <n v="3.68"/>
    <n v="4.3099999999999996"/>
    <n v="0.51"/>
    <n v="73.68421052631578"/>
    <n v="25.995195607412498"/>
    <n v="32.246633593196314"/>
    <n v="38.658717584085068"/>
    <n v="85.057471264367805"/>
    <n v="25.917804057293878"/>
    <n v="55.109046552152215"/>
    <n v="54.370988246172544"/>
    <n v="4.1175000000000006"/>
    <n v="0.19249999999999901"/>
    <n v="665"/>
    <n v="5"/>
    <s v="Open ended"/>
    <s v="Crisil Long Term Debt Index"/>
    <n v="5000"/>
    <n v="1000"/>
  </r>
  <r>
    <x v="665"/>
    <x v="13"/>
    <n v="0.85"/>
    <n v="16.100000000000001"/>
    <n v="11.96"/>
    <n v="2.25"/>
    <n v="54.113856068743281"/>
    <n v="47.306108442004124"/>
    <n v="59.355067328136066"/>
    <n v="54.692137410417928"/>
    <n v="18.390804597701148"/>
    <n v="6.0414282728321815"/>
    <n v="89.535939281171579"/>
    <n v="54.327754674927149"/>
    <n v="10.461"/>
    <n v="1.4990000000000006"/>
    <n v="666"/>
    <n v="20"/>
    <s v="Open ended"/>
    <s v="S&amp;P BSE 500 - TRI"/>
    <n v="1000"/>
    <n v="1000"/>
  </r>
  <r>
    <x v="666"/>
    <x v="2"/>
    <n v="-0.65"/>
    <n v="8.69"/>
    <n v="6.23"/>
    <n v="1.38"/>
    <n v="50.891514500537049"/>
    <n v="34.591626630061775"/>
    <n v="39.050318922749824"/>
    <n v="40.080950350500856"/>
    <n v="51.724137931034477"/>
    <n v="8.4239756475426582"/>
    <n v="85.409246176733177"/>
    <n v="54.323821202192342"/>
    <n v="9.2084615384615383"/>
    <n v="-2.9784615384615378"/>
    <n v="667"/>
    <n v="12"/>
    <s v="Open ended"/>
    <s v="CRISIL Hybrid 35+65 - Aggressive Index"/>
    <n v="1000"/>
    <n v="1000"/>
  </r>
  <r>
    <x v="667"/>
    <x v="27"/>
    <n v="-0.27"/>
    <n v="13.63"/>
    <n v="8.32"/>
    <n v="1.9"/>
    <n v="51.707841031149293"/>
    <n v="43.067947838023343"/>
    <n v="46.456413890857547"/>
    <n v="46.490159503065634"/>
    <n v="31.800766283524908"/>
    <n v="4.353292692312082"/>
    <n v="92.459875876697168"/>
    <n v="54.310240291588336"/>
    <n v="10.044583333333334"/>
    <n v="-1.7245833333333334"/>
    <n v="668"/>
    <n v="21"/>
    <s v="Open ended"/>
    <s v="NIFTY 100 - TRI"/>
    <n v="5000"/>
    <n v="1000"/>
  </r>
  <r>
    <x v="668"/>
    <x v="23"/>
    <n v="-2.08"/>
    <n v="13.76"/>
    <n v="9.9700000000000006"/>
    <n v="2.0099999999999998"/>
    <n v="47.819548872180448"/>
    <n v="43.291008922443382"/>
    <n v="52.303330970942596"/>
    <n v="48.702877936640405"/>
    <n v="27.586206896551737"/>
    <n v="4.5061795476029278"/>
    <n v="92.195068075523992"/>
    <n v="54.29675771133914"/>
    <n v="10.023387096774194"/>
    <n v="-5.3387096774192955E-2"/>
    <n v="669"/>
    <n v="20"/>
    <s v="Open ended"/>
    <s v="NIFTY 500 - TRI"/>
    <n v="1000"/>
    <n v="1000"/>
  </r>
  <r>
    <x v="669"/>
    <x v="13"/>
    <n v="0.86"/>
    <n v="16.100000000000001"/>
    <n v="11.75"/>
    <n v="2.25"/>
    <n v="54.13533834586466"/>
    <n v="47.306108442004124"/>
    <n v="58.610914245216165"/>
    <n v="54.324357324382255"/>
    <n v="18.390804597701148"/>
    <n v="5.6930922318041954"/>
    <n v="90.139275002339446"/>
    <n v="54.294698562201276"/>
    <n v="10.461"/>
    <n v="1.2889999999999997"/>
    <n v="670"/>
    <n v="21"/>
    <s v="Open ended"/>
    <s v="S&amp;P BSE 500 - TRI"/>
    <n v="1000"/>
    <n v="1000"/>
  </r>
  <r>
    <x v="670"/>
    <x v="13"/>
    <n v="-7.47"/>
    <n v="12.42"/>
    <n v="12.17"/>
    <n v="1.69"/>
    <n v="36.240601503759393"/>
    <n v="40.991763898421418"/>
    <n v="60.099220411055988"/>
    <n v="49.595259675806304"/>
    <n v="39.846743295019159"/>
    <n v="12.628685169395654"/>
    <n v="78.126475653815149"/>
    <n v="54.290934575111734"/>
    <n v="10.461"/>
    <n v="1.7089999999999996"/>
    <n v="671"/>
    <n v="22"/>
    <s v="Open ended"/>
    <s v="NIFTY 500 - TRI"/>
    <n v="5000"/>
    <n v="1000"/>
  </r>
  <r>
    <x v="671"/>
    <x v="13"/>
    <n v="-7.47"/>
    <n v="12.42"/>
    <n v="12.02"/>
    <n v="1.69"/>
    <n v="36.240601503759393"/>
    <n v="40.991763898421418"/>
    <n v="59.567682494684618"/>
    <n v="49.329490717620615"/>
    <n v="39.846743295019159"/>
    <n v="12.327415269448773"/>
    <n v="78.64829042731435"/>
    <n v="54.288503789393687"/>
    <n v="10.461"/>
    <n v="1.5589999999999993"/>
    <n v="672"/>
    <n v="23"/>
    <s v="Open ended"/>
    <s v="NIFTY 500 - TRI"/>
    <n v="5000"/>
    <n v="1000"/>
  </r>
  <r>
    <x v="672"/>
    <x v="23"/>
    <n v="-2.08"/>
    <n v="13.75"/>
    <n v="9.77"/>
    <n v="2.0099999999999998"/>
    <n v="47.819548872180448"/>
    <n v="43.273850377487996"/>
    <n v="51.594613749114096"/>
    <n v="48.343371762239535"/>
    <n v="27.586206896551737"/>
    <n v="4.1663251736652738"/>
    <n v="92.78371311835852"/>
    <n v="54.26416588484733"/>
    <n v="10.023387096774194"/>
    <n v="-0.25338709677419402"/>
    <n v="673"/>
    <n v="21"/>
    <s v="Open ended"/>
    <s v="NIFTY 500 - TRI"/>
    <n v="1000"/>
    <n v="1000"/>
  </r>
  <r>
    <x v="673"/>
    <x v="29"/>
    <n v="4.7300000000000004"/>
    <n v="3.01"/>
    <n v="4.33"/>
    <n v="0.66"/>
    <n v="62.448979591836732"/>
    <n v="24.845573095401512"/>
    <n v="32.317505315379158"/>
    <n v="36.102220504677376"/>
    <n v="79.310344827586206"/>
    <n v="19.907082882351659"/>
    <n v="65.519921017282229"/>
    <n v="54.258676713555801"/>
    <n v="5.0554237288135591"/>
    <n v="-0.72542372881355899"/>
    <n v="674"/>
    <n v="33"/>
    <s v="Open ended"/>
    <s v="NIFTY Corporate Bond Index"/>
    <n v="1000"/>
    <n v="1000"/>
  </r>
  <r>
    <x v="674"/>
    <x v="23"/>
    <n v="7.47"/>
    <n v="15.45"/>
    <n v="8.61"/>
    <n v="1.79"/>
    <n v="68.335123523093444"/>
    <n v="46.190803019903917"/>
    <n v="47.484053862508851"/>
    <n v="51.266292541844294"/>
    <n v="36.015325670498079"/>
    <n v="12.428532591584238"/>
    <n v="78.473150087850399"/>
    <n v="54.255265210509265"/>
    <n v="10.023387096774194"/>
    <n v="-1.4133870967741942"/>
    <n v="675"/>
    <n v="22"/>
    <s v="Open ended"/>
    <s v="S&amp;P BSE 500 - TRI"/>
    <n v="1000"/>
    <n v="1000"/>
  </r>
  <r>
    <x v="675"/>
    <x v="23"/>
    <n v="7.47"/>
    <n v="15.45"/>
    <n v="8.61"/>
    <n v="1.79"/>
    <n v="68.335123523093444"/>
    <n v="46.190803019903917"/>
    <n v="47.484053862508851"/>
    <n v="51.266292541844294"/>
    <n v="36.015325670498079"/>
    <n v="12.428532591584238"/>
    <n v="78.473150087850399"/>
    <n v="54.255265210509265"/>
    <n v="10.023387096774194"/>
    <n v="-1.4133870967741942"/>
    <n v="675"/>
    <n v="22"/>
    <s v="Open ended"/>
    <s v="S&amp;P BSE 500 - TRI"/>
    <n v="1000"/>
    <n v="1000"/>
  </r>
  <r>
    <x v="676"/>
    <x v="11"/>
    <n v="4.6100000000000003"/>
    <n v="14.89"/>
    <n v="8.8699999999999992"/>
    <n v="1.89"/>
    <n v="62.191192266380234"/>
    <n v="45.229924502402206"/>
    <n v="48.40538625088589"/>
    <n v="50.209908929439649"/>
    <n v="32.18390804597702"/>
    <n v="9.0168047645704608"/>
    <n v="84.382436025834835"/>
    <n v="54.246540482672792"/>
    <n v="11.362272727272726"/>
    <n v="-2.4922727272727272"/>
    <n v="677"/>
    <n v="33"/>
    <s v="Open ended"/>
    <s v="Nifty Midcap 150 - TRI"/>
    <n v="5000"/>
    <n v="1000"/>
  </r>
  <r>
    <x v="677"/>
    <x v="27"/>
    <n v="-3.85"/>
    <n v="8.5500000000000007"/>
    <n v="11.18"/>
    <n v="1.65"/>
    <n v="44.017185821697097"/>
    <n v="34.351407000686343"/>
    <n v="56.59107016300495"/>
    <n v="47.404394346047795"/>
    <n v="41.37931034482758"/>
    <n v="11.1514757260992"/>
    <n v="80.685077463025152"/>
    <n v="54.218294124987082"/>
    <n v="10.044583333333334"/>
    <n v="1.1354166666666661"/>
    <n v="678"/>
    <n v="22"/>
    <s v="Open ended"/>
    <s v="S&amp;P BSE 100 - TRI"/>
    <n v="1000"/>
    <n v="1000"/>
  </r>
  <r>
    <x v="678"/>
    <x v="29"/>
    <n v="4.43"/>
    <n v="2.61"/>
    <n v="4.72"/>
    <n v="0.7"/>
    <n v="61.804511278195484"/>
    <n v="24.159231297186"/>
    <n v="33.699503897944716"/>
    <n v="36.45842359376725"/>
    <n v="77.777777777777786"/>
    <n v="19.57070662150165"/>
    <n v="66.102541791534492"/>
    <n v="54.199291689211698"/>
    <n v="5.0554237288135591"/>
    <n v="-0.33542372881355931"/>
    <n v="679"/>
    <n v="34"/>
    <s v="Open ended"/>
    <s v="CRISIL Corporate Bond Composite Index"/>
    <n v="1000"/>
    <n v="1000"/>
  </r>
  <r>
    <x v="679"/>
    <x v="29"/>
    <n v="4.43"/>
    <n v="2.61"/>
    <n v="4.72"/>
    <n v="0.7"/>
    <n v="61.804511278195484"/>
    <n v="24.159231297186"/>
    <n v="33.699503897944716"/>
    <n v="36.45842359376725"/>
    <n v="77.777777777777786"/>
    <n v="19.57070662150165"/>
    <n v="66.102541791534492"/>
    <n v="54.199291689211698"/>
    <n v="5.0554237288135591"/>
    <n v="-0.33542372881355931"/>
    <n v="679"/>
    <n v="34"/>
    <s v="Open ended"/>
    <s v="CRISIL Corporate Bond Composite Index"/>
    <n v="1000"/>
    <n v="1000"/>
  </r>
  <r>
    <x v="680"/>
    <x v="30"/>
    <n v="3.61"/>
    <n v="7.15"/>
    <n v="6.68"/>
    <n v="1.22"/>
    <n v="60.042964554242751"/>
    <n v="31.949210706932057"/>
    <n v="40.64493267186392"/>
    <n v="41.915822458860127"/>
    <n v="57.854406130268202"/>
    <n v="14.382618135759502"/>
    <n v="75.088574643002971"/>
    <n v="54.193656422747857"/>
    <n v="6.1480952380952392"/>
    <n v="0.53190476190476055"/>
    <n v="681"/>
    <n v="9"/>
    <s v="Open ended"/>
    <s v="NIFTY 50 Equity Savings Index - TRI"/>
    <n v="5000"/>
    <n v="1000"/>
  </r>
  <r>
    <x v="681"/>
    <x v="16"/>
    <n v="3.85"/>
    <n v="1.42"/>
    <n v="4.38"/>
    <n v="0.61"/>
    <n v="60.558539205155746"/>
    <n v="22.117364447494854"/>
    <n v="32.494684620836281"/>
    <n v="34.994259485697746"/>
    <n v="81.226053639846739"/>
    <n v="19.887150897245572"/>
    <n v="65.554444228181694"/>
    <n v="54.192254209855982"/>
    <n v="4.9189795918367345"/>
    <n v="-0.53897959183673461"/>
    <n v="682"/>
    <n v="27"/>
    <s v="Open ended"/>
    <s v="NIFTY Banking and PSU Debt Index"/>
    <n v="5000"/>
    <n v="1000"/>
  </r>
  <r>
    <x v="682"/>
    <x v="16"/>
    <n v="5.43"/>
    <n v="3.64"/>
    <n v="5.41"/>
    <n v="0.81"/>
    <n v="63.952738990332968"/>
    <n v="25.926561427590944"/>
    <n v="36.144578313253007"/>
    <n v="38.640805382970385"/>
    <n v="73.563218390804593"/>
    <n v="19.679481062565124"/>
    <n v="65.914138933047653"/>
    <n v="54.189742022448257"/>
    <n v="4.9189795918367345"/>
    <n v="0.49102040816326564"/>
    <n v="683"/>
    <n v="28"/>
    <s v="Open ended"/>
    <s v="CRISIL Banking and PSU Debt Index"/>
    <n v="5000"/>
    <n v="1000"/>
  </r>
  <r>
    <x v="683"/>
    <x v="21"/>
    <n v="3.04"/>
    <n v="15.07"/>
    <n v="11.24"/>
    <n v="2.17"/>
    <n v="58.818474758324378"/>
    <n v="45.538778311599181"/>
    <n v="56.80368532955351"/>
    <n v="53.82717110992138"/>
    <n v="21.455938697318011"/>
    <n v="7.1566733925128618"/>
    <n v="87.604278070991398"/>
    <n v="54.178639747038041"/>
    <n v="10.412619047619048"/>
    <n v="0.82738095238095255"/>
    <n v="684"/>
    <n v="22"/>
    <s v="Open ended"/>
    <s v="NIFTY LargeMidcap 250 - TRI"/>
    <n v="5000"/>
    <n v="1000"/>
  </r>
  <r>
    <x v="684"/>
    <x v="16"/>
    <n v="5.43"/>
    <n v="3.63"/>
    <n v="5.4"/>
    <n v="0.81"/>
    <n v="63.952738990332968"/>
    <n v="25.909402882635558"/>
    <n v="36.109142452161585"/>
    <n v="38.617939888938054"/>
    <n v="73.563218390804593"/>
    <n v="19.691774838198551"/>
    <n v="65.892845489033704"/>
    <n v="54.172985914428601"/>
    <n v="4.9189795918367345"/>
    <n v="0.48102040816326586"/>
    <n v="685"/>
    <n v="29"/>
    <s v="Open ended"/>
    <s v="CRISIL Banking and PSU Debt Index"/>
    <n v="5000"/>
    <n v="1000"/>
  </r>
  <r>
    <x v="685"/>
    <x v="16"/>
    <n v="3.85"/>
    <n v="1.42"/>
    <n v="4.3600000000000003"/>
    <n v="0.61"/>
    <n v="60.558539205155746"/>
    <n v="22.117364447494854"/>
    <n v="32.423812898653438"/>
    <n v="34.958823624606325"/>
    <n v="81.226053639846739"/>
    <n v="19.897695095861426"/>
    <n v="65.53618114045392"/>
    <n v="54.169970507378331"/>
    <n v="4.9189795918367345"/>
    <n v="-0.55897959183673418"/>
    <n v="686"/>
    <n v="30"/>
    <s v="Open ended"/>
    <s v="NIFTY Banking and PSU Debt Index"/>
    <n v="5000"/>
    <n v="1000"/>
  </r>
  <r>
    <x v="686"/>
    <x v="16"/>
    <n v="5.2"/>
    <n v="3.63"/>
    <n v="5.31"/>
    <n v="0.81"/>
    <n v="63.458646616541344"/>
    <n v="25.909402882635558"/>
    <n v="35.790219702338767"/>
    <n v="38.35966003926832"/>
    <n v="73.563218390804593"/>
    <n v="19.464146928474083"/>
    <n v="66.287108593897187"/>
    <n v="54.142411765809605"/>
    <n v="4.9189795918367345"/>
    <n v="0.39102040816326511"/>
    <n v="687"/>
    <n v="31"/>
    <s v="Open ended"/>
    <s v="NIFTY Banking and PSU Debt Index"/>
    <n v="1000"/>
    <n v="1000"/>
  </r>
  <r>
    <x v="687"/>
    <x v="38"/>
    <n v="5.4"/>
    <n v="2.48"/>
    <n v="4.6500000000000004"/>
    <n v="0.66"/>
    <n v="63.888292158968852"/>
    <n v="23.936170212765962"/>
    <n v="33.451452870304749"/>
    <n v="36.684235930775934"/>
    <n v="79.310344827586206"/>
    <n v="20.869091331205151"/>
    <n v="63.853673506557463"/>
    <n v="54.133122548923886"/>
    <n v="4.625"/>
    <n v="2.5000000000000355E-2"/>
    <n v="688"/>
    <n v="11"/>
    <s v="Open ended"/>
    <s v="NIFTY Composite Debt Index"/>
    <n v="5000"/>
    <n v="1000"/>
  </r>
  <r>
    <x v="688"/>
    <x v="6"/>
    <n v="7.06"/>
    <n v="15.2"/>
    <n v="8.5"/>
    <n v="1.79"/>
    <n v="67.454350161117077"/>
    <n v="45.761839396019219"/>
    <n v="47.094259390503183"/>
    <n v="50.766551546280773"/>
    <n v="36.015325670498079"/>
    <n v="12.157807248315956"/>
    <n v="78.942060137287598"/>
    <n v="54.122622225086808"/>
    <n v="9.0435999999999996"/>
    <n v="-0.54359999999999964"/>
    <n v="689"/>
    <n v="11"/>
    <s v="Open ended"/>
    <s v="S&amp;P BSE 500 - TRI"/>
    <n v="1000"/>
    <n v="1000"/>
  </r>
  <r>
    <x v="689"/>
    <x v="16"/>
    <n v="3.85"/>
    <n v="1.42"/>
    <n v="4.3"/>
    <n v="0.61"/>
    <n v="60.558539205155746"/>
    <n v="22.117364447494854"/>
    <n v="32.211197732104893"/>
    <n v="34.852516041332052"/>
    <n v="81.226053639846739"/>
    <n v="19.929798275096662"/>
    <n v="65.48057680293401"/>
    <n v="54.102915631361213"/>
    <n v="4.9189795918367345"/>
    <n v="-0.61897959183673468"/>
    <n v="690"/>
    <n v="32"/>
    <s v="Open ended"/>
    <s v="NIFTY Banking and PSU Debt Index"/>
    <n v="5000"/>
    <n v="1000"/>
  </r>
  <r>
    <x v="690"/>
    <x v="26"/>
    <n v="5.63"/>
    <n v="4.6399999999999997"/>
    <n v="4.43"/>
    <n v="0.75"/>
    <n v="64.382384532760469"/>
    <n v="27.642415923129722"/>
    <n v="32.671863926293412"/>
    <n v="37.505133646637717"/>
    <n v="75.862068965517238"/>
    <n v="19.919327957984056"/>
    <n v="65.498711924144402"/>
    <n v="54.092762045734268"/>
    <n v="4.4728846153846158"/>
    <n v="-4.2884615384616076E-2"/>
    <n v="691"/>
    <n v="40"/>
    <s v="Open ended"/>
    <s v="CRISIL Money Market Index"/>
    <n v="1000"/>
    <n v="1000"/>
  </r>
  <r>
    <x v="691"/>
    <x v="16"/>
    <n v="3.85"/>
    <n v="1.42"/>
    <n v="4.29"/>
    <n v="0.61"/>
    <n v="60.558539205155746"/>
    <n v="22.117364447494854"/>
    <n v="32.175761871013464"/>
    <n v="34.834798110786338"/>
    <n v="81.226053639846739"/>
    <n v="19.935217266092902"/>
    <n v="65.471190835202762"/>
    <n v="54.091710174155551"/>
    <n v="4.9189795918367345"/>
    <n v="-0.62897959183673446"/>
    <n v="692"/>
    <n v="33"/>
    <s v="Open ended"/>
    <s v="NIFTY Banking and PSU Debt Index"/>
    <n v="5000"/>
    <n v="1000"/>
  </r>
  <r>
    <x v="692"/>
    <x v="6"/>
    <n v="7.06"/>
    <n v="15.18"/>
    <n v="8.4700000000000006"/>
    <n v="1.79"/>
    <n v="67.454350161117077"/>
    <n v="45.727522306108447"/>
    <n v="46.987951807228917"/>
    <n v="50.703102627670404"/>
    <n v="36.015325670498079"/>
    <n v="12.196428389413228"/>
    <n v="78.875166358660834"/>
    <n v="54.074174321124929"/>
    <n v="9.0435999999999996"/>
    <n v="-0.573599999999999"/>
    <n v="693"/>
    <n v="12"/>
    <s v="Open ended"/>
    <s v="S&amp;P BSE 500 - TRI"/>
    <n v="1000"/>
    <n v="1000"/>
  </r>
  <r>
    <x v="693"/>
    <x v="26"/>
    <n v="5.63"/>
    <n v="4.6399999999999997"/>
    <n v="4.4000000000000004"/>
    <n v="0.75"/>
    <n v="64.382384532760469"/>
    <n v="27.642415923129722"/>
    <n v="32.565556343019132"/>
    <n v="37.451979855000573"/>
    <n v="75.862068965517238"/>
    <n v="19.943140679968643"/>
    <n v="65.45746707980058"/>
    <n v="54.055873938829741"/>
    <n v="4.4728846153846158"/>
    <n v="-7.2884615384615437E-2"/>
    <n v="694"/>
    <n v="41"/>
    <s v="Open ended"/>
    <s v="CRISIL Money Market Index"/>
    <n v="1000"/>
    <n v="1000"/>
  </r>
  <r>
    <x v="694"/>
    <x v="16"/>
    <n v="5.0999999999999996"/>
    <n v="3.58"/>
    <n v="5.21"/>
    <n v="0.81"/>
    <n v="63.243823845327597"/>
    <n v="25.823610157858617"/>
    <n v="35.43586109142452"/>
    <n v="38.113778362135363"/>
    <n v="73.563218390804593"/>
    <n v="19.433435761371602"/>
    <n v="66.340301895678408"/>
    <n v="54.032769252688432"/>
    <n v="4.9189795918367345"/>
    <n v="0.29102040816326546"/>
    <n v="695"/>
    <n v="34"/>
    <s v="Open ended"/>
    <s v="NIFTY Banking and PSU Debt Index"/>
    <n v="1000"/>
    <n v="1000"/>
  </r>
  <r>
    <x v="695"/>
    <x v="4"/>
    <n v="4.1500000000000004"/>
    <n v="23"/>
    <n v="10.47"/>
    <n v="2.5099999999999998"/>
    <n v="61.203007518796994"/>
    <n v="59.145504461221691"/>
    <n v="54.075124025513823"/>
    <n v="57.02181485488282"/>
    <n v="8.4291187739463638"/>
    <n v="3.6685328513489681"/>
    <n v="93.645914712228063"/>
    <n v="54.029665798985015"/>
    <n v="12.127586206896551"/>
    <n v="-1.6575862068965499"/>
    <n v="696"/>
    <n v="24"/>
    <s v="Open ended"/>
    <s v="Nifty Smallcap 250 - TRI"/>
    <n v="5000"/>
    <n v="1000"/>
  </r>
  <r>
    <x v="696"/>
    <x v="4"/>
    <n v="4.1500000000000004"/>
    <n v="23"/>
    <n v="10.47"/>
    <n v="2.5099999999999998"/>
    <n v="61.203007518796994"/>
    <n v="59.145504461221691"/>
    <n v="54.075124025513823"/>
    <n v="57.02181485488282"/>
    <n v="8.4291187739463638"/>
    <n v="3.6685328513489681"/>
    <n v="93.645914712228063"/>
    <n v="54.029665798985015"/>
    <n v="12.127586206896551"/>
    <n v="-1.6575862068965499"/>
    <n v="696"/>
    <n v="24"/>
    <s v="Open ended"/>
    <s v="Nifty Smallcap 250 - TRI"/>
    <n v="5000"/>
    <n v="1000"/>
  </r>
  <r>
    <x v="697"/>
    <x v="33"/>
    <n v="5.81"/>
    <n v="4.9000000000000004"/>
    <n v="4.46"/>
    <n v="0.77"/>
    <n v="64.769065520945219"/>
    <n v="28.088538091969806"/>
    <n v="32.778171509567677"/>
    <n v="37.769460286563827"/>
    <n v="75.095785440613028"/>
    <n v="19.961926483961328"/>
    <n v="65.424929112824231"/>
    <n v="54.014908781641232"/>
    <n v="4.4264935064935065"/>
    <n v="3.3506493506493484E-2"/>
    <n v="698"/>
    <n v="33"/>
    <s v="Open ended"/>
    <s v="CRISIL Ultra Short Term Debt Index"/>
    <n v="1000"/>
    <n v="1000"/>
  </r>
  <r>
    <x v="698"/>
    <x v="26"/>
    <n v="5.63"/>
    <n v="4.6399999999999997"/>
    <n v="4.3499999999999996"/>
    <n v="0.75"/>
    <n v="64.382384532760469"/>
    <n v="27.642415923129722"/>
    <n v="32.388377037562009"/>
    <n v="37.363390202272015"/>
    <n v="75.862068965517238"/>
    <n v="19.983184413981551"/>
    <n v="65.388109297965457"/>
    <n v="53.994239667006681"/>
    <n v="4.4728846153846158"/>
    <n v="-0.12288461538461615"/>
    <n v="699"/>
    <n v="42"/>
    <s v="Open ended"/>
    <s v="CRISIL Money Market Index"/>
    <n v="1000"/>
    <n v="1000"/>
  </r>
  <r>
    <x v="699"/>
    <x v="11"/>
    <n v="4.6100000000000003"/>
    <n v="14.89"/>
    <n v="8.65"/>
    <n v="1.89"/>
    <n v="62.191192266380234"/>
    <n v="45.229924502402206"/>
    <n v="47.62579730687456"/>
    <n v="49.820114457433988"/>
    <n v="32.18390804597702"/>
    <n v="9.1794656796475529"/>
    <n v="84.100699056515666"/>
    <n v="53.981209004340172"/>
    <n v="11.362272727272726"/>
    <n v="-2.7122727272727261"/>
    <n v="700"/>
    <n v="34"/>
    <s v="Open ended"/>
    <s v="Nifty Midcap 150 - TRI"/>
    <n v="5000"/>
    <n v="1000"/>
  </r>
  <r>
    <x v="700"/>
    <x v="21"/>
    <n v="7.16"/>
    <n v="15.73"/>
    <n v="10.09"/>
    <n v="2.0299999999999998"/>
    <n v="67.669172932330824"/>
    <n v="46.671242278654773"/>
    <n v="52.728561304039687"/>
    <n v="53.899487922082443"/>
    <n v="26.819923371647512"/>
    <n v="10.807605974029793"/>
    <n v="81.280677344795478"/>
    <n v="53.974894140151974"/>
    <n v="10.412619047619048"/>
    <n v="-0.32261904761904781"/>
    <n v="701"/>
    <n v="23"/>
    <s v="Open ended"/>
    <s v="NIFTY LargeMidcap 250 - TRI"/>
    <n v="1000"/>
    <n v="1000"/>
  </r>
  <r>
    <x v="701"/>
    <x v="33"/>
    <n v="5.72"/>
    <n v="4.72"/>
    <n v="4.47"/>
    <n v="0.77"/>
    <n v="64.575725026852851"/>
    <n v="27.779684282772827"/>
    <n v="32.813607370659106"/>
    <n v="37.655853975531969"/>
    <n v="75.095785440613028"/>
    <n v="19.950443245287584"/>
    <n v="65.444818665642586"/>
    <n v="53.963078014329881"/>
    <n v="4.4264935064935065"/>
    <n v="4.3506493506493271E-2"/>
    <n v="702"/>
    <n v="34"/>
    <s v="Open ended"/>
    <s v="CRISIL Ultra Short Term Debt Index"/>
    <n v="1000"/>
    <n v="1000"/>
  </r>
  <r>
    <x v="702"/>
    <x v="32"/>
    <n v="1.0900000000000001"/>
    <n v="14.5"/>
    <n v="9.19"/>
    <n v="2.04"/>
    <n v="54.629430719656277"/>
    <n v="44.560741249142076"/>
    <n v="49.539333805811474"/>
    <n v="49.063775421579621"/>
    <n v="26.436781609195403"/>
    <n v="5.0344476375483982"/>
    <n v="91.280080903721071"/>
    <n v="53.961103339018933"/>
    <n v="12.057857142857143"/>
    <n v="-2.8678571428571438"/>
    <n v="703"/>
    <n v="13"/>
    <s v="Open ended"/>
    <s v="Nifty500 Multicap 50:25:25 - TRI"/>
    <n v="1000"/>
    <n v="1000"/>
  </r>
  <r>
    <x v="703"/>
    <x v="32"/>
    <n v="1.0900000000000001"/>
    <n v="14.5"/>
    <n v="9.18"/>
    <n v="2.04"/>
    <n v="54.629430719656277"/>
    <n v="44.560741249142076"/>
    <n v="49.503897944720052"/>
    <n v="49.046057491033906"/>
    <n v="26.436781609195403"/>
    <n v="5.0346200121033027"/>
    <n v="91.279782342234043"/>
    <n v="53.952169733374319"/>
    <n v="12.057857142857143"/>
    <n v="-2.8778571428571436"/>
    <n v="704"/>
    <n v="14"/>
    <s v="Open ended"/>
    <s v="Nifty500 Multicap 50:25:25 - TRI"/>
    <n v="1000"/>
    <n v="1000"/>
  </r>
  <r>
    <x v="704"/>
    <x v="23"/>
    <n v="2.96"/>
    <n v="18.309999999999999"/>
    <n v="12.17"/>
    <n v="2.4700000000000002"/>
    <n v="58.646616541353382"/>
    <n v="51.098146877144821"/>
    <n v="60.099220411055988"/>
    <n v="57.108377576942118"/>
    <n v="9.9616858237547845"/>
    <n v="4.8323351331874731"/>
    <n v="91.630150030119182"/>
    <n v="53.952147751939549"/>
    <n v="10.023387096774194"/>
    <n v="2.1466129032258063"/>
    <n v="705"/>
    <n v="24"/>
    <s v="Open ended"/>
    <s v="S&amp;P BSE 500 - TRI"/>
    <n v="1000"/>
    <n v="1000"/>
  </r>
  <r>
    <x v="705"/>
    <x v="23"/>
    <n v="2.93"/>
    <n v="18.309999999999999"/>
    <n v="12.17"/>
    <n v="2.4700000000000002"/>
    <n v="58.582169709989252"/>
    <n v="51.098146877144821"/>
    <n v="60.099220411055988"/>
    <n v="57.095488210669288"/>
    <n v="9.9616858237547845"/>
    <n v="4.8189100661702184"/>
    <n v="91.653402928288074"/>
    <n v="53.951516293345357"/>
    <n v="10.023387096774194"/>
    <n v="2.1466129032258063"/>
    <n v="706"/>
    <n v="25"/>
    <s v="Open ended"/>
    <s v="S&amp;P BSE 500 - TRI"/>
    <n v="1000"/>
    <n v="1000"/>
  </r>
  <r>
    <x v="706"/>
    <x v="45"/>
    <n v="9.9600000000000009"/>
    <n v="3.68"/>
    <n v="3.97"/>
    <n v="0.51"/>
    <n v="73.68421052631578"/>
    <n v="25.995195607412498"/>
    <n v="31.04181431608788"/>
    <n v="38.056307945530847"/>
    <n v="85.057471264367805"/>
    <n v="26.198232952103822"/>
    <n v="54.623329458431002"/>
    <n v="53.948354153465118"/>
    <n v="4.1175000000000006"/>
    <n v="-0.14750000000000041"/>
    <n v="707"/>
    <n v="6"/>
    <s v="Open ended"/>
    <s v="Crisil Long Term Debt Index"/>
    <n v="5000"/>
    <n v="1000"/>
  </r>
  <r>
    <x v="707"/>
    <x v="46"/>
    <n v="4.9400000000000004"/>
    <n v="4.0599999999999996"/>
    <n v="4.8499999999999996"/>
    <n v="0.81"/>
    <n v="62.900107411385605"/>
    <n v="26.647220315717231"/>
    <n v="34.160170092133235"/>
    <n v="37.654272623058908"/>
    <n v="73.563218390804593"/>
    <n v="19.134176379055283"/>
    <n v="66.858634350491968"/>
    <n v="53.932599496853598"/>
    <n v="4.4820000000000002"/>
    <n v="0.36799999999999944"/>
    <n v="708"/>
    <n v="1"/>
    <s v="Open ended"/>
    <s v="Nifty 50 Arbitrage"/>
    <n v="5000"/>
    <n v="1000"/>
  </r>
  <r>
    <x v="708"/>
    <x v="29"/>
    <n v="4.97"/>
    <n v="3.34"/>
    <n v="5.03"/>
    <n v="0.79"/>
    <n v="62.964554242749728"/>
    <n v="25.411805078929312"/>
    <n v="34.798015591778878"/>
    <n v="37.615460168118176"/>
    <n v="74.329501915708818"/>
    <n v="19.543386848790981"/>
    <n v="66.1498610259206"/>
    <n v="53.927570819466439"/>
    <n v="5.0554237288135591"/>
    <n v="-2.542372881355881E-2"/>
    <n v="709"/>
    <n v="36"/>
    <s v="Open ended"/>
    <s v="NIFTY Corporate Bond Index"/>
    <n v="5000"/>
    <n v="1000"/>
  </r>
  <r>
    <x v="709"/>
    <x v="29"/>
    <n v="4.9800000000000004"/>
    <n v="3.34"/>
    <n v="5.03"/>
    <n v="0.79"/>
    <n v="62.986036519871099"/>
    <n v="25.411805078929312"/>
    <n v="34.798015591778878"/>
    <n v="37.619756623542457"/>
    <n v="74.329501915708818"/>
    <n v="19.555426953540508"/>
    <n v="66.129006952765963"/>
    <n v="53.924505528889924"/>
    <n v="5.0554237288135591"/>
    <n v="-2.542372881355881E-2"/>
    <n v="710"/>
    <n v="37"/>
    <s v="Open ended"/>
    <s v="NIFTY Corporate Bond Index"/>
    <n v="5000"/>
    <n v="1000"/>
  </r>
  <r>
    <x v="710"/>
    <x v="16"/>
    <n v="5.15"/>
    <n v="3.75"/>
    <n v="3.53"/>
    <n v="0.62"/>
    <n v="63.351235230934478"/>
    <n v="26.11530542210021"/>
    <n v="29.482636428065202"/>
    <n v="35.246156886849562"/>
    <n v="80.842911877394627"/>
    <n v="20.595045406205038"/>
    <n v="64.328334972264869"/>
    <n v="53.915890155839662"/>
    <n v="4.9189795918367345"/>
    <n v="-1.3889795918367347"/>
    <n v="711"/>
    <n v="35"/>
    <s v="Open ended"/>
    <s v="NIFTY Banking and PSU Debt Index"/>
    <n v="1000"/>
    <n v="1000"/>
  </r>
  <r>
    <x v="711"/>
    <x v="33"/>
    <n v="5.75"/>
    <n v="4.8499999999999996"/>
    <n v="4.93"/>
    <n v="0.84"/>
    <n v="64.640171858216959"/>
    <n v="28.002745367192865"/>
    <n v="34.443656980864631"/>
    <n v="38.550686472233565"/>
    <n v="72.41379310344827"/>
    <n v="19.560231223234926"/>
    <n v="66.120685713561983"/>
    <n v="53.908962940369342"/>
    <n v="4.4264935064935065"/>
    <n v="0.50350649350649324"/>
    <n v="712"/>
    <n v="35"/>
    <s v="Open ended"/>
    <s v="CRISIL Ultra Short Term Debt Index"/>
    <n v="5000"/>
    <n v="1000"/>
  </r>
  <r>
    <x v="712"/>
    <x v="39"/>
    <n v="5.75"/>
    <n v="2.46"/>
    <n v="4.3"/>
    <n v="0.63"/>
    <n v="64.640171858216959"/>
    <n v="23.901853122855186"/>
    <n v="32.211197732104893"/>
    <n v="36.204189174552397"/>
    <n v="80.459770114942529"/>
    <n v="21.52631793909973"/>
    <n v="62.715323629597904"/>
    <n v="53.89586802341131"/>
    <n v="3.9855555555555551"/>
    <n v="0.31444444444444475"/>
    <n v="713"/>
    <n v="3"/>
    <s v="Open ended"/>
    <s v="Nifty 10 yr Benchmark G-Sec"/>
    <n v="5000"/>
    <n v="1000"/>
  </r>
  <r>
    <x v="713"/>
    <x v="16"/>
    <n v="4.9400000000000004"/>
    <n v="3.27"/>
    <n v="5.44"/>
    <n v="0.84"/>
    <n v="62.900107411385605"/>
    <n v="25.291695264241596"/>
    <n v="36.250885896527286"/>
    <n v="38.292973009813238"/>
    <n v="72.41379310344827"/>
    <n v="19.341998909506977"/>
    <n v="66.49867516879209"/>
    <n v="53.874603572966706"/>
    <n v="4.9189795918367345"/>
    <n v="0.52102040816326589"/>
    <n v="714"/>
    <n v="36"/>
    <s v="Open ended"/>
    <s v="NIFTY Banking and PSU Debt Index"/>
    <n v="5000"/>
    <n v="1000"/>
  </r>
  <r>
    <x v="714"/>
    <x v="16"/>
    <n v="4.9400000000000004"/>
    <n v="3.27"/>
    <n v="5.44"/>
    <n v="0.84"/>
    <n v="62.900107411385605"/>
    <n v="25.291695264241596"/>
    <n v="36.250885896527286"/>
    <n v="38.292973009813238"/>
    <n v="72.41379310344827"/>
    <n v="19.341998909506977"/>
    <n v="66.49867516879209"/>
    <n v="53.874603572966706"/>
    <n v="4.9189795918367345"/>
    <n v="0.52102040816326589"/>
    <n v="714"/>
    <n v="36"/>
    <s v="Open ended"/>
    <s v="NIFTY Banking and PSU Debt Index"/>
    <n v="5000"/>
    <n v="1000"/>
  </r>
  <r>
    <x v="715"/>
    <x v="29"/>
    <n v="4.97"/>
    <n v="3.34"/>
    <n v="4.9800000000000004"/>
    <n v="0.79"/>
    <n v="62.964554242749728"/>
    <n v="25.411805078929312"/>
    <n v="34.620836286321754"/>
    <n v="37.526870515389618"/>
    <n v="74.329501915708818"/>
    <n v="19.572010513030591"/>
    <n v="66.100283385158804"/>
    <n v="53.870881582911714"/>
    <n v="5.0554237288135591"/>
    <n v="-7.5423728813558633E-2"/>
    <n v="716"/>
    <n v="38"/>
    <s v="Open ended"/>
    <s v="NIFTY Corporate Bond Index"/>
    <n v="5000"/>
    <n v="1000"/>
  </r>
  <r>
    <x v="716"/>
    <x v="38"/>
    <n v="5.5"/>
    <n v="2.79"/>
    <n v="4.8"/>
    <n v="0.72"/>
    <n v="64.103114930182585"/>
    <n v="24.468085106382983"/>
    <n v="33.982990786676112"/>
    <n v="37.15254391128947"/>
    <n v="77.011494252873575"/>
    <n v="20.690943661654646"/>
    <n v="64.162234321468929"/>
    <n v="53.869704099230361"/>
    <n v="4.625"/>
    <n v="0.17499999999999982"/>
    <n v="717"/>
    <n v="12"/>
    <s v="Open ended"/>
    <s v="CRISIL Dynamic Debt Index"/>
    <n v="5000"/>
    <n v="1000"/>
  </r>
  <r>
    <x v="717"/>
    <x v="38"/>
    <n v="5.5"/>
    <n v="2.79"/>
    <n v="4.8"/>
    <n v="0.72"/>
    <n v="64.103114930182585"/>
    <n v="24.468085106382983"/>
    <n v="33.982990786676112"/>
    <n v="37.15254391128947"/>
    <n v="77.011494252873575"/>
    <n v="20.690943661654646"/>
    <n v="64.162234321468929"/>
    <n v="53.869704099230361"/>
    <n v="4.625"/>
    <n v="0.17499999999999982"/>
    <n v="717"/>
    <n v="12"/>
    <s v="Open ended"/>
    <s v="CRISIL Dynamic Debt Index"/>
    <n v="5000"/>
    <n v="1000"/>
  </r>
  <r>
    <x v="718"/>
    <x v="25"/>
    <n v="5.03"/>
    <n v="4.41"/>
    <n v="4.82"/>
    <n v="0.83"/>
    <n v="63.093447905477973"/>
    <n v="27.247769389155806"/>
    <n v="34.05386250885897"/>
    <n v="37.819951652271818"/>
    <n v="72.796934865900369"/>
    <n v="19.037389053548978"/>
    <n v="67.026274915797586"/>
    <n v="53.865778271560394"/>
    <n v="5.1221052631578941"/>
    <n v="-0.30210526315789377"/>
    <n v="719"/>
    <n v="35"/>
    <s v="Open ended"/>
    <s v="CRISIL Low Duration Debt Index"/>
    <n v="5000"/>
    <n v="1000"/>
  </r>
  <r>
    <x v="719"/>
    <x v="39"/>
    <n v="5.75"/>
    <n v="2.46"/>
    <n v="4.2699999999999996"/>
    <n v="0.63"/>
    <n v="64.640171858216959"/>
    <n v="23.901853122855186"/>
    <n v="32.104890148830613"/>
    <n v="36.151035382915254"/>
    <n v="80.459770114942529"/>
    <n v="21.546248651612117"/>
    <n v="62.680802622895399"/>
    <n v="53.860660875917105"/>
    <n v="3.9855555555555551"/>
    <n v="0.2844444444444445"/>
    <n v="720"/>
    <n v="4"/>
    <s v="Open ended"/>
    <s v="Nifty 10 yr Benchmark G-Sec"/>
    <n v="5000"/>
    <n v="1000"/>
  </r>
  <r>
    <x v="720"/>
    <x v="44"/>
    <n v="5.09"/>
    <n v="14.06"/>
    <n v="12.33"/>
    <n v="2.17"/>
    <n v="63.222341568206232"/>
    <n v="43.80576527110501"/>
    <n v="60.666194188518773"/>
    <n v="56.119294989232138"/>
    <n v="21.455938697318011"/>
    <n v="10.549971467631231"/>
    <n v="81.726913399660717"/>
    <n v="53.855360518860749"/>
    <n v="11.035555555555554"/>
    <n v="1.2944444444444461"/>
    <n v="721"/>
    <n v="3"/>
    <s v="Open ended"/>
    <s v="Nifty India Consumption - TRI"/>
    <n v="1000"/>
    <n v="1000"/>
  </r>
  <r>
    <x v="721"/>
    <x v="33"/>
    <n v="5.75"/>
    <n v="4.8499999999999996"/>
    <n v="4.88"/>
    <n v="0.84"/>
    <n v="64.640171858216959"/>
    <n v="28.002745367192865"/>
    <n v="34.266477675407508"/>
    <n v="38.462096819505007"/>
    <n v="72.41379310344827"/>
    <n v="19.596328995609522"/>
    <n v="66.058162537769121"/>
    <n v="53.849037320056851"/>
    <n v="4.4264935064935065"/>
    <n v="0.45350649350649341"/>
    <n v="722"/>
    <n v="36"/>
    <s v="Open ended"/>
    <s v="CRISIL Ultra Short Term Debt Index"/>
    <n v="5000"/>
    <n v="1000"/>
  </r>
  <r>
    <x v="722"/>
    <x v="15"/>
    <n v="4.42"/>
    <n v="2.89"/>
    <n v="4.8600000000000003"/>
    <n v="0.77"/>
    <n v="61.783029001074105"/>
    <n v="24.63967055593686"/>
    <n v="34.195605953224664"/>
    <n v="36.846309943608212"/>
    <n v="75.095785440613028"/>
    <n v="19.287348566362098"/>
    <n v="66.5933323397701"/>
    <n v="53.845434416899892"/>
    <n v="5.2086538461538465"/>
    <n v="-0.3486538461538462"/>
    <n v="723"/>
    <n v="11"/>
    <s v="Open ended"/>
    <s v="Nifty Short Duration Debt Index"/>
    <n v="1000"/>
    <n v="1000"/>
  </r>
  <r>
    <x v="723"/>
    <x v="2"/>
    <n v="-0.64"/>
    <n v="8.3800000000000008"/>
    <n v="5.96"/>
    <n v="1.38"/>
    <n v="50.912996777658428"/>
    <n v="34.059711736444754"/>
    <n v="38.093550673281356"/>
    <n v="39.447288213105793"/>
    <n v="51.724137931034477"/>
    <n v="8.8000309816856532"/>
    <n v="84.757899231540222"/>
    <n v="53.844153397196571"/>
    <n v="9.2084615384615383"/>
    <n v="-3.2484615384615383"/>
    <n v="724"/>
    <n v="13"/>
    <s v="Open ended"/>
    <s v="CRISIL Hybrid 35+65 - Aggressive Index"/>
    <n v="1000"/>
    <n v="1000"/>
  </r>
  <r>
    <x v="724"/>
    <x v="30"/>
    <n v="3.61"/>
    <n v="7.15"/>
    <n v="6.36"/>
    <n v="1.22"/>
    <n v="60.042964554242751"/>
    <n v="31.949210706932057"/>
    <n v="39.510985116938343"/>
    <n v="41.348848681397342"/>
    <n v="57.854406130268202"/>
    <n v="14.537317594585103"/>
    <n v="74.820627320413621"/>
    <n v="53.843182703369123"/>
    <n v="6.1480952380952392"/>
    <n v="0.21190476190476115"/>
    <n v="725"/>
    <n v="10"/>
    <s v="Open ended"/>
    <s v="NIFTY 50 Equity Savings Index - TRI"/>
    <n v="5000"/>
    <n v="1000"/>
  </r>
  <r>
    <x v="725"/>
    <x v="33"/>
    <n v="5.75"/>
    <n v="4.8499999999999996"/>
    <n v="4.87"/>
    <n v="0.84"/>
    <n v="64.640171858216959"/>
    <n v="28.002745367192865"/>
    <n v="34.231041814316086"/>
    <n v="38.444378888959292"/>
    <n v="72.41379310344827"/>
    <n v="19.603604628338623"/>
    <n v="66.045560772225116"/>
    <n v="53.837027913397996"/>
    <n v="4.4264935064935065"/>
    <n v="0.44350649350649363"/>
    <n v="726"/>
    <n v="37"/>
    <s v="Open ended"/>
    <s v="CRISIL Ultra Short Term Debt Index"/>
    <n v="5000"/>
    <n v="1000"/>
  </r>
  <r>
    <x v="726"/>
    <x v="33"/>
    <n v="5.75"/>
    <n v="4.8499999999999996"/>
    <n v="4.87"/>
    <n v="0.84"/>
    <n v="64.640171858216959"/>
    <n v="28.002745367192865"/>
    <n v="34.231041814316086"/>
    <n v="38.444378888959292"/>
    <n v="72.41379310344827"/>
    <n v="19.603604628338623"/>
    <n v="66.045560772225116"/>
    <n v="53.837027913397996"/>
    <n v="4.4264935064935065"/>
    <n v="0.44350649350649363"/>
    <n v="726"/>
    <n v="37"/>
    <s v="Open ended"/>
    <s v="CRISIL Ultra Short Term Debt Index"/>
    <n v="5000"/>
    <n v="1000"/>
  </r>
  <r>
    <x v="727"/>
    <x v="33"/>
    <n v="5.75"/>
    <n v="4.8499999999999996"/>
    <n v="4.87"/>
    <n v="0.84"/>
    <n v="64.640171858216959"/>
    <n v="28.002745367192865"/>
    <n v="34.231041814316086"/>
    <n v="38.444378888959292"/>
    <n v="72.41379310344827"/>
    <n v="19.603604628338623"/>
    <n v="66.045560772225116"/>
    <n v="53.837027913397996"/>
    <n v="4.4264935064935065"/>
    <n v="0.44350649350649363"/>
    <n v="726"/>
    <n v="37"/>
    <s v="Open ended"/>
    <s v="CRISIL Ultra Short Term Debt Index"/>
    <n v="5000"/>
    <n v="1000"/>
  </r>
  <r>
    <x v="728"/>
    <x v="6"/>
    <n v="6.9"/>
    <n v="14.63"/>
    <n v="8.2899999999999991"/>
    <n v="1.77"/>
    <n v="67.11063372717507"/>
    <n v="44.783802333562122"/>
    <n v="46.350106307583268"/>
    <n v="50.032320599295289"/>
    <n v="36.781609195402297"/>
    <n v="12.46287959607435"/>
    <n v="78.413659330985737"/>
    <n v="53.814977431244657"/>
    <n v="9.0435999999999996"/>
    <n v="-0.75360000000000049"/>
    <n v="729"/>
    <n v="13"/>
    <s v="Open ended"/>
    <s v="NIFTY 500 - TRI"/>
    <n v="5000"/>
    <n v="1000"/>
  </r>
  <r>
    <x v="729"/>
    <x v="15"/>
    <n v="4.57"/>
    <n v="2.81"/>
    <n v="4.74"/>
    <n v="0.75"/>
    <n v="62.105263157894733"/>
    <n v="24.502402196293758"/>
    <n v="33.770375620127567"/>
    <n v="36.656961100530857"/>
    <n v="75.862068965517238"/>
    <n v="19.590543363488319"/>
    <n v="66.068183546556952"/>
    <n v="53.81104367828398"/>
    <n v="5.2086538461538465"/>
    <n v="-0.46865384615384631"/>
    <n v="730"/>
    <n v="12"/>
    <s v="Open ended"/>
    <s v="Nifty Short Duration Debt Index"/>
    <n v="5000"/>
    <n v="1000"/>
  </r>
  <r>
    <x v="730"/>
    <x v="23"/>
    <n v="4.0599999999999996"/>
    <n v="18.920000000000002"/>
    <n v="12.07"/>
    <n v="2.52"/>
    <n v="61.009667024704619"/>
    <n v="52.144818119423483"/>
    <n v="59.744861800141734"/>
    <n v="57.717809740838831"/>
    <n v="8.045977011494255"/>
    <n v="4.7948921141559788"/>
    <n v="91.695003241470488"/>
    <n v="53.794149933660606"/>
    <n v="10.023387096774194"/>
    <n v="2.0466129032258067"/>
    <n v="731"/>
    <n v="26"/>
    <s v="Open ended"/>
    <s v="NIFTY 500 - TRI"/>
    <n v="1000"/>
    <n v="1000"/>
  </r>
  <r>
    <x v="731"/>
    <x v="33"/>
    <n v="5.75"/>
    <n v="4.76"/>
    <n v="4.3099999999999996"/>
    <n v="0.77"/>
    <n v="64.640171858216959"/>
    <n v="27.848318462594374"/>
    <n v="32.246633593196314"/>
    <n v="37.405846707019862"/>
    <n v="75.095785440613028"/>
    <n v="20.092813697109158"/>
    <n v="65.198225809591079"/>
    <n v="53.776426166060958"/>
    <n v="4.4264935064935065"/>
    <n v="-0.11649350649350687"/>
    <n v="732"/>
    <n v="40"/>
    <s v="Open ended"/>
    <s v="CRISIL Ultra Short Term Debt Index"/>
    <n v="1000"/>
    <n v="1000"/>
  </r>
  <r>
    <x v="732"/>
    <x v="16"/>
    <n v="4.9400000000000004"/>
    <n v="3.27"/>
    <n v="5.35"/>
    <n v="0.84"/>
    <n v="62.900107411385605"/>
    <n v="25.291695264241596"/>
    <n v="35.931963146704462"/>
    <n v="38.133511634901829"/>
    <n v="72.41379310344827"/>
    <n v="19.385943231805335"/>
    <n v="66.422561369867154"/>
    <n v="53.775844435779774"/>
    <n v="4.9189795918367345"/>
    <n v="0.43102040816326515"/>
    <n v="733"/>
    <n v="38"/>
    <s v="Open ended"/>
    <s v="NIFTY Banking and PSU Debt Index"/>
    <n v="5000"/>
    <n v="1000"/>
  </r>
  <r>
    <x v="733"/>
    <x v="26"/>
    <n v="5.49"/>
    <n v="4.3899999999999997"/>
    <n v="4.08"/>
    <n v="0.73"/>
    <n v="64.08163265306122"/>
    <n v="27.213452299245027"/>
    <n v="31.431608788093545"/>
    <n v="36.696166614432521"/>
    <n v="76.628352490421463"/>
    <n v="20.178700095021366"/>
    <n v="65.049466204728063"/>
    <n v="53.767537981003642"/>
    <n v="4.4728846153846158"/>
    <n v="-0.39288461538461572"/>
    <n v="734"/>
    <n v="43"/>
    <s v="Open ended"/>
    <s v="Nifty Money Market Index"/>
    <n v="5000"/>
    <n v="1000"/>
  </r>
  <r>
    <x v="734"/>
    <x v="22"/>
    <n v="1.82"/>
    <n v="12.58"/>
    <n v="9.89"/>
    <n v="1.97"/>
    <n v="56.197636949516649"/>
    <n v="41.266300617707621"/>
    <n v="52.0198440822112"/>
    <n v="49.629339616321218"/>
    <n v="29.118773946360154"/>
    <n v="7.7032185366321198"/>
    <n v="86.657634112746791"/>
    <n v="53.758771822937348"/>
    <n v="9.83"/>
    <n v="6.0000000000000497E-2"/>
    <n v="735"/>
    <n v="11"/>
    <s v="Open ended"/>
    <s v="NIFTY 500 - TRI"/>
    <n v="1000"/>
    <n v="1000"/>
  </r>
  <r>
    <x v="735"/>
    <x v="29"/>
    <n v="4.6399999999999997"/>
    <n v="3.37"/>
    <n v="4.6100000000000003"/>
    <n v="0.77"/>
    <n v="62.25563909774435"/>
    <n v="25.463280713795474"/>
    <n v="33.309709425939047"/>
    <n v="36.744966746657035"/>
    <n v="75.095785440613028"/>
    <n v="19.378299390266349"/>
    <n v="66.435800891777689"/>
    <n v="53.755379956426196"/>
    <n v="5.0554237288135591"/>
    <n v="-0.44542372881355874"/>
    <n v="736"/>
    <n v="39"/>
    <s v="Open ended"/>
    <s v="NIFTY Corporate Bond Index"/>
    <n v="10000"/>
    <n v="1000"/>
  </r>
  <r>
    <x v="736"/>
    <x v="6"/>
    <n v="6.85"/>
    <n v="14.58"/>
    <n v="8.24"/>
    <n v="1.77"/>
    <n v="67.003222341568204"/>
    <n v="44.698009608785178"/>
    <n v="46.172927002126151"/>
    <n v="49.89651085201227"/>
    <n v="36.781609195402297"/>
    <n v="12.473966893095575"/>
    <n v="78.394455569226366"/>
    <n v="53.742271617163297"/>
    <n v="9.0435999999999996"/>
    <n v="-0.80359999999999943"/>
    <n v="737"/>
    <n v="14"/>
    <s v="Open ended"/>
    <s v="NIFTY 500 - TRI"/>
    <n v="5000"/>
    <n v="1000"/>
  </r>
  <r>
    <x v="737"/>
    <x v="44"/>
    <n v="5.09"/>
    <n v="14.06"/>
    <n v="12.1"/>
    <n v="2.17"/>
    <n v="63.222341568206232"/>
    <n v="43.80576527110501"/>
    <n v="59.851169383416014"/>
    <n v="55.711782586680755"/>
    <n v="21.455938697318011"/>
    <n v="10.374835180442011"/>
    <n v="82.030258347321421"/>
    <n v="53.727440554500234"/>
    <n v="11.035555555555554"/>
    <n v="1.0644444444444456"/>
    <n v="738"/>
    <n v="4"/>
    <s v="Open ended"/>
    <s v="Nifty India Consumption - TRI"/>
    <n v="1000"/>
    <n v="1000"/>
  </r>
  <r>
    <x v="738"/>
    <x v="15"/>
    <n v="4.3600000000000003"/>
    <n v="2.86"/>
    <n v="4.75"/>
    <n v="0.77"/>
    <n v="61.65413533834586"/>
    <n v="24.588194921070698"/>
    <n v="33.805811481218996"/>
    <n v="36.610191284599878"/>
    <n v="75.095785440613028"/>
    <n v="19.297571244927575"/>
    <n v="66.575626141105246"/>
    <n v="53.722948537729508"/>
    <n v="5.2086538461538465"/>
    <n v="-0.45865384615384652"/>
    <n v="739"/>
    <n v="13"/>
    <s v="Open ended"/>
    <s v="Nifty Short Duration Debt Index"/>
    <n v="1000"/>
    <n v="1000"/>
  </r>
  <r>
    <x v="739"/>
    <x v="30"/>
    <n v="3.61"/>
    <n v="6.9"/>
    <n v="6.37"/>
    <n v="1.22"/>
    <n v="60.042964554242751"/>
    <n v="31.520247083047359"/>
    <n v="39.546420978029758"/>
    <n v="41.237877524777637"/>
    <n v="57.854406130268202"/>
    <n v="14.708688916791836"/>
    <n v="74.523803483391305"/>
    <n v="53.713491165803696"/>
    <n v="6.1480952380952392"/>
    <n v="0.22190476190476094"/>
    <n v="740"/>
    <n v="11"/>
    <s v="Open ended"/>
    <s v="NIFTY 50 Equity Savings Index - TRI"/>
    <n v="5000"/>
    <n v="1000"/>
  </r>
  <r>
    <x v="740"/>
    <x v="22"/>
    <n v="5.24"/>
    <n v="21.05"/>
    <n v="11.73"/>
    <n v="2.62"/>
    <n v="63.544575725026853"/>
    <n v="55.799588194921078"/>
    <n v="58.540042523033307"/>
    <n v="58.718812864998348"/>
    <n v="4.2145593869731712"/>
    <n v="3.9272610119483775"/>
    <n v="93.197784392721047"/>
    <n v="53.712492377422727"/>
    <n v="9.83"/>
    <n v="1.9000000000000004"/>
    <n v="741"/>
    <n v="12"/>
    <s v="Open ended"/>
    <s v="NIFTY 500 - TRI"/>
    <n v="5000"/>
    <n v="1000"/>
  </r>
  <r>
    <x v="741"/>
    <x v="15"/>
    <n v="4.42"/>
    <n v="2.89"/>
    <n v="4.74"/>
    <n v="0.77"/>
    <n v="61.783029001074105"/>
    <n v="24.63967055593686"/>
    <n v="33.770375620127567"/>
    <n v="36.633694777059659"/>
    <n v="75.095785440613028"/>
    <n v="19.355049302418227"/>
    <n v="66.476071225211072"/>
    <n v="53.709811554985848"/>
    <n v="5.2086538461538465"/>
    <n v="-0.46865384615384631"/>
    <n v="742"/>
    <n v="14"/>
    <s v="Open ended"/>
    <s v="Nifty Short Duration Debt Index"/>
    <n v="1000"/>
    <n v="1000"/>
  </r>
  <r>
    <x v="742"/>
    <x v="16"/>
    <n v="4.9400000000000004"/>
    <n v="3.27"/>
    <n v="5.29"/>
    <n v="0.84"/>
    <n v="62.900107411385605"/>
    <n v="25.291695264241596"/>
    <n v="35.719347980155916"/>
    <n v="38.027204051627557"/>
    <n v="72.41379310344827"/>
    <n v="19.416154307910485"/>
    <n v="66.370234251101706"/>
    <n v="53.709608864451269"/>
    <n v="4.9189795918367345"/>
    <n v="0.37102040816326554"/>
    <n v="743"/>
    <n v="39"/>
    <s v="Open ended"/>
    <s v="NIFTY Banking and PSU Debt Index"/>
    <n v="5000"/>
    <n v="1000"/>
  </r>
  <r>
    <x v="743"/>
    <x v="23"/>
    <n v="4.12"/>
    <n v="18.95"/>
    <n v="11.9"/>
    <n v="2.52"/>
    <n v="61.138560687432864"/>
    <n v="52.196293754289648"/>
    <n v="59.142452161587521"/>
    <n v="57.457826344567223"/>
    <n v="8.045977011494255"/>
    <n v="4.6939269943515658"/>
    <n v="91.869879958764017"/>
    <n v="53.707877414848184"/>
    <n v="10.023387096774194"/>
    <n v="1.8766129032258068"/>
    <n v="744"/>
    <n v="27"/>
    <s v="Open ended"/>
    <s v="NIFTY 500 - TRI"/>
    <n v="1000"/>
    <n v="1000"/>
  </r>
  <r>
    <x v="744"/>
    <x v="47"/>
    <n v="6.02"/>
    <n v="23.75"/>
    <n v="9.35"/>
    <n v="2.3199999999999998"/>
    <n v="65.220193340494092"/>
    <n v="60.432395332875778"/>
    <n v="50.106307583274265"/>
    <n v="56.226911059598692"/>
    <n v="15.708812260536398"/>
    <n v="7.7242112936803746"/>
    <n v="86.621273590948263"/>
    <n v="53.695976992670509"/>
    <n v="9.6316666666666659"/>
    <n v="-0.28166666666666629"/>
    <n v="745"/>
    <n v="1"/>
    <s v="Open ended"/>
    <s v=""/>
    <n v="1000"/>
    <n v="1000"/>
  </r>
  <r>
    <x v="745"/>
    <x v="26"/>
    <n v="5.45"/>
    <n v="4.41"/>
    <n v="4"/>
    <n v="0.73"/>
    <n v="63.995703544575719"/>
    <n v="27.247769389155806"/>
    <n v="31.148121899362152"/>
    <n v="36.547532475342962"/>
    <n v="76.628352490421463"/>
    <n v="20.184924384029458"/>
    <n v="65.038685419925059"/>
    <n v="53.690525715258111"/>
    <n v="4.4728846153846158"/>
    <n v="-0.47288461538461579"/>
    <n v="746"/>
    <n v="44"/>
    <s v="Open ended"/>
    <s v="Nifty Money Market Index"/>
    <n v="5000"/>
    <n v="1000"/>
  </r>
  <r>
    <x v="746"/>
    <x v="12"/>
    <n v="0.39"/>
    <n v="10.4"/>
    <n v="9.68"/>
    <n v="1.83"/>
    <n v="53.125671321160041"/>
    <n v="37.525737817433082"/>
    <n v="51.275690999291278"/>
    <n v="47.520701109107577"/>
    <n v="34.482758620689658"/>
    <n v="8.5229256030944445"/>
    <n v="85.23785982631081"/>
    <n v="53.690505166303907"/>
    <n v="9.219019607843137"/>
    <n v="0.46098039215686271"/>
    <n v="747"/>
    <n v="15"/>
    <s v="Open ended"/>
    <s v="CRISIL Hybrid 35+65 - Aggressive Index"/>
    <n v="1000"/>
    <n v="1000"/>
  </r>
  <r>
    <x v="747"/>
    <x v="15"/>
    <n v="4.57"/>
    <n v="2.81"/>
    <n v="4.63"/>
    <n v="0.75"/>
    <n v="62.105263157894733"/>
    <n v="24.502402196293758"/>
    <n v="33.380581148121898"/>
    <n v="36.46206386452802"/>
    <n v="75.862068965517238"/>
    <n v="19.654959385020135"/>
    <n v="65.956611724442396"/>
    <n v="53.685702104753915"/>
    <n v="5.2086538461538465"/>
    <n v="-0.57865384615384663"/>
    <n v="748"/>
    <n v="15"/>
    <s v="Open ended"/>
    <s v="Nifty Short Duration Debt Index"/>
    <n v="5000"/>
    <n v="1000"/>
  </r>
  <r>
    <x v="748"/>
    <x v="44"/>
    <n v="6.25"/>
    <n v="15.33"/>
    <n v="13.91"/>
    <n v="2.35"/>
    <n v="65.714285714285708"/>
    <n v="45.984900480439265"/>
    <n v="66.265060240963862"/>
    <n v="60.070857407470854"/>
    <n v="14.559386973180066"/>
    <n v="11.553043424405224"/>
    <n v="79.989541806880624"/>
    <n v="53.6726608987506"/>
    <n v="11.035555555555554"/>
    <n v="2.8744444444444461"/>
    <n v="749"/>
    <n v="5"/>
    <s v="Open ended"/>
    <s v="S&amp;P BSE 100 - TRI"/>
    <n v="5000"/>
    <n v="1000"/>
  </r>
  <r>
    <x v="749"/>
    <x v="19"/>
    <n v="5.74"/>
    <n v="19.3"/>
    <n v="11.74"/>
    <n v="2.5"/>
    <n v="64.618689581095595"/>
    <n v="52.796842827728206"/>
    <n v="58.575478384124736"/>
    <n v="58.050529956599945"/>
    <n v="8.812260536398453"/>
    <n v="5.9114167947138139"/>
    <n v="89.761125766839712"/>
    <n v="53.668611554109518"/>
    <n v="9.4014285714285712"/>
    <n v="2.338571428571429"/>
    <n v="750"/>
    <n v="5"/>
    <s v="Open ended"/>
    <s v="S&amp;P BSE India Infrastructure Index - TRI"/>
    <n v="1000"/>
    <n v="1000"/>
  </r>
  <r>
    <x v="750"/>
    <x v="29"/>
    <n v="4.96"/>
    <n v="3.78"/>
    <n v="5.77"/>
    <n v="0.93"/>
    <n v="62.943071965628349"/>
    <n v="26.166781056966371"/>
    <n v="37.420269312544292"/>
    <n v="39.148783366487727"/>
    <n v="68.965517241379317"/>
    <n v="18.843876220960301"/>
    <n v="67.361448973757746"/>
    <n v="53.656133237028129"/>
    <n v="5.0554237288135591"/>
    <n v="0.71457627118644051"/>
    <n v="751"/>
    <n v="40"/>
    <s v="Open ended"/>
    <s v="NIFTY Corporate Bond Index"/>
    <n v="5000"/>
    <n v="1000"/>
  </r>
  <r>
    <x v="751"/>
    <x v="29"/>
    <n v="4.96"/>
    <n v="3.78"/>
    <n v="5.77"/>
    <n v="0.93"/>
    <n v="62.943071965628349"/>
    <n v="26.166781056966371"/>
    <n v="37.420269312544292"/>
    <n v="39.148783366487727"/>
    <n v="68.965517241379317"/>
    <n v="18.843876220960301"/>
    <n v="67.361448973757746"/>
    <n v="53.656133237028129"/>
    <n v="5.0554237288135591"/>
    <n v="0.71457627118644051"/>
    <n v="751"/>
    <n v="40"/>
    <s v="Open ended"/>
    <s v="NIFTY Corporate Bond Index"/>
    <n v="5000"/>
    <n v="1000"/>
  </r>
  <r>
    <x v="752"/>
    <x v="12"/>
    <n v="6.44"/>
    <n v="16.260000000000002"/>
    <n v="9.06"/>
    <n v="1.99"/>
    <n v="66.122448979591837"/>
    <n v="47.580645161290327"/>
    <n v="49.078667611622961"/>
    <n v="52.038017150116943"/>
    <n v="28.352490421455933"/>
    <n v="10.299943716813894"/>
    <n v="82.159974167378508"/>
    <n v="53.64712472226708"/>
    <n v="9.219019607843137"/>
    <n v="-0.15901960784313651"/>
    <n v="753"/>
    <n v="16"/>
    <s v="Open ended"/>
    <s v="CRISIL Hybrid 35+65 - Aggressive Index"/>
    <n v="1000"/>
    <n v="1000"/>
  </r>
  <r>
    <x v="753"/>
    <x v="22"/>
    <n v="4.92"/>
    <n v="20.92"/>
    <n v="11.65"/>
    <n v="2.62"/>
    <n v="62.857142857142854"/>
    <n v="55.57652711050104"/>
    <n v="58.256555634301911"/>
    <n v="58.372664521729831"/>
    <n v="4.2145593869731712"/>
    <n v="3.6822846470998223"/>
    <n v="93.622095903292276"/>
    <n v="53.645496083431283"/>
    <n v="9.83"/>
    <n v="1.8200000000000003"/>
    <n v="754"/>
    <n v="13"/>
    <s v="Open ended"/>
    <s v="NIFTY 500 - TRI"/>
    <n v="5000"/>
    <n v="1000"/>
  </r>
  <r>
    <x v="754"/>
    <x v="33"/>
    <n v="5.61"/>
    <n v="4.74"/>
    <n v="4.47"/>
    <n v="0.81"/>
    <n v="64.339419978517725"/>
    <n v="27.814001372683599"/>
    <n v="32.813607370659106"/>
    <n v="37.618888092838176"/>
    <n v="73.563218390804593"/>
    <n v="19.803110551342787"/>
    <n v="65.700006377170979"/>
    <n v="53.625250238412981"/>
    <n v="4.4264935064935065"/>
    <n v="4.3506493506493271E-2"/>
    <n v="755"/>
    <n v="41"/>
    <s v="Open ended"/>
    <s v="NIFTY Ultra Short Duration Debt Index"/>
    <n v="5000"/>
    <n v="1000"/>
  </r>
  <r>
    <x v="755"/>
    <x v="19"/>
    <n v="5.71"/>
    <n v="19.239999999999998"/>
    <n v="11.72"/>
    <n v="2.5"/>
    <n v="64.554242749731472"/>
    <n v="52.693891557995883"/>
    <n v="58.504606661941885"/>
    <n v="57.971319348316001"/>
    <n v="8.812260536398453"/>
    <n v="5.9305766611858823"/>
    <n v="89.727939904643861"/>
    <n v="53.62070978441858"/>
    <n v="9.4014285714285712"/>
    <n v="2.3185714285714294"/>
    <n v="756"/>
    <n v="6"/>
    <s v="Open ended"/>
    <s v="S&amp;P BSE India Infrastructure Index - TRI"/>
    <n v="1000"/>
    <n v="1000"/>
  </r>
  <r>
    <x v="756"/>
    <x v="26"/>
    <n v="5.49"/>
    <n v="4.3899999999999997"/>
    <n v="3.96"/>
    <n v="0.73"/>
    <n v="64.08163265306122"/>
    <n v="27.213452299245027"/>
    <n v="31.006378454996451"/>
    <n v="36.483551447883976"/>
    <n v="76.628352490421463"/>
    <n v="20.279798863610978"/>
    <n v="64.874358000948206"/>
    <n v="53.617453346784409"/>
    <n v="4.4728846153846158"/>
    <n v="-0.51288461538461583"/>
    <n v="757"/>
    <n v="45"/>
    <s v="Open ended"/>
    <s v="Nifty Money Market Index"/>
    <n v="5000"/>
    <n v="1000"/>
  </r>
  <r>
    <x v="757"/>
    <x v="23"/>
    <n v="4.72"/>
    <n v="14"/>
    <n v="9.9700000000000006"/>
    <n v="2.02"/>
    <n v="62.427497314715353"/>
    <n v="43.702814001372694"/>
    <n v="52.303330970942596"/>
    <n v="51.748009148826178"/>
    <n v="27.203065134099624"/>
    <n v="9.3726677230944055"/>
    <n v="83.766063301139582"/>
    <n v="53.616286683222889"/>
    <n v="10.023387096774194"/>
    <n v="-5.3387096774192955E-2"/>
    <n v="758"/>
    <n v="28"/>
    <s v="Open ended"/>
    <s v="NIFTY 500 - TRI"/>
    <n v="1000"/>
    <n v="1000"/>
  </r>
  <r>
    <x v="758"/>
    <x v="6"/>
    <n v="5.53"/>
    <n v="14.11"/>
    <n v="7.99"/>
    <n v="1.77"/>
    <n v="64.167561761546722"/>
    <n v="43.891557995881954"/>
    <n v="45.287030474840535"/>
    <n v="48.644494988494202"/>
    <n v="36.781609195402297"/>
    <n v="11.325032257592571"/>
    <n v="80.384468732493204"/>
    <n v="53.613766976220973"/>
    <n v="9.0435999999999996"/>
    <n v="-1.0535999999999994"/>
    <n v="759"/>
    <n v="15"/>
    <s v="Open ended"/>
    <s v="NIFTY 500 - TRI"/>
    <n v="5000"/>
    <n v="1000"/>
  </r>
  <r>
    <x v="759"/>
    <x v="16"/>
    <n v="4.9400000000000004"/>
    <n v="3.27"/>
    <n v="5.2"/>
    <n v="0.84"/>
    <n v="62.900107411385605"/>
    <n v="25.291695264241596"/>
    <n v="35.400425230333099"/>
    <n v="37.867742676716148"/>
    <n v="72.41379310344827"/>
    <n v="19.462834693400062"/>
    <n v="66.289381451716864"/>
    <n v="53.60966497714935"/>
    <n v="4.9189795918367345"/>
    <n v="0.28102040816326568"/>
    <n v="760"/>
    <n v="40"/>
    <s v="Open ended"/>
    <s v="NIFTY Banking and PSU Debt Index"/>
    <n v="5000"/>
    <n v="1000"/>
  </r>
  <r>
    <x v="760"/>
    <x v="21"/>
    <n v="0.16"/>
    <n v="11.34"/>
    <n v="9.7100000000000009"/>
    <n v="1.91"/>
    <n v="52.631578947368418"/>
    <n v="39.138641043239545"/>
    <n v="51.381998582565558"/>
    <n v="47.958907393728325"/>
    <n v="31.417624521072796"/>
    <n v="7.4556536512965517"/>
    <n v="87.086429072317955"/>
    <n v="53.60546709521185"/>
    <n v="10.412619047619048"/>
    <n v="-0.70261904761904681"/>
    <n v="761"/>
    <n v="24"/>
    <s v="Open ended"/>
    <s v="NIFTY LargeMidcap 250 - TRI"/>
    <n v="1000"/>
    <n v="1000"/>
  </r>
  <r>
    <x v="761"/>
    <x v="46"/>
    <n v="4.9400000000000004"/>
    <n v="4.0199999999999996"/>
    <n v="4.59"/>
    <n v="0.81"/>
    <n v="62.900107411385605"/>
    <n v="26.578586135895677"/>
    <n v="33.238837703756197"/>
    <n v="37.173016174923923"/>
    <n v="73.563218390804593"/>
    <n v="19.336505972649203"/>
    <n v="66.508189214512527"/>
    <n v="53.604359988791245"/>
    <n v="4.4820000000000002"/>
    <n v="0.10799999999999965"/>
    <n v="762"/>
    <n v="2"/>
    <s v="Open ended"/>
    <s v="Nifty 50 Arbitrage"/>
    <n v="5000"/>
    <n v="1000"/>
  </r>
  <r>
    <x v="762"/>
    <x v="22"/>
    <n v="1.82"/>
    <n v="12.58"/>
    <n v="9.66"/>
    <n v="1.97"/>
    <n v="56.197636949516649"/>
    <n v="41.266300617707621"/>
    <n v="51.204819277108427"/>
    <n v="49.221827213769828"/>
    <n v="29.118773946360154"/>
    <n v="7.6009559278945318"/>
    <n v="86.834758146794826"/>
    <n v="53.599296630173654"/>
    <n v="9.83"/>
    <n v="-0.16999999999999993"/>
    <n v="763"/>
    <n v="14"/>
    <s v="Open ended"/>
    <s v="NIFTY 500 - TRI"/>
    <n v="1000"/>
    <n v="1000"/>
  </r>
  <r>
    <x v="763"/>
    <x v="21"/>
    <n v="0.16"/>
    <n v="11.33"/>
    <n v="9.7100000000000009"/>
    <n v="1.91"/>
    <n v="52.631578947368418"/>
    <n v="39.121482498284152"/>
    <n v="51.381998582565558"/>
    <n v="47.953759830241708"/>
    <n v="31.417624521072796"/>
    <n v="7.4655253421374974"/>
    <n v="87.069330802224826"/>
    <n v="53.598618745945259"/>
    <n v="10.412619047619048"/>
    <n v="-0.70261904761904681"/>
    <n v="764"/>
    <n v="25"/>
    <s v="Open ended"/>
    <s v="NIFTY LargeMidcap 250 - TRI"/>
    <n v="1000"/>
    <n v="1000"/>
  </r>
  <r>
    <x v="764"/>
    <x v="25"/>
    <n v="5.0599999999999996"/>
    <n v="4.07"/>
    <n v="4.75"/>
    <n v="0.83"/>
    <n v="63.157894736842103"/>
    <n v="26.66437886067262"/>
    <n v="33.805811481218996"/>
    <n v="37.533798346179708"/>
    <n v="72.796934865900369"/>
    <n v="19.340465145746744"/>
    <n v="66.501331725551637"/>
    <n v="53.591465820952855"/>
    <n v="5.1221052631578941"/>
    <n v="-0.37210526315789405"/>
    <n v="765"/>
    <n v="36"/>
    <s v="Open ended"/>
    <s v="CRISIL Low Duration Debt Index"/>
    <n v="5000"/>
    <n v="1000"/>
  </r>
  <r>
    <x v="765"/>
    <x v="25"/>
    <n v="5.0599999999999996"/>
    <n v="4.07"/>
    <n v="4.75"/>
    <n v="0.83"/>
    <n v="63.157894736842103"/>
    <n v="26.66437886067262"/>
    <n v="33.805811481218996"/>
    <n v="37.533798346179708"/>
    <n v="72.796934865900369"/>
    <n v="19.340465145746744"/>
    <n v="66.501331725551637"/>
    <n v="53.591465820952855"/>
    <n v="5.1221052631578941"/>
    <n v="-0.37210526315789405"/>
    <n v="765"/>
    <n v="36"/>
    <s v="Open ended"/>
    <s v="CRISIL Low Duration Debt Index"/>
    <n v="5000"/>
    <n v="1000"/>
  </r>
  <r>
    <x v="766"/>
    <x v="33"/>
    <n v="5.61"/>
    <n v="4.74"/>
    <n v="4.4400000000000004"/>
    <n v="0.81"/>
    <n v="64.339419978517725"/>
    <n v="27.814001372683599"/>
    <n v="32.707299787384834"/>
    <n v="37.565734301201047"/>
    <n v="73.563218390804593"/>
    <n v="19.826924460999191"/>
    <n v="65.658759475719222"/>
    <n v="53.588361617231477"/>
    <n v="4.4264935064935065"/>
    <n v="1.3506493506493911E-2"/>
    <n v="767"/>
    <n v="42"/>
    <s v="Open ended"/>
    <s v="NIFTY Ultra Short Duration Debt Index"/>
    <n v="5000"/>
    <n v="1000"/>
  </r>
  <r>
    <x v="767"/>
    <x v="29"/>
    <n v="4.97"/>
    <n v="3.78"/>
    <n v="5.71"/>
    <n v="0.93"/>
    <n v="62.964554242749728"/>
    <n v="26.166781056966371"/>
    <n v="37.207654145995747"/>
    <n v="39.046772238637729"/>
    <n v="68.965517241379317"/>
    <n v="18.882950390032516"/>
    <n v="67.293770527661138"/>
    <n v="53.588208061578982"/>
    <n v="5.0554237288135591"/>
    <n v="0.65457627118644091"/>
    <n v="768"/>
    <n v="42"/>
    <s v="Open ended"/>
    <s v="NIFTY Corporate Bond Index"/>
    <n v="5000"/>
    <n v="1000"/>
  </r>
  <r>
    <x v="768"/>
    <x v="29"/>
    <n v="4.97"/>
    <n v="3.78"/>
    <n v="5.71"/>
    <n v="0.93"/>
    <n v="62.964554242749728"/>
    <n v="26.166781056966371"/>
    <n v="37.207654145995747"/>
    <n v="39.046772238637729"/>
    <n v="68.965517241379317"/>
    <n v="18.882950390032516"/>
    <n v="67.293770527661138"/>
    <n v="53.588208061578982"/>
    <n v="5.0554237288135591"/>
    <n v="0.65457627118644091"/>
    <n v="768"/>
    <n v="42"/>
    <s v="Open ended"/>
    <s v="NIFTY Corporate Bond Index"/>
    <n v="5000"/>
    <n v="1000"/>
  </r>
  <r>
    <x v="769"/>
    <x v="26"/>
    <n v="5.49"/>
    <n v="4.3899999999999997"/>
    <n v="3.92"/>
    <n v="0.73"/>
    <n v="64.08163265306122"/>
    <n v="27.213452299245027"/>
    <n v="30.86463501063076"/>
    <n v="36.412679725701132"/>
    <n v="76.628352490421463"/>
    <n v="20.314046003404766"/>
    <n v="64.815040214811447"/>
    <n v="53.567188039158793"/>
    <n v="4.4728846153846158"/>
    <n v="-0.55288461538461586"/>
    <n v="770"/>
    <n v="46"/>
    <s v="Open ended"/>
    <s v="Nifty Money Market Index"/>
    <n v="5000"/>
    <n v="1000"/>
  </r>
  <r>
    <x v="770"/>
    <x v="3"/>
    <n v="5.94"/>
    <n v="10.16"/>
    <n v="6.96"/>
    <n v="1.42"/>
    <n v="65.048335123523088"/>
    <n v="37.113932738503777"/>
    <n v="41.637136782423809"/>
    <n v="44.962415237467653"/>
    <n v="50.191570881226056"/>
    <n v="14.993745469347081"/>
    <n v="74.030071051335199"/>
    <n v="53.53661810187414"/>
    <n v="7.5967647058823538"/>
    <n v="-0.63676470588235379"/>
    <n v="771"/>
    <n v="30"/>
    <s v="Open ended"/>
    <s v="CRISIL Hybrid 50+50 - Moderate Index"/>
    <n v="5000"/>
    <n v="1000"/>
  </r>
  <r>
    <x v="771"/>
    <x v="25"/>
    <n v="5.0599999999999996"/>
    <n v="4.07"/>
    <n v="4.6900000000000004"/>
    <n v="0.83"/>
    <n v="63.157894736842103"/>
    <n v="26.66437886067262"/>
    <n v="33.59319631467045"/>
    <n v="37.427490762905435"/>
    <n v="72.796934865900369"/>
    <n v="19.381505811421611"/>
    <n v="66.430247207426305"/>
    <n v="53.520540899784386"/>
    <n v="5.1221052631578941"/>
    <n v="-0.43210526315789366"/>
    <n v="772"/>
    <n v="38"/>
    <s v="Open ended"/>
    <s v="CRISIL Low Duration Debt Index"/>
    <n v="5000"/>
    <n v="1000"/>
  </r>
  <r>
    <x v="772"/>
    <x v="44"/>
    <n v="6.26"/>
    <n v="15.34"/>
    <n v="13.55"/>
    <n v="2.35"/>
    <n v="65.735767991407073"/>
    <n v="46.002059025394651"/>
    <n v="64.989369241672577"/>
    <n v="59.442455926736102"/>
    <n v="14.559386973180066"/>
    <n v="11.184023798094438"/>
    <n v="80.628702548640987"/>
    <n v="53.518250343823311"/>
    <n v="11.035555555555554"/>
    <n v="2.5144444444444467"/>
    <n v="773"/>
    <n v="6"/>
    <s v="Open ended"/>
    <s v="S&amp;P BSE 100 - TRI"/>
    <n v="5000"/>
    <n v="1000"/>
  </r>
  <r>
    <x v="773"/>
    <x v="29"/>
    <n v="4.97"/>
    <n v="3.79"/>
    <n v="5.64"/>
    <n v="0.93"/>
    <n v="62.964554242749728"/>
    <n v="26.183939601921765"/>
    <n v="36.959603118355773"/>
    <n v="38.927894288304358"/>
    <n v="68.965517241379317"/>
    <n v="18.908490247146535"/>
    <n v="67.249534197521598"/>
    <n v="53.517710003877411"/>
    <n v="5.0554237288135591"/>
    <n v="0.58457627118644062"/>
    <n v="774"/>
    <n v="44"/>
    <s v="Open ended"/>
    <s v="NIFTY Corporate Bond Index"/>
    <n v="5000"/>
    <n v="1000"/>
  </r>
  <r>
    <x v="774"/>
    <x v="39"/>
    <n v="5.45"/>
    <n v="1.71"/>
    <n v="3.35"/>
    <n v="0.52"/>
    <n v="63.995703544575719"/>
    <n v="22.614962251201103"/>
    <n v="28.844790928419563"/>
    <n v="34.006024848485254"/>
    <n v="84.674329501915707"/>
    <n v="22.311294498098711"/>
    <n v="61.355704346661078"/>
    <n v="53.510520886386821"/>
    <n v="3.9855555555555551"/>
    <n v="-0.63555555555555499"/>
    <n v="775"/>
    <n v="5"/>
    <s v="Open ended"/>
    <s v=""/>
    <n v="1000"/>
    <n v="1000"/>
  </r>
  <r>
    <x v="775"/>
    <x v="29"/>
    <n v="4.8600000000000003"/>
    <n v="1.96"/>
    <n v="4.04"/>
    <n v="0.64"/>
    <n v="62.728249194414609"/>
    <n v="23.043925875085797"/>
    <n v="31.28986534372785"/>
    <n v="35.103760273272584"/>
    <n v="80.076628352490417"/>
    <n v="20.941239274760601"/>
    <n v="63.728709602657808"/>
    <n v="53.503214625423347"/>
    <n v="5.0554237288135591"/>
    <n v="-1.015423728813559"/>
    <n v="776"/>
    <n v="45"/>
    <s v="Open ended"/>
    <s v="CRISIL Corporate Bond Index"/>
    <n v="5000"/>
    <n v="1000"/>
  </r>
  <r>
    <x v="776"/>
    <x v="19"/>
    <n v="10.050000000000001"/>
    <n v="21.02"/>
    <n v="10.5"/>
    <n v="2.3199999999999998"/>
    <n v="73.877551020408163"/>
    <n v="55.748112560054921"/>
    <n v="54.181431608788088"/>
    <n v="58.590659776492153"/>
    <n v="15.708812260536398"/>
    <n v="10.94736001636616"/>
    <n v="81.038616242905761"/>
    <n v="53.482187014106614"/>
    <n v="9.4014285714285712"/>
    <n v="1.0985714285714288"/>
    <n v="777"/>
    <n v="7"/>
    <s v="Open ended"/>
    <s v="S&amp;P BSE India Infrastructure Index - TRI"/>
    <n v="5000"/>
    <n v="1000"/>
  </r>
  <r>
    <x v="777"/>
    <x v="29"/>
    <n v="4.87"/>
    <n v="1.97"/>
    <n v="4.0199999999999996"/>
    <n v="0.64"/>
    <n v="62.749731471535974"/>
    <n v="23.061084420041183"/>
    <n v="31.218993621545"/>
    <n v="35.077768431092053"/>
    <n v="80.076628352490417"/>
    <n v="20.959992114673135"/>
    <n v="63.696228731143094"/>
    <n v="53.482098486454404"/>
    <n v="5.0554237288135591"/>
    <n v="-1.0354237288135595"/>
    <n v="778"/>
    <n v="46"/>
    <s v="Open ended"/>
    <s v="CRISIL Corporate Bond Index"/>
    <n v="5000"/>
    <n v="1000"/>
  </r>
  <r>
    <x v="778"/>
    <x v="29"/>
    <n v="4.87"/>
    <n v="1.96"/>
    <n v="4.0199999999999996"/>
    <n v="0.64"/>
    <n v="62.749731471535974"/>
    <n v="23.043925875085797"/>
    <n v="31.218993621545"/>
    <n v="35.072620867605437"/>
    <n v="80.076628352490417"/>
    <n v="20.966521568471745"/>
    <n v="63.684919385418233"/>
    <n v="53.476697368279879"/>
    <n v="5.0554237288135591"/>
    <n v="-1.0354237288135595"/>
    <n v="779"/>
    <n v="47"/>
    <s v="Open ended"/>
    <s v="CRISIL Corporate Bond Index"/>
    <n v="5000"/>
    <n v="1000"/>
  </r>
  <r>
    <x v="779"/>
    <x v="19"/>
    <n v="9.98"/>
    <n v="21"/>
    <n v="10.48"/>
    <n v="2.3199999999999998"/>
    <n v="73.727175080558538"/>
    <n v="55.713795470144149"/>
    <n v="54.110559886605245"/>
    <n v="58.514853600457577"/>
    <n v="15.708812260536398"/>
    <n v="10.892381136929744"/>
    <n v="81.133842455432827"/>
    <n v="53.46809047922109"/>
    <n v="9.4014285714285712"/>
    <n v="1.0785714285714292"/>
    <n v="780"/>
    <n v="8"/>
    <s v="Open ended"/>
    <s v="S&amp;P BSE India Infrastructure Index - TRI"/>
    <n v="5000"/>
    <n v="1000"/>
  </r>
  <r>
    <x v="780"/>
    <x v="48"/>
    <n v="4.74"/>
    <n v="3.08"/>
    <n v="4.76"/>
    <n v="0.8"/>
    <n v="62.470461868958104"/>
    <n v="24.965682910089228"/>
    <n v="33.841247342310417"/>
    <n v="36.904420917973596"/>
    <n v="73.946360153256705"/>
    <n v="19.600238149730639"/>
    <n v="66.051391684216725"/>
    <n v="53.451648418355155"/>
    <n v="3.5597297297297299"/>
    <n v="1.2002702702702699"/>
    <n v="781"/>
    <n v="1"/>
    <s v="Open ended"/>
    <s v="CRISIL Medium Term Debt Index"/>
    <n v="1000"/>
    <n v="1000"/>
  </r>
  <r>
    <x v="781"/>
    <x v="48"/>
    <n v="4.74"/>
    <n v="3.08"/>
    <n v="4.76"/>
    <n v="0.8"/>
    <n v="62.470461868958104"/>
    <n v="24.965682910089228"/>
    <n v="33.841247342310417"/>
    <n v="36.904420917973596"/>
    <n v="73.946360153256705"/>
    <n v="19.600238149730639"/>
    <n v="66.051391684216725"/>
    <n v="53.451648418355155"/>
    <n v="3.5597297297297299"/>
    <n v="1.2002702702702699"/>
    <n v="781"/>
    <n v="1"/>
    <s v="Open ended"/>
    <s v="CRISIL Medium Term Debt Index"/>
    <n v="1000"/>
    <n v="1000"/>
  </r>
  <r>
    <x v="782"/>
    <x v="44"/>
    <n v="14.71"/>
    <n v="19.13"/>
    <n v="11.62"/>
    <n v="2.2200000000000002"/>
    <n v="83.888292158968852"/>
    <n v="52.505147563486624"/>
    <n v="58.150248051027631"/>
    <n v="61.604326726353577"/>
    <n v="19.540229885057457"/>
    <n v="16.729294858210597"/>
    <n v="71.024011330778478"/>
    <n v="53.443223667135769"/>
    <n v="11.035555555555554"/>
    <n v="0.58444444444444521"/>
    <n v="783"/>
    <n v="7"/>
    <s v="Open ended"/>
    <s v="Nifty India Consumption - TRI"/>
    <n v="5000"/>
    <n v="1000"/>
  </r>
  <r>
    <x v="783"/>
    <x v="44"/>
    <n v="14.71"/>
    <n v="19.13"/>
    <n v="11.62"/>
    <n v="2.2200000000000002"/>
    <n v="83.888292158968852"/>
    <n v="52.505147563486624"/>
    <n v="58.150248051027631"/>
    <n v="61.604326726353577"/>
    <n v="19.540229885057457"/>
    <n v="16.729294858210597"/>
    <n v="71.024011330778478"/>
    <n v="53.443223667135769"/>
    <n v="11.035555555555554"/>
    <n v="0.58444444444444521"/>
    <n v="783"/>
    <n v="7"/>
    <s v="Open ended"/>
    <s v="Nifty India Consumption - TRI"/>
    <n v="5000"/>
    <n v="1000"/>
  </r>
  <r>
    <x v="784"/>
    <x v="19"/>
    <n v="10.75"/>
    <n v="19.75"/>
    <n v="11.1"/>
    <n v="2.3199999999999998"/>
    <n v="75.381310418904405"/>
    <n v="53.568977350720658"/>
    <n v="56.307583274273568"/>
    <n v="59.300746926133868"/>
    <n v="15.708812260536398"/>
    <n v="11.88195342714971"/>
    <n v="79.419852971009561"/>
    <n v="53.432539770953426"/>
    <n v="9.4014285714285712"/>
    <n v="1.6985714285714284"/>
    <n v="785"/>
    <n v="9"/>
    <s v="Open ended"/>
    <s v="S&amp;P BSE India Infrastructure Index - TRI"/>
    <n v="5000"/>
    <n v="1000"/>
  </r>
  <r>
    <x v="785"/>
    <x v="29"/>
    <n v="4.6399999999999997"/>
    <n v="2.68"/>
    <n v="3.37"/>
    <n v="0.61"/>
    <n v="62.25563909774435"/>
    <n v="24.279341111873716"/>
    <n v="28.915662650602407"/>
    <n v="34.192761478412194"/>
    <n v="81.226053639846739"/>
    <n v="20.717338614544182"/>
    <n v="64.116516922000869"/>
    <n v="53.432023379667996"/>
    <n v="5.0554237288135591"/>
    <n v="-1.685423728813559"/>
    <n v="786"/>
    <n v="48"/>
    <s v="Open ended"/>
    <s v="NIFTY Corporate Bond Index"/>
    <n v="1000"/>
    <n v="1000"/>
  </r>
  <r>
    <x v="786"/>
    <x v="15"/>
    <n v="5.22"/>
    <n v="3.6"/>
    <n v="4.93"/>
    <n v="0.84"/>
    <n v="63.501611170784102"/>
    <n v="25.857927247769393"/>
    <n v="34.443656980864631"/>
    <n v="37.679528898919955"/>
    <n v="72.41379310344827"/>
    <n v="19.727841561479597"/>
    <n v="65.830376091848393"/>
    <n v="53.40080674828414"/>
    <n v="5.2086538461538465"/>
    <n v="-0.27865384615384681"/>
    <n v="787"/>
    <n v="16"/>
    <s v="Open ended"/>
    <s v=""/>
    <n v="5000"/>
    <n v="1000"/>
  </r>
  <r>
    <x v="787"/>
    <x v="39"/>
    <n v="5.68"/>
    <n v="1.88"/>
    <n v="4.2699999999999996"/>
    <n v="0.65"/>
    <n v="64.489795918367349"/>
    <n v="22.906657515442692"/>
    <n v="32.104890148830613"/>
    <n v="35.822401512721584"/>
    <n v="79.693486590038304"/>
    <n v="21.842416703578095"/>
    <n v="62.167824509311629"/>
    <n v="53.376528531198275"/>
    <n v="3.9855555555555551"/>
    <n v="0.2844444444444445"/>
    <n v="788"/>
    <n v="6"/>
    <s v="Open ended"/>
    <s v=""/>
    <n v="1000"/>
    <n v="1000"/>
  </r>
  <r>
    <x v="788"/>
    <x v="15"/>
    <n v="5.22"/>
    <n v="3.6"/>
    <n v="4.9000000000000004"/>
    <n v="0.84"/>
    <n v="63.501611170784102"/>
    <n v="25.857927247769393"/>
    <n v="34.337349397590359"/>
    <n v="37.626375107282819"/>
    <n v="72.41379310344827"/>
    <n v="19.746314863226505"/>
    <n v="65.798379394639198"/>
    <n v="53.366230678163276"/>
    <n v="5.2086538461538465"/>
    <n v="-0.30865384615384617"/>
    <n v="789"/>
    <n v="17"/>
    <s v="Open ended"/>
    <s v=""/>
    <n v="5000"/>
    <n v="1000"/>
  </r>
  <r>
    <x v="789"/>
    <x v="15"/>
    <n v="5.22"/>
    <n v="3.6"/>
    <n v="4.88"/>
    <n v="0.84"/>
    <n v="63.501611170784102"/>
    <n v="25.857927247769393"/>
    <n v="34.266477675407508"/>
    <n v="37.590939246191397"/>
    <n v="72.41379310344827"/>
    <n v="19.758726722145077"/>
    <n v="65.776881424375858"/>
    <n v="53.343138255051727"/>
    <n v="5.2086538461538465"/>
    <n v="-0.32865384615384663"/>
    <n v="790"/>
    <n v="18"/>
    <s v="Open ended"/>
    <s v=""/>
    <n v="5000"/>
    <n v="1000"/>
  </r>
  <r>
    <x v="790"/>
    <x v="15"/>
    <n v="5.22"/>
    <n v="3.6"/>
    <n v="4.8499999999999996"/>
    <n v="0.84"/>
    <n v="63.501611170784102"/>
    <n v="25.857927247769393"/>
    <n v="34.160170092133235"/>
    <n v="37.537785454554253"/>
    <n v="72.41379310344827"/>
    <n v="19.777488634449046"/>
    <n v="65.744384839018238"/>
    <n v="53.308437212893757"/>
    <n v="5.2086538461538465"/>
    <n v="-0.35865384615384688"/>
    <n v="791"/>
    <n v="19"/>
    <s v="Open ended"/>
    <s v=""/>
    <n v="5000"/>
    <n v="1000"/>
  </r>
  <r>
    <x v="791"/>
    <x v="21"/>
    <n v="7.14"/>
    <n v="15.31"/>
    <n v="9.69"/>
    <n v="2.0299999999999998"/>
    <n v="67.626208378088066"/>
    <n v="45.950583390528486"/>
    <n v="51.311126860382707"/>
    <n v="52.965980122967508"/>
    <n v="26.819923371647512"/>
    <n v="11.28974482899477"/>
    <n v="80.445588351693047"/>
    <n v="53.299367992318892"/>
    <n v="10.412619047619048"/>
    <n v="-0.72261904761904816"/>
    <n v="792"/>
    <n v="26"/>
    <s v="Open ended"/>
    <s v="NIFTY LargeMidcap 250 - TRI"/>
    <n v="1000"/>
    <n v="1000"/>
  </r>
  <r>
    <x v="792"/>
    <x v="29"/>
    <n v="4.6399999999999997"/>
    <n v="3.37"/>
    <n v="4.22"/>
    <n v="0.77"/>
    <n v="62.25563909774435"/>
    <n v="25.463280713795474"/>
    <n v="31.92771084337349"/>
    <n v="36.053967455374256"/>
    <n v="75.095785440613028"/>
    <n v="19.643700112060507"/>
    <n v="65.976113357264751"/>
    <n v="53.294958427156573"/>
    <n v="5.0554237288135591"/>
    <n v="-0.83542372881355931"/>
    <n v="793"/>
    <n v="49"/>
    <s v="Open ended"/>
    <s v="NIFTY Corporate Bond Index"/>
    <n v="10000"/>
    <n v="1000"/>
  </r>
  <r>
    <x v="793"/>
    <x v="31"/>
    <n v="5.4"/>
    <n v="4.1500000000000004"/>
    <n v="4.68"/>
    <n v="0.85"/>
    <n v="63.888292158968852"/>
    <n v="26.801647220315722"/>
    <n v="33.557760453579021"/>
    <n v="37.597032824677996"/>
    <n v="72.030651340996172"/>
    <n v="19.752659957408518"/>
    <n v="65.787389369137145"/>
    <n v="53.253026589872327"/>
    <n v="5.2778260869565221"/>
    <n v="-0.5978260869565224"/>
    <n v="794"/>
    <n v="14"/>
    <s v="Open ended"/>
    <s v="CRISIL Low Duration Debt Index"/>
    <n v="1000"/>
    <n v="1000"/>
  </r>
  <r>
    <x v="794"/>
    <x v="31"/>
    <n v="5.4"/>
    <n v="4.1500000000000004"/>
    <n v="4.68"/>
    <n v="0.85"/>
    <n v="63.888292158968852"/>
    <n v="26.801647220315722"/>
    <n v="33.557760453579021"/>
    <n v="37.597032824677996"/>
    <n v="72.030651340996172"/>
    <n v="19.752659957408518"/>
    <n v="65.787389369137145"/>
    <n v="53.253026589872327"/>
    <n v="5.2778260869565221"/>
    <n v="-0.5978260869565224"/>
    <n v="794"/>
    <n v="14"/>
    <s v="Open ended"/>
    <s v="CRISIL Low Duration Debt Index"/>
    <n v="20000"/>
    <n v="1000"/>
  </r>
  <r>
    <x v="795"/>
    <x v="12"/>
    <n v="0.39"/>
    <n v="10.3"/>
    <n v="9.0500000000000007"/>
    <n v="1.83"/>
    <n v="53.125671321160041"/>
    <n v="37.354152367879209"/>
    <n v="49.043231750531532"/>
    <n v="46.352995849861536"/>
    <n v="34.482758620689658"/>
    <n v="8.1857772971933631"/>
    <n v="85.821817821817248"/>
    <n v="53.2526420355575"/>
    <n v="9.219019607843137"/>
    <n v="-0.1690196078431363"/>
    <n v="796"/>
    <n v="17"/>
    <s v="Open ended"/>
    <s v="CRISIL Hybrid 35+65 - Aggressive Index"/>
    <n v="1000"/>
    <n v="1000"/>
  </r>
  <r>
    <x v="796"/>
    <x v="33"/>
    <n v="5.48"/>
    <n v="4.6100000000000003"/>
    <n v="4.38"/>
    <n v="0.84"/>
    <n v="64.060150375939855"/>
    <n v="27.59094028826356"/>
    <n v="32.494684620836281"/>
    <n v="37.336654472085179"/>
    <n v="72.41379310344827"/>
    <n v="19.79237488375648"/>
    <n v="65.718601098883624"/>
    <n v="53.201425786625563"/>
    <n v="4.4264935064935065"/>
    <n v="-4.6493506493506587E-2"/>
    <n v="797"/>
    <n v="43"/>
    <s v="Open ended"/>
    <s v="CRISIL Ultra Short Term Debt Index"/>
    <n v="5000"/>
    <n v="1000"/>
  </r>
  <r>
    <x v="797"/>
    <x v="16"/>
    <n v="4.91"/>
    <n v="3"/>
    <n v="4.7"/>
    <n v="0.81"/>
    <n v="62.835660580021482"/>
    <n v="24.828414550446126"/>
    <n v="33.628632175761872"/>
    <n v="36.82997256901907"/>
    <n v="73.563218390804593"/>
    <n v="19.895749500889284"/>
    <n v="65.539551009796625"/>
    <n v="53.190678634659847"/>
    <n v="4.9189795918367345"/>
    <n v="-0.21897959183673432"/>
    <n v="798"/>
    <n v="41"/>
    <s v="Open ended"/>
    <s v="NIFTY Banking and PSU Debt Index"/>
    <n v="5000"/>
    <n v="1000"/>
  </r>
  <r>
    <x v="798"/>
    <x v="29"/>
    <n v="4.6399999999999997"/>
    <n v="3.37"/>
    <n v="4.12"/>
    <n v="0.77"/>
    <n v="62.25563909774435"/>
    <n v="25.463280713795474"/>
    <n v="31.57335223245925"/>
    <n v="35.876788149917132"/>
    <n v="75.095785440613028"/>
    <n v="19.71637786502956"/>
    <n v="65.850231796542417"/>
    <n v="53.174898384247427"/>
    <n v="5.0554237288135591"/>
    <n v="-0.93542372881355895"/>
    <n v="799"/>
    <n v="50"/>
    <s v="Open ended"/>
    <s v="NIFTY Corporate Bond Index"/>
    <n v="10000"/>
    <n v="1000"/>
  </r>
  <r>
    <x v="799"/>
    <x v="33"/>
    <n v="5.51"/>
    <n v="4.55"/>
    <n v="5.34"/>
    <n v="0.96"/>
    <n v="64.124597207303964"/>
    <n v="27.487989018531234"/>
    <n v="35.896527285613033"/>
    <n v="39.019579789826679"/>
    <n v="67.81609195402298"/>
    <n v="19.191007038326138"/>
    <n v="66.760200761207216"/>
    <n v="53.153863073720885"/>
    <n v="4.4264935064935065"/>
    <n v="0.91350649350649338"/>
    <n v="800"/>
    <n v="44"/>
    <s v="Open ended"/>
    <s v="CRISIL Ultra Short Term Debt Index"/>
    <n v="5000"/>
    <n v="1000"/>
  </r>
  <r>
    <x v="800"/>
    <x v="38"/>
    <n v="5.49"/>
    <n v="3.24"/>
    <n v="4.3"/>
    <n v="0.76"/>
    <n v="64.08163265306122"/>
    <n v="25.240219629375432"/>
    <n v="32.211197732104893"/>
    <n v="36.493991285477321"/>
    <n v="75.478927203065126"/>
    <n v="20.708188893270357"/>
    <n v="64.132364704122224"/>
    <n v="53.149818619535495"/>
    <n v="4.625"/>
    <n v="-0.32500000000000018"/>
    <n v="801"/>
    <n v="14"/>
    <s v="Open ended"/>
    <s v="CRISIL Dynamic Debt Index"/>
    <n v="1000"/>
    <n v="1000"/>
  </r>
  <r>
    <x v="801"/>
    <x v="31"/>
    <n v="5.4"/>
    <n v="4.1500000000000004"/>
    <n v="4.59"/>
    <n v="0.85"/>
    <n v="63.888292158968852"/>
    <n v="26.801647220315722"/>
    <n v="33.238837703756197"/>
    <n v="37.43757144976658"/>
    <n v="72.030651340996172"/>
    <n v="19.816851888094206"/>
    <n v="65.676205683753594"/>
    <n v="53.145499981070728"/>
    <n v="5.2778260869565221"/>
    <n v="-0.68782608695652225"/>
    <n v="802"/>
    <n v="16"/>
    <s v="Open ended"/>
    <s v="CRISIL Low Duration Debt Index"/>
    <n v="20000"/>
    <n v="1000"/>
  </r>
  <r>
    <x v="802"/>
    <x v="6"/>
    <n v="3.11"/>
    <n v="16.16"/>
    <n v="8.39"/>
    <n v="2.06"/>
    <n v="58.968850698174002"/>
    <n v="47.409059711736454"/>
    <n v="46.704464918497521"/>
    <n v="49.368720512404501"/>
    <n v="25.670498084291182"/>
    <n v="6.8864647440409374"/>
    <n v="88.072293178789295"/>
    <n v="53.120058071972366"/>
    <n v="9.0435999999999996"/>
    <n v="-0.65359999999999907"/>
    <n v="803"/>
    <n v="16"/>
    <s v="Open ended"/>
    <s v="NIFTY 500 - TRI"/>
    <n v="1000"/>
    <n v="1000"/>
  </r>
  <r>
    <x v="803"/>
    <x v="33"/>
    <n v="5.51"/>
    <n v="4.55"/>
    <n v="5.31"/>
    <n v="0.96"/>
    <n v="64.124597207303964"/>
    <n v="27.487989018531234"/>
    <n v="35.790219702338767"/>
    <n v="38.96642599818955"/>
    <n v="67.81609195402298"/>
    <n v="19.20939458745244"/>
    <n v="66.728352591893781"/>
    <n v="53.119324135573962"/>
    <n v="4.4264935064935065"/>
    <n v="0.88350649350649313"/>
    <n v="804"/>
    <n v="45"/>
    <s v="Open ended"/>
    <s v="CRISIL Ultra Short Term Debt Index"/>
    <n v="20000"/>
    <n v="1000"/>
  </r>
  <r>
    <x v="804"/>
    <x v="33"/>
    <n v="5.51"/>
    <n v="4.6100000000000003"/>
    <n v="4.32"/>
    <n v="0.84"/>
    <n v="64.124597207303964"/>
    <n v="27.59094028826356"/>
    <n v="32.282069454287736"/>
    <n v="37.24323625508373"/>
    <n v="72.41379310344827"/>
    <n v="19.877379750326249"/>
    <n v="65.571368351094179"/>
    <n v="53.117908491177474"/>
    <n v="4.4264935064935065"/>
    <n v="-0.1064935064935062"/>
    <n v="805"/>
    <n v="46"/>
    <s v="Open ended"/>
    <s v="CRISIL Ultra Short Term Debt Index"/>
    <n v="5000"/>
    <n v="1000"/>
  </r>
  <r>
    <x v="805"/>
    <x v="29"/>
    <n v="4.87"/>
    <n v="1.97"/>
    <n v="3.71"/>
    <n v="0.64"/>
    <n v="62.749731471535974"/>
    <n v="23.061084420041183"/>
    <n v="30.120481927710841"/>
    <n v="34.528512584174976"/>
    <n v="80.076628352490417"/>
    <n v="21.172669977050724"/>
    <n v="63.327859867859971"/>
    <n v="53.115378347175081"/>
    <n v="5.0554237288135591"/>
    <n v="-1.3454237288135591"/>
    <n v="806"/>
    <n v="51"/>
    <s v="Open ended"/>
    <s v="CRISIL Corporate Bond Index"/>
    <n v="5000"/>
    <n v="1000"/>
  </r>
  <r>
    <x v="806"/>
    <x v="33"/>
    <n v="5.48"/>
    <n v="4.6100000000000003"/>
    <n v="4.3099999999999996"/>
    <n v="0.84"/>
    <n v="64.060150375939855"/>
    <n v="27.59094028826356"/>
    <n v="32.246633593196314"/>
    <n v="37.212628958265199"/>
    <n v="72.41379310344827"/>
    <n v="19.848503783470139"/>
    <n v="65.621382992806616"/>
    <n v="53.115108503196325"/>
    <n v="4.4264935064935065"/>
    <n v="-0.11649350649350687"/>
    <n v="807"/>
    <n v="47"/>
    <s v="Open ended"/>
    <s v="CRISIL Ultra Short Term Debt Index"/>
    <n v="5000"/>
    <n v="1000"/>
  </r>
  <r>
    <x v="807"/>
    <x v="47"/>
    <n v="6.02"/>
    <n v="23.43"/>
    <n v="9.0399999999999991"/>
    <n v="2.3199999999999998"/>
    <n v="65.220193340494092"/>
    <n v="59.883321894303364"/>
    <n v="49.007795889440111"/>
    <n v="55.512933181109887"/>
    <n v="15.708812260536398"/>
    <n v="8.2623755041207172"/>
    <n v="85.689145835650407"/>
    <n v="53.105956114601646"/>
    <n v="9.6316666666666659"/>
    <n v="-0.59166666666666679"/>
    <n v="808"/>
    <n v="2"/>
    <s v="Open ended"/>
    <s v=""/>
    <n v="1000"/>
    <n v="1000"/>
  </r>
  <r>
    <x v="808"/>
    <x v="33"/>
    <n v="5.51"/>
    <n v="4.55"/>
    <n v="5.29"/>
    <n v="0.96"/>
    <n v="64.124597207303964"/>
    <n v="27.487989018531234"/>
    <n v="35.719347980155916"/>
    <n v="38.930990137098121"/>
    <n v="67.81609195402298"/>
    <n v="19.221752060227509"/>
    <n v="66.706948821194203"/>
    <n v="53.096255262353353"/>
    <n v="4.4264935064935065"/>
    <n v="0.86350649350649356"/>
    <n v="809"/>
    <n v="48"/>
    <s v="Open ended"/>
    <s v="CRISIL Ultra Short Term Debt Index"/>
    <n v="20000"/>
    <n v="1000"/>
  </r>
  <r>
    <x v="809"/>
    <x v="16"/>
    <n v="4.92"/>
    <n v="3"/>
    <n v="4.62"/>
    <n v="0.81"/>
    <n v="62.857142857142854"/>
    <n v="24.828414550446126"/>
    <n v="33.345145287030476"/>
    <n v="36.692525580077643"/>
    <n v="73.563218390804593"/>
    <n v="19.956940645810239"/>
    <n v="65.433564837820228"/>
    <n v="53.095458597195027"/>
    <n v="4.9189795918367345"/>
    <n v="-0.29897959183673439"/>
    <n v="810"/>
    <n v="42"/>
    <s v="Open ended"/>
    <s v="NIFTY Banking and PSU Debt Index"/>
    <n v="5000"/>
    <n v="1000"/>
  </r>
  <r>
    <x v="810"/>
    <x v="38"/>
    <n v="5.09"/>
    <n v="6.34"/>
    <n v="6.24"/>
    <n v="1.19"/>
    <n v="63.222341568206232"/>
    <n v="30.559368565545647"/>
    <n v="39.085754783841239"/>
    <n v="41.355156275225561"/>
    <n v="59.003831417624518"/>
    <n v="16.941782122488661"/>
    <n v="70.65597259308754"/>
    <n v="53.092529140290793"/>
    <n v="4.625"/>
    <n v="1.6150000000000002"/>
    <n v="811"/>
    <n v="15"/>
    <s v="Open ended"/>
    <s v="NIFTY Composite Debt Index"/>
    <n v="1000"/>
    <n v="1000"/>
  </r>
  <r>
    <x v="811"/>
    <x v="38"/>
    <n v="5.09"/>
    <n v="6.34"/>
    <n v="6.24"/>
    <n v="1.19"/>
    <n v="63.222341568206232"/>
    <n v="30.559368565545647"/>
    <n v="39.085754783841239"/>
    <n v="41.355156275225561"/>
    <n v="59.003831417624518"/>
    <n v="16.941782122488661"/>
    <n v="70.65597259308754"/>
    <n v="53.092529140290793"/>
    <n v="4.625"/>
    <n v="1.6150000000000002"/>
    <n v="811"/>
    <n v="15"/>
    <s v="Open ended"/>
    <s v="NIFTY Composite Debt Index"/>
    <n v="1000"/>
    <n v="1000"/>
  </r>
  <r>
    <x v="812"/>
    <x v="38"/>
    <n v="5.09"/>
    <n v="6.34"/>
    <n v="6.24"/>
    <n v="1.19"/>
    <n v="63.222341568206232"/>
    <n v="30.559368565545647"/>
    <n v="39.085754783841239"/>
    <n v="41.355156275225561"/>
    <n v="59.003831417624518"/>
    <n v="16.941782122488661"/>
    <n v="70.65597259308754"/>
    <n v="53.092529140290793"/>
    <n v="4.625"/>
    <n v="1.6150000000000002"/>
    <n v="811"/>
    <n v="15"/>
    <s v="Open ended"/>
    <s v="NIFTY Composite Debt Index"/>
    <n v="1000"/>
    <n v="1000"/>
  </r>
  <r>
    <x v="813"/>
    <x v="12"/>
    <n v="6.44"/>
    <n v="16.23"/>
    <n v="8.64"/>
    <n v="1.99"/>
    <n v="66.122448979591837"/>
    <n v="47.529169526424162"/>
    <n v="47.590361445783131"/>
    <n v="51.278421376737185"/>
    <n v="28.352490421455933"/>
    <n v="10.717213985261672"/>
    <n v="81.437240861939046"/>
    <n v="53.086643509217339"/>
    <n v="9.219019607843137"/>
    <n v="-0.57901960784313644"/>
    <n v="814"/>
    <n v="18"/>
    <s v="Open ended"/>
    <s v="CRISIL Hybrid 35+65 - Aggressive Index"/>
    <n v="5000"/>
    <n v="1000"/>
  </r>
  <r>
    <x v="814"/>
    <x v="38"/>
    <n v="5.48"/>
    <n v="3.23"/>
    <n v="4.2300000000000004"/>
    <n v="0.76"/>
    <n v="64.060150375939855"/>
    <n v="25.223061084420046"/>
    <n v="31.963146704464918"/>
    <n v="36.360521752746443"/>
    <n v="75.478927203065126"/>
    <n v="20.75237297069781"/>
    <n v="64.055835637132319"/>
    <n v="53.063951586422576"/>
    <n v="4.625"/>
    <n v="-0.39499999999999957"/>
    <n v="815"/>
    <n v="18"/>
    <s v="Open ended"/>
    <s v="CRISIL Dynamic Debt Index"/>
    <n v="1000"/>
    <n v="1000"/>
  </r>
  <r>
    <x v="815"/>
    <x v="21"/>
    <n v="-1.1299999999999999"/>
    <n v="13.98"/>
    <n v="8.4600000000000009"/>
    <n v="2.09"/>
    <n v="49.860365198711058"/>
    <n v="43.668496911461915"/>
    <n v="46.952515946137488"/>
    <n v="46.548880086249525"/>
    <n v="24.521072796934874"/>
    <n v="3.0978379875445872"/>
    <n v="94.634387211955854"/>
    <n v="53.063305045347448"/>
    <n v="10.412619047619048"/>
    <n v="-1.9526190476190468"/>
    <n v="816"/>
    <n v="27"/>
    <s v="Open ended"/>
    <s v="NIFTY LargeMidcap 250 - TRI"/>
    <n v="5000"/>
    <n v="1000"/>
  </r>
  <r>
    <x v="816"/>
    <x v="38"/>
    <n v="5.49"/>
    <n v="3.25"/>
    <n v="4.22"/>
    <n v="0.76"/>
    <n v="64.08163265306122"/>
    <n v="25.257378174330817"/>
    <n v="31.92771084337349"/>
    <n v="36.357395404598236"/>
    <n v="75.478927203065126"/>
    <n v="20.759298163668042"/>
    <n v="64.043840851055648"/>
    <n v="53.059389715829312"/>
    <n v="4.625"/>
    <n v="-0.40500000000000025"/>
    <n v="817"/>
    <n v="19"/>
    <s v="Open ended"/>
    <s v="CRISIL Dynamic Debt Index"/>
    <n v="1000"/>
    <n v="1000"/>
  </r>
  <r>
    <x v="817"/>
    <x v="29"/>
    <n v="4.6399999999999997"/>
    <n v="3.37"/>
    <n v="4.0199999999999996"/>
    <n v="0.77"/>
    <n v="62.25563909774435"/>
    <n v="25.463280713795474"/>
    <n v="31.218993621545"/>
    <n v="35.699608844460009"/>
    <n v="75.095785440613028"/>
    <n v="19.790903756291058"/>
    <n v="65.721149166398149"/>
    <n v="53.054038073982795"/>
    <n v="5.0554237288135591"/>
    <n v="-1.0354237288135595"/>
    <n v="818"/>
    <n v="52"/>
    <s v="Open ended"/>
    <s v="NIFTY Corporate Bond Index"/>
    <n v="10000"/>
    <n v="1000"/>
  </r>
  <r>
    <x v="818"/>
    <x v="13"/>
    <n v="-1.53"/>
    <n v="12.81"/>
    <n v="7.97"/>
    <n v="1.98"/>
    <n v="49.001074113856063"/>
    <n v="41.66094715168154"/>
    <n v="45.216158752657684"/>
    <n v="44.906578344604512"/>
    <n v="28.735632183908045"/>
    <n v="3.6706624660950098"/>
    <n v="93.642226111287371"/>
    <n v="53.047753746101108"/>
    <n v="10.461"/>
    <n v="-2.4910000000000005"/>
    <n v="819"/>
    <n v="24"/>
    <s v="Open ended"/>
    <s v="NIFTY 500 - TRI"/>
    <n v="5000"/>
    <n v="1000"/>
  </r>
  <r>
    <x v="819"/>
    <x v="46"/>
    <n v="4.42"/>
    <n v="4.12"/>
    <n v="4.91"/>
    <n v="0.93"/>
    <n v="61.783029001074105"/>
    <n v="26.750171585449557"/>
    <n v="34.37278525868178"/>
    <n v="37.568049905190577"/>
    <n v="68.965517241379317"/>
    <n v="18.424290126226413"/>
    <n v="68.088193407986239"/>
    <n v="53.047452614936674"/>
    <n v="4.4820000000000002"/>
    <n v="0.42799999999999994"/>
    <n v="820"/>
    <n v="3"/>
    <s v="Open ended"/>
    <s v="Nifty 50 Arbitrage"/>
    <n v="5000"/>
    <n v="1000"/>
  </r>
  <r>
    <x v="820"/>
    <x v="39"/>
    <n v="5.69"/>
    <n v="1.88"/>
    <n v="3.99"/>
    <n v="0.65"/>
    <n v="64.511278195488714"/>
    <n v="22.906657515442692"/>
    <n v="31.112686038270731"/>
    <n v="35.330595912865917"/>
    <n v="79.693486590038304"/>
    <n v="22.036898315220327"/>
    <n v="61.8309724768094"/>
    <n v="53.046412723144883"/>
    <n v="3.9855555555555551"/>
    <n v="4.4444444444451392E-3"/>
    <n v="821"/>
    <n v="7"/>
    <s v="Open ended"/>
    <s v=""/>
    <n v="1000"/>
    <n v="1000"/>
  </r>
  <r>
    <x v="821"/>
    <x v="33"/>
    <n v="5.48"/>
    <n v="4.6100000000000003"/>
    <n v="4.25"/>
    <n v="0.84"/>
    <n v="64.060150375939855"/>
    <n v="27.59094028826356"/>
    <n v="32.034018426647762"/>
    <n v="37.10632137499092"/>
    <n v="72.41379310344827"/>
    <n v="19.897308676453061"/>
    <n v="65.536850438502256"/>
    <n v="53.040821572983091"/>
    <n v="4.4264935064935065"/>
    <n v="-0.17649350649350648"/>
    <n v="822"/>
    <n v="49"/>
    <s v="Open ended"/>
    <s v="CRISIL Ultra Short Term Debt Index"/>
    <n v="5000"/>
    <n v="1000"/>
  </r>
  <r>
    <x v="822"/>
    <x v="49"/>
    <n v="4.79"/>
    <n v="2.44"/>
    <n v="5.5"/>
    <n v="0.89"/>
    <n v="62.577873254564985"/>
    <n v="23.867536032944408"/>
    <n v="36.463501063075832"/>
    <n v="37.907585992334234"/>
    <n v="70.498084291187737"/>
    <n v="19.744657411594911"/>
    <n v="65.801250185076213"/>
    <n v="53.028626615233101"/>
    <n v="4.3271875"/>
    <n v="1.1728125"/>
    <n v="823"/>
    <n v="1"/>
    <s v="Open ended"/>
    <s v="CRISIL Medium to Long Term Debt Index"/>
    <n v="1000"/>
    <n v="1000"/>
  </r>
  <r>
    <x v="823"/>
    <x v="49"/>
    <n v="5.85"/>
    <n v="10.84"/>
    <n v="7.9"/>
    <n v="1.63"/>
    <n v="64.85499462943072"/>
    <n v="38.280713795470142"/>
    <n v="44.968107725017717"/>
    <n v="46.939266927036044"/>
    <n v="42.145593869731798"/>
    <n v="13.82269818185574"/>
    <n v="76.058384451335911"/>
    <n v="53.020628043784946"/>
    <n v="4.3271875"/>
    <n v="3.5728125000000004"/>
    <n v="824"/>
    <n v="2"/>
    <s v="Open ended"/>
    <s v="NIFTY Medium to Long Term Debt Index"/>
    <n v="1000"/>
    <n v="1000"/>
  </r>
  <r>
    <x v="824"/>
    <x v="49"/>
    <n v="5.85"/>
    <n v="10.84"/>
    <n v="7.9"/>
    <n v="1.63"/>
    <n v="64.85499462943072"/>
    <n v="38.280713795470142"/>
    <n v="44.968107725017717"/>
    <n v="46.939266927036044"/>
    <n v="42.145593869731798"/>
    <n v="13.82269818185574"/>
    <n v="76.058384451335911"/>
    <n v="53.020628043784946"/>
    <n v="4.3271875"/>
    <n v="3.5728125000000004"/>
    <n v="824"/>
    <n v="2"/>
    <s v="Open ended"/>
    <s v="NIFTY Medium to Long Term Debt Index"/>
    <n v="20000"/>
    <n v="1000"/>
  </r>
  <r>
    <x v="825"/>
    <x v="39"/>
    <n v="5.68"/>
    <n v="1.88"/>
    <n v="3.95"/>
    <n v="0.65"/>
    <n v="64.489795918367349"/>
    <n v="22.906657515442692"/>
    <n v="30.970942593905026"/>
    <n v="35.255427735258792"/>
    <n v="79.693486590038304"/>
    <n v="22.05184656459377"/>
    <n v="61.805081349410386"/>
    <n v="53.002355852491569"/>
    <n v="3.9855555555555551"/>
    <n v="-3.5555555555554896E-2"/>
    <n v="826"/>
    <n v="8"/>
    <s v="Open ended"/>
    <s v=""/>
    <n v="1000"/>
    <n v="1000"/>
  </r>
  <r>
    <x v="826"/>
    <x v="38"/>
    <n v="5.5"/>
    <n v="3.25"/>
    <n v="4.16"/>
    <n v="0.76"/>
    <n v="64.103114930182585"/>
    <n v="25.257378174330817"/>
    <n v="31.715095676824944"/>
    <n v="36.255384276748231"/>
    <n v="75.478927203065126"/>
    <n v="20.815367602658448"/>
    <n v="63.946725733972386"/>
    <n v="52.984105372633493"/>
    <n v="4.625"/>
    <n v="-0.46499999999999986"/>
    <n v="827"/>
    <n v="20"/>
    <s v="Open ended"/>
    <s v="CRISIL Dynamic Debt Index"/>
    <n v="1000"/>
    <n v="1000"/>
  </r>
  <r>
    <x v="827"/>
    <x v="38"/>
    <n v="5.48"/>
    <n v="3.24"/>
    <n v="4.1500000000000004"/>
    <n v="0.76"/>
    <n v="64.060150375939855"/>
    <n v="25.240219629375432"/>
    <n v="31.679659815733519"/>
    <n v="36.223925871867358"/>
    <n v="75.478927203065126"/>
    <n v="20.804444965765342"/>
    <n v="63.965644296023875"/>
    <n v="52.973105810705931"/>
    <n v="4.625"/>
    <n v="-0.47499999999999964"/>
    <n v="828"/>
    <n v="21"/>
    <s v="Open ended"/>
    <s v="CRISIL Dynamic Debt Index"/>
    <n v="1000"/>
    <n v="1000"/>
  </r>
  <r>
    <x v="828"/>
    <x v="25"/>
    <n v="5.25"/>
    <n v="4.3"/>
    <n v="4.9800000000000004"/>
    <n v="0.93"/>
    <n v="63.566058002148232"/>
    <n v="27.05902539464654"/>
    <n v="34.620836286321754"/>
    <n v="38.141337361984483"/>
    <n v="68.965517241379317"/>
    <n v="19.269017765768456"/>
    <n v="66.625082217741692"/>
    <n v="52.96831854577249"/>
    <n v="5.1221052631578941"/>
    <n v="-0.14210526315789362"/>
    <n v="829"/>
    <n v="39"/>
    <s v="Open ended"/>
    <s v="NIFTY Low Duration Debt Index"/>
    <n v="5000"/>
    <n v="1000"/>
  </r>
  <r>
    <x v="829"/>
    <x v="23"/>
    <n v="3.68"/>
    <n v="17.25"/>
    <n v="12.04"/>
    <n v="2.4900000000000002"/>
    <n v="60.193340494092375"/>
    <n v="49.27934111187372"/>
    <n v="59.638554216867455"/>
    <n v="56.641747540814322"/>
    <n v="9.1954022988505635"/>
    <n v="6.1473092553184081"/>
    <n v="89.352548039950122"/>
    <n v="52.957861355107333"/>
    <n v="10.023387096774194"/>
    <n v="2.0166129032258056"/>
    <n v="830"/>
    <n v="29"/>
    <s v="Open ended"/>
    <s v="S&amp;P BSE 500 - TRI"/>
    <n v="1000"/>
    <n v="1000"/>
  </r>
  <r>
    <x v="830"/>
    <x v="50"/>
    <n v="7.31"/>
    <n v="4.67"/>
    <n v="5.43"/>
    <n v="0.94"/>
    <n v="67.991407089151451"/>
    <n v="27.693891557995887"/>
    <n v="36.215450035435858"/>
    <n v="40.014173902946986"/>
    <n v="68.582375478927204"/>
    <n v="21.237616641028449"/>
    <n v="63.215368946068445"/>
    <n v="52.956523057722407"/>
    <n v="4.3111111111111109"/>
    <n v="1.1188888888888888"/>
    <n v="831"/>
    <n v="1"/>
    <s v="Open ended"/>
    <s v="Nifty All Duration G-Sec Index"/>
    <n v="5000"/>
    <n v="1000"/>
  </r>
  <r>
    <x v="831"/>
    <x v="27"/>
    <n v="4.17"/>
    <n v="13.05"/>
    <n v="11.42"/>
    <n v="2.15"/>
    <n v="61.245972073039731"/>
    <n v="42.072752230610853"/>
    <n v="57.441530829199138"/>
    <n v="53.59178549839077"/>
    <n v="22.222222222222232"/>
    <n v="10.151235457785168"/>
    <n v="82.417544427521378"/>
    <n v="52.955834411631287"/>
    <n v="10.044583333333334"/>
    <n v="1.3754166666666663"/>
    <n v="832"/>
    <n v="23"/>
    <s v="Open ended"/>
    <s v="NIFTY 100 - TRI"/>
    <n v="5000"/>
    <n v="1000"/>
  </r>
  <r>
    <x v="832"/>
    <x v="50"/>
    <n v="7.31"/>
    <n v="4.67"/>
    <n v="5.42"/>
    <n v="0.94"/>
    <n v="67.991407089151451"/>
    <n v="27.693891557995887"/>
    <n v="36.180014174344436"/>
    <n v="39.996455972401279"/>
    <n v="68.582375478927204"/>
    <n v="21.244092332629247"/>
    <n v="63.204152719201716"/>
    <n v="52.944860035732873"/>
    <n v="4.3111111111111109"/>
    <n v="1.108888888888889"/>
    <n v="833"/>
    <n v="2"/>
    <s v="Open ended"/>
    <s v="Nifty All Duration G-Sec Index"/>
    <n v="5000"/>
    <n v="1000"/>
  </r>
  <r>
    <x v="833"/>
    <x v="13"/>
    <n v="3.05"/>
    <n v="14.66"/>
    <n v="10.36"/>
    <n v="2.21"/>
    <n v="58.839957035445757"/>
    <n v="44.835277968428286"/>
    <n v="53.68532955350814"/>
    <n v="52.061239574371712"/>
    <n v="19.923371647509569"/>
    <n v="7.083132938023474"/>
    <n v="87.731653874578726"/>
    <n v="52.944376167707929"/>
    <n v="10.461"/>
    <n v="-0.10100000000000087"/>
    <n v="834"/>
    <n v="25"/>
    <s v="Open ended"/>
    <s v="NIFTY 500 - TRI"/>
    <n v="5000"/>
    <n v="1000"/>
  </r>
  <r>
    <x v="834"/>
    <x v="13"/>
    <n v="3.05"/>
    <n v="14.66"/>
    <n v="10.36"/>
    <n v="2.21"/>
    <n v="58.839957035445757"/>
    <n v="44.835277968428286"/>
    <n v="53.68532955350814"/>
    <n v="52.061239574371712"/>
    <n v="19.923371647509569"/>
    <n v="7.083132938023474"/>
    <n v="87.731653874578726"/>
    <n v="52.944376167707929"/>
    <n v="10.461"/>
    <n v="-0.10100000000000087"/>
    <n v="834"/>
    <n v="25"/>
    <s v="Open ended"/>
    <s v="NIFTY 500 - TRI"/>
    <n v="5000"/>
    <n v="1000"/>
  </r>
  <r>
    <x v="835"/>
    <x v="31"/>
    <n v="5.4"/>
    <n v="4.1500000000000004"/>
    <n v="4.42"/>
    <n v="0.85"/>
    <n v="63.888292158968852"/>
    <n v="26.801647220315722"/>
    <n v="32.636428065201983"/>
    <n v="37.136366630489476"/>
    <n v="72.030651340996172"/>
    <n v="19.942178540507438"/>
    <n v="65.459133554231357"/>
    <n v="52.940629539051621"/>
    <n v="5.2778260869565221"/>
    <n v="-0.85782608695652218"/>
    <n v="836"/>
    <n v="17"/>
    <s v="Open ended"/>
    <s v="CRISIL Low Duration Debt Index"/>
    <n v="20000"/>
    <n v="1000"/>
  </r>
  <r>
    <x v="836"/>
    <x v="16"/>
    <n v="4.2"/>
    <n v="3.36"/>
    <n v="4.29"/>
    <n v="0.83"/>
    <n v="61.310418904403861"/>
    <n v="25.446122168840084"/>
    <n v="32.175761871013464"/>
    <n v="35.983801367039533"/>
    <n v="72.796934865900369"/>
    <n v="19.062896209263531"/>
    <n v="66.982095226143414"/>
    <n v="52.936658206530709"/>
    <n v="4.9189795918367345"/>
    <n v="-0.62897959183673446"/>
    <n v="837"/>
    <n v="43"/>
    <s v="Open ended"/>
    <s v="NIFTY Banking and PSU Debt Index"/>
    <n v="5000"/>
    <n v="1000"/>
  </r>
  <r>
    <x v="837"/>
    <x v="18"/>
    <n v="5.35"/>
    <n v="14.6"/>
    <n v="14.19"/>
    <n v="2.39"/>
    <n v="63.780880773361972"/>
    <n v="44.732326698695957"/>
    <n v="67.25726435152373"/>
    <n v="59.804506340043048"/>
    <n v="13.026819923371647"/>
    <n v="12.126455042466494"/>
    <n v="78.99636375074823"/>
    <n v="52.908049088551493"/>
    <n v="6.9120588235294118"/>
    <n v="7.2779411764705877"/>
    <n v="838"/>
    <n v="11"/>
    <s v="Open ended"/>
    <s v="Russell 1000 Index"/>
    <n v="1000"/>
    <n v="1000"/>
  </r>
  <r>
    <x v="838"/>
    <x v="23"/>
    <n v="3.71"/>
    <n v="17.25"/>
    <n v="11.92"/>
    <n v="2.4900000000000002"/>
    <n v="60.257787325456491"/>
    <n v="49.27934111187372"/>
    <n v="59.213323883770364"/>
    <n v="56.442021740538593"/>
    <n v="9.1954022988505635"/>
    <n v="6.0594444032695503"/>
    <n v="89.504734427898256"/>
    <n v="52.896045051956506"/>
    <n v="10.023387096774194"/>
    <n v="1.8966129032258063"/>
    <n v="839"/>
    <n v="30"/>
    <s v="Open ended"/>
    <s v="S&amp;P BSE 500 - TRI"/>
    <n v="1000"/>
    <n v="1000"/>
  </r>
  <r>
    <x v="839"/>
    <x v="19"/>
    <n v="10.75"/>
    <n v="19.75"/>
    <n v="10.67"/>
    <n v="2.3199999999999998"/>
    <n v="75.381310418904405"/>
    <n v="53.568977350720658"/>
    <n v="54.783841247342302"/>
    <n v="58.538875912668232"/>
    <n v="15.708812260536398"/>
    <n v="12.257715287647397"/>
    <n v="78.769014337080961"/>
    <n v="52.888894605738457"/>
    <n v="9.4014285714285712"/>
    <n v="1.2685714285714287"/>
    <n v="840"/>
    <n v="10"/>
    <s v="Open ended"/>
    <s v="S&amp;P BSE India Infrastructure Index - TRI"/>
    <n v="5000"/>
    <n v="1000"/>
  </r>
  <r>
    <x v="840"/>
    <x v="16"/>
    <n v="4.2"/>
    <n v="3.26"/>
    <n v="4.29"/>
    <n v="0.83"/>
    <n v="61.310418904403861"/>
    <n v="25.274536719286207"/>
    <n v="32.175761871013464"/>
    <n v="35.932325732173368"/>
    <n v="72.796934865900369"/>
    <n v="19.126944144791302"/>
    <n v="66.871160947689418"/>
    <n v="52.883186819484131"/>
    <n v="4.9189795918367345"/>
    <n v="-0.62897959183673446"/>
    <n v="841"/>
    <n v="44"/>
    <s v="Open ended"/>
    <s v="NIFTY Banking and PSU Debt Index"/>
    <n v="5000"/>
    <n v="1000"/>
  </r>
  <r>
    <x v="841"/>
    <x v="49"/>
    <n v="4.8"/>
    <n v="2.44"/>
    <n v="5.36"/>
    <n v="0.89"/>
    <n v="62.599355531686349"/>
    <n v="23.867536032944408"/>
    <n v="35.967399007795883"/>
    <n v="37.663831420118534"/>
    <n v="70.498084291187737"/>
    <n v="19.815068483285224"/>
    <n v="65.679294631493221"/>
    <n v="52.87626044072951"/>
    <n v="4.3271875"/>
    <n v="1.0328125000000004"/>
    <n v="842"/>
    <n v="4"/>
    <s v="Open ended"/>
    <s v="CRISIL Medium to Long Term Debt Index"/>
    <n v="1000"/>
    <n v="1000"/>
  </r>
  <r>
    <x v="842"/>
    <x v="21"/>
    <n v="-1.1299999999999999"/>
    <n v="13.98"/>
    <n v="8.24"/>
    <n v="2.09"/>
    <n v="49.860365198711058"/>
    <n v="43.668496911461915"/>
    <n v="46.172927002126151"/>
    <n v="46.159085614243864"/>
    <n v="24.521072796934874"/>
    <n v="3.114712491260883"/>
    <n v="94.605159714166717"/>
    <n v="52.86110093489733"/>
    <n v="10.412619047619048"/>
    <n v="-2.1726190476190474"/>
    <n v="843"/>
    <n v="28"/>
    <s v="Open ended"/>
    <s v="NIFTY LargeMidcap 250 - TRI"/>
    <n v="5000"/>
    <n v="1000"/>
  </r>
  <r>
    <x v="843"/>
    <x v="16"/>
    <n v="4.2"/>
    <n v="3.26"/>
    <n v="4.2699999999999996"/>
    <n v="0.83"/>
    <n v="61.310418904403861"/>
    <n v="25.274536719286207"/>
    <n v="32.104890148830613"/>
    <n v="35.896889871081939"/>
    <n v="72.796934865900369"/>
    <n v="19.140713338870039"/>
    <n v="66.847312003965754"/>
    <n v="52.8595066530075"/>
    <n v="4.9189795918367345"/>
    <n v="-0.64897959183673493"/>
    <n v="844"/>
    <n v="45"/>
    <s v="Open ended"/>
    <s v="NIFTY Banking and PSU Debt Index"/>
    <n v="5000"/>
    <n v="1000"/>
  </r>
  <r>
    <x v="844"/>
    <x v="19"/>
    <n v="11.91"/>
    <n v="19.25"/>
    <n v="11.14"/>
    <n v="2.3199999999999998"/>
    <n v="77.873254564983881"/>
    <n v="52.711050102951276"/>
    <n v="56.449326718639256"/>
    <n v="59.612629303201786"/>
    <n v="15.708812260536398"/>
    <n v="13.577530027033108"/>
    <n v="76.483028151886629"/>
    <n v="52.854274754706651"/>
    <n v="9.4014285714285712"/>
    <n v="1.7385714285714293"/>
    <n v="845"/>
    <n v="11"/>
    <s v="Open ended"/>
    <s v="Nifty Infrastructure - TRI"/>
    <n v="5000"/>
    <n v="1000"/>
  </r>
  <r>
    <x v="845"/>
    <x v="19"/>
    <n v="11.91"/>
    <n v="19.25"/>
    <n v="11.14"/>
    <n v="2.3199999999999998"/>
    <n v="77.873254564983881"/>
    <n v="52.711050102951276"/>
    <n v="56.449326718639256"/>
    <n v="59.612629303201786"/>
    <n v="15.708812260536398"/>
    <n v="13.577530027033108"/>
    <n v="76.483028151886629"/>
    <n v="52.854274754706651"/>
    <n v="9.4014285714285712"/>
    <n v="1.7385714285714293"/>
    <n v="845"/>
    <n v="11"/>
    <s v="Open ended"/>
    <s v="Nifty Infrastructure - TRI"/>
    <n v="5000"/>
    <n v="1000"/>
  </r>
  <r>
    <x v="846"/>
    <x v="49"/>
    <n v="6.09"/>
    <n v="3.35"/>
    <n v="3.77"/>
    <n v="0.71"/>
    <n v="65.370569280343716"/>
    <n v="25.428963623884698"/>
    <n v="30.333097094259386"/>
    <n v="35.869351490363847"/>
    <n v="77.394636015325673"/>
    <n v="21.783047095933576"/>
    <n v="62.270655686177363"/>
    <n v="52.850998670557686"/>
    <n v="4.3271875"/>
    <n v="-0.55718749999999995"/>
    <n v="847"/>
    <n v="5"/>
    <s v="Open ended"/>
    <s v="CRISIL Medium to Long Term Debt Index"/>
    <n v="5000"/>
    <n v="1000"/>
  </r>
  <r>
    <x v="847"/>
    <x v="49"/>
    <n v="6.09"/>
    <n v="3.35"/>
    <n v="3.77"/>
    <n v="0.71"/>
    <n v="65.370569280343716"/>
    <n v="25.428963623884698"/>
    <n v="30.333097094259386"/>
    <n v="35.869351490363847"/>
    <n v="77.394636015325673"/>
    <n v="21.783047095933576"/>
    <n v="62.270655686177363"/>
    <n v="52.850998670557686"/>
    <n v="4.3271875"/>
    <n v="-0.55718749999999995"/>
    <n v="847"/>
    <n v="5"/>
    <s v="Open ended"/>
    <s v="CRISIL Medium to Long Term Debt Index"/>
    <n v="5000"/>
    <n v="1000"/>
  </r>
  <r>
    <x v="848"/>
    <x v="31"/>
    <n v="5.4"/>
    <n v="4.1500000000000004"/>
    <n v="4.33"/>
    <n v="0.85"/>
    <n v="63.888292158968852"/>
    <n v="26.801647220315722"/>
    <n v="32.317505315379158"/>
    <n v="36.97690525557806"/>
    <n v="72.030651340996172"/>
    <n v="20.010657598947862"/>
    <n v="65.34052434575807"/>
    <n v="52.831246549477591"/>
    <n v="5.2778260869565221"/>
    <n v="-0.94782608695652204"/>
    <n v="849"/>
    <n v="18"/>
    <s v="Open ended"/>
    <s v="CRISIL Low Duration Debt Index"/>
    <n v="20000"/>
    <n v="1000"/>
  </r>
  <r>
    <x v="849"/>
    <x v="16"/>
    <n v="4.2"/>
    <n v="3.26"/>
    <n v="4.24"/>
    <n v="0.83"/>
    <n v="61.310418904403861"/>
    <n v="25.274536719286207"/>
    <n v="31.998582565556344"/>
    <n v="35.84373607944481"/>
    <n v="72.796934865900369"/>
    <n v="19.161512409679482"/>
    <n v="66.811286956573582"/>
    <n v="52.823923495340892"/>
    <n v="4.9189795918367345"/>
    <n v="-0.67897959183673429"/>
    <n v="850"/>
    <n v="46"/>
    <s v="Open ended"/>
    <s v="NIFTY Banking and PSU Debt Index"/>
    <n v="5000"/>
    <n v="1000"/>
  </r>
  <r>
    <x v="850"/>
    <x v="16"/>
    <n v="4.74"/>
    <n v="1.44"/>
    <n v="4.1500000000000004"/>
    <n v="0.7"/>
    <n v="62.470461868958104"/>
    <n v="22.151681537405633"/>
    <n v="31.679659815733519"/>
    <n v="34.979426742880072"/>
    <n v="77.777777777777786"/>
    <n v="21.073126285141502"/>
    <n v="63.500274599819726"/>
    <n v="52.809226465839416"/>
    <n v="4.9189795918367345"/>
    <n v="-0.76897959183673414"/>
    <n v="851"/>
    <n v="47"/>
    <s v="Open ended"/>
    <s v="NIFTY Banking and PSU Debt Index"/>
    <n v="1000"/>
    <n v="1000"/>
  </r>
  <r>
    <x v="851"/>
    <x v="15"/>
    <n v="5.36"/>
    <n v="3.68"/>
    <n v="5.16"/>
    <n v="0.93"/>
    <n v="63.802363050483343"/>
    <n v="25.995195607412498"/>
    <n v="35.258681785967397"/>
    <n v="38.188372185304118"/>
    <n v="68.965517241379317"/>
    <n v="19.705903626320346"/>
    <n v="65.868373710157371"/>
    <n v="52.802658830536231"/>
    <n v="5.2086538461538465"/>
    <n v="-4.8653846153846381E-2"/>
    <n v="852"/>
    <n v="20"/>
    <s v="Open ended"/>
    <s v="Nifty Short Duration Debt Index"/>
    <n v="5000"/>
    <n v="1000"/>
  </r>
  <r>
    <x v="852"/>
    <x v="15"/>
    <n v="5.36"/>
    <n v="3.68"/>
    <n v="5.15"/>
    <n v="0.93"/>
    <n v="63.802363050483343"/>
    <n v="25.995195607412498"/>
    <n v="35.223245924875975"/>
    <n v="38.170654254758404"/>
    <n v="68.965517241379317"/>
    <n v="19.71169178604929"/>
    <n v="65.858348323424522"/>
    <n v="52.791293518580162"/>
    <n v="5.2086538461538465"/>
    <n v="-5.8653846153846168E-2"/>
    <n v="853"/>
    <n v="21"/>
    <s v="Open ended"/>
    <s v="Nifty Short Duration Debt Index"/>
    <n v="5000"/>
    <n v="1000"/>
  </r>
  <r>
    <x v="853"/>
    <x v="15"/>
    <n v="6.32"/>
    <n v="5.0199999999999996"/>
    <n v="5.93"/>
    <n v="1.07"/>
    <n v="65.864661654135332"/>
    <n v="28.294440631434458"/>
    <n v="37.987243090007084"/>
    <n v="40.654886065260946"/>
    <n v="63.601532567049816"/>
    <n v="19.504795961485595"/>
    <n v="66.216702403442696"/>
    <n v="52.782001775253605"/>
    <n v="5.2086538461538465"/>
    <n v="0.72134615384615319"/>
    <n v="854"/>
    <n v="22"/>
    <s v="Open ended"/>
    <s v="Nifty Short Duration Debt Index"/>
    <n v="5000"/>
    <n v="1000"/>
  </r>
  <r>
    <x v="854"/>
    <x v="46"/>
    <n v="4.2300000000000004"/>
    <n v="2.8"/>
    <n v="2.25"/>
    <n v="0.55000000000000004"/>
    <n v="61.37486573576799"/>
    <n v="24.485243651338369"/>
    <n v="24.94684620836286"/>
    <n v="32.093969346736536"/>
    <n v="83.524904214559385"/>
    <n v="21.166238451606915"/>
    <n v="63.33899959669882"/>
    <n v="52.762960626182817"/>
    <n v="4.4820000000000002"/>
    <n v="-2.2320000000000002"/>
    <n v="855"/>
    <n v="4"/>
    <s v="Open ended"/>
    <s v="Nifty 50 Arbitrage"/>
    <n v="5000"/>
    <n v="1000"/>
  </r>
  <r>
    <x v="855"/>
    <x v="12"/>
    <n v="-5.0599999999999996"/>
    <n v="10.81"/>
    <n v="6.7"/>
    <n v="1.85"/>
    <n v="41.417830290010741"/>
    <n v="38.229238160603984"/>
    <n v="40.715804394046771"/>
    <n v="40.11023970320673"/>
    <n v="33.716475095785434"/>
    <n v="1.6754587311945635"/>
    <n v="97.098020351586129"/>
    <n v="52.75874371344625"/>
    <n v="9.219019607843137"/>
    <n v="-2.5190196078431368"/>
    <n v="856"/>
    <n v="19"/>
    <s v="Open ended"/>
    <s v="CRISIL Hybrid 35+65 - Aggressive Index"/>
    <n v="1000"/>
    <n v="1000"/>
  </r>
  <r>
    <x v="856"/>
    <x v="16"/>
    <n v="4.67"/>
    <n v="1.37"/>
    <n v="4.09"/>
    <n v="0.7"/>
    <n v="62.32008592910848"/>
    <n v="22.031571722717917"/>
    <n v="31.46704464918497"/>
    <n v="34.807011027229557"/>
    <n v="77.777777777777786"/>
    <n v="21.071713593208674"/>
    <n v="63.502721454022826"/>
    <n v="52.723630321564933"/>
    <n v="4.9189795918367345"/>
    <n v="-0.82897959183673464"/>
    <n v="857"/>
    <n v="48"/>
    <s v="Open ended"/>
    <s v="NIFTY Banking and PSU Debt Index"/>
    <n v="1000"/>
    <n v="1000"/>
  </r>
  <r>
    <x v="857"/>
    <x v="41"/>
    <n v="-3.32"/>
    <n v="17.18"/>
    <n v="12.9"/>
    <n v="2.2999999999999998"/>
    <n v="45.155746509129962"/>
    <n v="49.159231297186004"/>
    <n v="62.686038270729981"/>
    <n v="55.12193782634678"/>
    <n v="16.475095785440619"/>
    <n v="9.1861628423273629"/>
    <n v="84.089099230487676"/>
    <n v="52.702017667155459"/>
    <n v="12.223750000000001"/>
    <n v="0.67624999999999957"/>
    <n v="858"/>
    <n v="5"/>
    <s v="Open ended"/>
    <s v="NIFTY PHARMA - TRI"/>
    <n v="5000"/>
    <n v="1000"/>
  </r>
  <r>
    <x v="858"/>
    <x v="41"/>
    <n v="-3.32"/>
    <n v="17.18"/>
    <n v="12.9"/>
    <n v="2.2999999999999998"/>
    <n v="45.155746509129962"/>
    <n v="49.159231297186004"/>
    <n v="62.686038270729981"/>
    <n v="55.12193782634678"/>
    <n v="16.475095785440619"/>
    <n v="9.1861628423273629"/>
    <n v="84.089099230487676"/>
    <n v="52.702017667155459"/>
    <n v="12.223750000000001"/>
    <n v="0.67624999999999957"/>
    <n v="858"/>
    <n v="5"/>
    <s v="Open ended"/>
    <s v="NIFTY PHARMA - TRI"/>
    <n v="5000"/>
    <n v="1000"/>
  </r>
  <r>
    <x v="859"/>
    <x v="46"/>
    <n v="4.42"/>
    <n v="4.0599999999999996"/>
    <n v="4.63"/>
    <n v="0.93"/>
    <n v="61.783029001074105"/>
    <n v="26.647220315717231"/>
    <n v="33.380581148121898"/>
    <n v="37.041062468990944"/>
    <n v="68.965517241379317"/>
    <n v="18.648334349717093"/>
    <n v="67.700137429758072"/>
    <n v="52.686944902279819"/>
    <n v="4.4820000000000002"/>
    <n v="0.14799999999999969"/>
    <n v="860"/>
    <n v="5"/>
    <s v="Open ended"/>
    <s v="Nifty 50 Arbitrage"/>
    <n v="5000"/>
    <n v="1000"/>
  </r>
  <r>
    <x v="860"/>
    <x v="15"/>
    <n v="6.32"/>
    <n v="5.0199999999999996"/>
    <n v="5.81"/>
    <n v="1.07"/>
    <n v="65.864661654135332"/>
    <n v="28.294440631434458"/>
    <n v="37.562012756909994"/>
    <n v="40.442270898712401"/>
    <n v="63.601532567049816"/>
    <n v="19.572299027771777"/>
    <n v="66.099783662968349"/>
    <n v="52.646464506860745"/>
    <n v="5.2086538461538465"/>
    <n v="0.60134615384615309"/>
    <n v="861"/>
    <n v="23"/>
    <s v="Open ended"/>
    <s v="Nifty Short Duration Debt Index"/>
    <n v="5000"/>
    <n v="1000"/>
  </r>
  <r>
    <x v="861"/>
    <x v="13"/>
    <n v="-5.61"/>
    <n v="9.6"/>
    <n v="11.89"/>
    <n v="1.82"/>
    <n v="40.236305048335119"/>
    <n v="36.153054221002066"/>
    <n v="59.107016300496106"/>
    <n v="48.446685426215694"/>
    <n v="34.865900383141771"/>
    <n v="12.245142272402022"/>
    <n v="78.790791438290285"/>
    <n v="52.637515668465859"/>
    <n v="10.461"/>
    <n v="1.4290000000000003"/>
    <n v="862"/>
    <n v="27"/>
    <s v="Open ended"/>
    <s v="NIFTY 500 - TRI"/>
    <n v="1000"/>
    <n v="1000"/>
  </r>
  <r>
    <x v="862"/>
    <x v="29"/>
    <n v="4.6399999999999997"/>
    <n v="3.37"/>
    <n v="3.68"/>
    <n v="0.77"/>
    <n v="62.25563909774435"/>
    <n v="25.463280713795474"/>
    <n v="30.014174344436569"/>
    <n v="35.097199205905795"/>
    <n v="75.095785440613028"/>
    <n v="20.057834370178696"/>
    <n v="65.258811781049204"/>
    <n v="52.637248908368448"/>
    <n v="5.0554237288135591"/>
    <n v="-1.3754237288135589"/>
    <n v="863"/>
    <n v="53"/>
    <s v="Open ended"/>
    <s v="NIFTY Corporate Bond Index"/>
    <n v="10000"/>
    <n v="1000"/>
  </r>
  <r>
    <x v="863"/>
    <x v="15"/>
    <n v="5.07"/>
    <n v="3.84"/>
    <n v="5.36"/>
    <n v="0.99"/>
    <n v="63.179377013963474"/>
    <n v="26.269732326698701"/>
    <n v="35.967399007795883"/>
    <n v="38.500494604700251"/>
    <n v="66.666666666666657"/>
    <n v="19.134865024373457"/>
    <n v="66.857441581812481"/>
    <n v="52.63127436446991"/>
    <n v="5.2086538461538465"/>
    <n v="0.1513461538461538"/>
    <n v="864"/>
    <n v="24"/>
    <s v="Open ended"/>
    <s v="Nifty Short Duration Debt Index"/>
    <n v="5000"/>
    <n v="1000"/>
  </r>
  <r>
    <x v="864"/>
    <x v="11"/>
    <n v="-1.7"/>
    <n v="15.86"/>
    <n v="7.23"/>
    <n v="2.06"/>
    <n v="48.635875402792692"/>
    <n v="46.894303363074812"/>
    <n v="42.593905031892277"/>
    <n v="45.09241860542712"/>
    <n v="25.670498084291182"/>
    <n v="3.1099813755927634"/>
    <n v="94.613354246880391"/>
    <n v="52.61717238550645"/>
    <n v="11.362272727272726"/>
    <n v="-4.132272727272726"/>
    <n v="865"/>
    <n v="35"/>
    <s v="Open ended"/>
    <s v="Nifty Midcap 150 - TRI"/>
    <n v="1000"/>
    <n v="1000"/>
  </r>
  <r>
    <x v="865"/>
    <x v="15"/>
    <n v="5.2"/>
    <n v="4.34"/>
    <n v="6.08"/>
    <n v="1.1000000000000001"/>
    <n v="63.458646616541344"/>
    <n v="27.127659574468087"/>
    <n v="38.518781006378454"/>
    <n v="40.08941769883792"/>
    <n v="62.452107279693479"/>
    <n v="18.581779442870051"/>
    <n v="67.815413909910163"/>
    <n v="52.611589146819867"/>
    <n v="5.2086538461538465"/>
    <n v="0.87134615384615355"/>
    <n v="866"/>
    <n v="25"/>
    <s v="Open ended"/>
    <s v="Nifty Short Duration Debt Index"/>
    <n v="1000"/>
    <n v="1000"/>
  </r>
  <r>
    <x v="866"/>
    <x v="25"/>
    <n v="5.25"/>
    <n v="4.25"/>
    <n v="4.53"/>
    <n v="0.91"/>
    <n v="63.566058002148232"/>
    <n v="26.973232669869596"/>
    <n v="33.026222537207651"/>
    <n v="37.318292669994349"/>
    <n v="69.731800766283527"/>
    <n v="19.614429647406663"/>
    <n v="66.026811289206364"/>
    <n v="52.598799348869647"/>
    <n v="5.1221052631578941"/>
    <n v="-0.5921052631578938"/>
    <n v="867"/>
    <n v="40"/>
    <s v="Open ended"/>
    <s v="NIFTY Low Duration Debt Index"/>
    <n v="5000"/>
    <n v="1000"/>
  </r>
  <r>
    <x v="867"/>
    <x v="15"/>
    <n v="5.15"/>
    <n v="4.3099999999999996"/>
    <n v="6.07"/>
    <n v="1.1000000000000001"/>
    <n v="63.351235230934478"/>
    <n v="27.076183939601929"/>
    <n v="38.483345145287032"/>
    <n v="40.034774800710991"/>
    <n v="62.452107279693479"/>
    <n v="18.549099844615718"/>
    <n v="67.872016634457609"/>
    <n v="52.598418378893271"/>
    <n v="5.2086538461538465"/>
    <n v="0.86134615384615376"/>
    <n v="868"/>
    <n v="26"/>
    <s v="Open ended"/>
    <s v="Nifty Short Duration Debt Index"/>
    <n v="1000"/>
    <n v="1000"/>
  </r>
  <r>
    <x v="868"/>
    <x v="16"/>
    <n v="4.67"/>
    <n v="1.37"/>
    <n v="3.98"/>
    <n v="0.7"/>
    <n v="62.32008592910848"/>
    <n v="22.031571722717917"/>
    <n v="31.077250177179305"/>
    <n v="34.612113791226726"/>
    <n v="77.777777777777786"/>
    <n v="21.138840481769037"/>
    <n v="63.386454272482261"/>
    <n v="52.597114908178376"/>
    <n v="4.9189795918367345"/>
    <n v="-0.93897959183673452"/>
    <n v="869"/>
    <n v="49"/>
    <s v="Open ended"/>
    <s v="NIFTY Banking and PSU Debt Index"/>
    <n v="1000"/>
    <n v="1000"/>
  </r>
  <r>
    <x v="869"/>
    <x v="51"/>
    <n v="11.05"/>
    <n v="9.5"/>
    <n v="10.85"/>
    <n v="1.75"/>
    <n v="76.025778732545646"/>
    <n v="35.981468771448192"/>
    <n v="55.421686746987952"/>
    <n v="53.710439751437562"/>
    <n v="37.547892720306521"/>
    <n v="20.024973748406726"/>
    <n v="65.315728047526562"/>
    <n v="52.571125067677052"/>
    <n v="8.7813636363636363"/>
    <n v="2.0686363636363634"/>
    <n v="870"/>
    <n v="1"/>
    <s v="Open ended"/>
    <s v="Nifty Financial Services - TRI"/>
    <n v="5000"/>
    <n v="1000"/>
  </r>
  <r>
    <x v="870"/>
    <x v="12"/>
    <n v="6.62"/>
    <n v="13.6"/>
    <n v="9.15"/>
    <n v="1.96"/>
    <n v="66.509129967776587"/>
    <n v="43.016472203157171"/>
    <n v="49.397590361445779"/>
    <n v="50.905562835225361"/>
    <n v="29.501915708812266"/>
    <n v="12.147897112220708"/>
    <n v="78.959224996514493"/>
    <n v="52.568066593944366"/>
    <n v="9.219019607843137"/>
    <n v="-6.9019607843136654E-2"/>
    <n v="871"/>
    <n v="20"/>
    <s v="Open ended"/>
    <s v="CRISIL Hybrid 35+65 - Aggressive Index"/>
    <n v="5000"/>
    <n v="1000"/>
  </r>
  <r>
    <x v="871"/>
    <x v="51"/>
    <n v="11.08"/>
    <n v="9.49"/>
    <n v="10.86"/>
    <n v="1.75"/>
    <n v="76.090225563909769"/>
    <n v="35.964310226492799"/>
    <n v="55.457122608079381"/>
    <n v="53.73589948476949"/>
    <n v="37.547892720306521"/>
    <n v="20.065657866926045"/>
    <n v="65.245261087189945"/>
    <n v="52.566238194258858"/>
    <n v="8.7813636363636363"/>
    <n v="2.0786363636363632"/>
    <n v="872"/>
    <n v="2"/>
    <s v="Open ended"/>
    <s v="Nifty Financial Services - TRI"/>
    <n v="5000"/>
    <n v="1000"/>
  </r>
  <r>
    <x v="872"/>
    <x v="15"/>
    <n v="5.07"/>
    <n v="3.84"/>
    <n v="5.29"/>
    <n v="0.99"/>
    <n v="63.179377013963474"/>
    <n v="26.269732326698701"/>
    <n v="35.719347980155916"/>
    <n v="38.376469090880263"/>
    <n v="66.666666666666657"/>
    <n v="19.173203094752452"/>
    <n v="66.791038096051921"/>
    <n v="52.552660736119776"/>
    <n v="5.2086538461538465"/>
    <n v="8.1346153846153513E-2"/>
    <n v="873"/>
    <n v="27"/>
    <s v="Open ended"/>
    <s v="Nifty Short Duration Debt Index"/>
    <n v="5000"/>
    <n v="1000"/>
  </r>
  <r>
    <x v="873"/>
    <x v="46"/>
    <n v="4.2300000000000004"/>
    <n v="2.78"/>
    <n v="2.0699999999999998"/>
    <n v="0.55000000000000004"/>
    <n v="61.37486573576799"/>
    <n v="24.450926561427593"/>
    <n v="24.309000708717221"/>
    <n v="31.764751469940485"/>
    <n v="83.524904214559385"/>
    <n v="21.359134569318744"/>
    <n v="63.004893720239139"/>
    <n v="52.51482521866987"/>
    <n v="4.4820000000000002"/>
    <n v="-2.4120000000000004"/>
    <n v="874"/>
    <n v="6"/>
    <s v="Open ended"/>
    <s v="Nifty 50 Arbitrage"/>
    <n v="5000"/>
    <n v="1000"/>
  </r>
  <r>
    <x v="874"/>
    <x v="25"/>
    <n v="5.25"/>
    <n v="4.25"/>
    <n v="4.43"/>
    <n v="0.91"/>
    <n v="63.566058002148232"/>
    <n v="26.973232669869596"/>
    <n v="32.671863926293412"/>
    <n v="37.141113364537233"/>
    <n v="69.731800766283527"/>
    <n v="19.689085350314976"/>
    <n v="65.897503818694389"/>
    <n v="52.477882828513096"/>
    <n v="5.1221052631578941"/>
    <n v="-0.69210526315789433"/>
    <n v="875"/>
    <n v="41"/>
    <s v="Open ended"/>
    <s v="NIFTY Low Duration Debt Index"/>
    <n v="5000"/>
    <n v="1000"/>
  </r>
  <r>
    <x v="875"/>
    <x v="46"/>
    <n v="4.54"/>
    <n v="4.13"/>
    <n v="4.9000000000000004"/>
    <n v="0.99"/>
    <n v="62.04081632653061"/>
    <n v="26.767330130404943"/>
    <n v="34.337349397590359"/>
    <n v="37.607037003222786"/>
    <n v="66.666666666666657"/>
    <n v="18.569715937590036"/>
    <n v="67.836308513972526"/>
    <n v="52.429262296771185"/>
    <n v="4.4820000000000002"/>
    <n v="0.41800000000000015"/>
    <n v="876"/>
    <n v="7"/>
    <s v="Open ended"/>
    <s v="Nifty 50 Arbitrage"/>
    <n v="5000"/>
    <n v="1000"/>
  </r>
  <r>
    <x v="876"/>
    <x v="13"/>
    <n v="-5.61"/>
    <n v="9.1999999999999993"/>
    <n v="11.65"/>
    <n v="1.82"/>
    <n v="40.236305048335119"/>
    <n v="35.46671242278655"/>
    <n v="58.256555634301911"/>
    <n v="47.815552553653944"/>
    <n v="34.865900383141771"/>
    <n v="12.019812800817494"/>
    <n v="79.181073531517328"/>
    <n v="52.419519755491748"/>
    <n v="10.461"/>
    <n v="1.1890000000000001"/>
    <n v="877"/>
    <n v="28"/>
    <s v="Open ended"/>
    <s v="NIFTY 500 - TRI"/>
    <n v="1000"/>
    <n v="1000"/>
  </r>
  <r>
    <x v="877"/>
    <x v="12"/>
    <n v="-5.0599999999999996"/>
    <n v="10.74"/>
    <n v="6.33"/>
    <n v="1.85"/>
    <n v="41.417830290010741"/>
    <n v="38.109128345916268"/>
    <n v="39.404677533664071"/>
    <n v="39.418643328609065"/>
    <n v="33.716475095785434"/>
    <n v="1.6672702376996724"/>
    <n v="97.112203238356727"/>
    <n v="52.416491247840071"/>
    <n v="9.219019607843137"/>
    <n v="-2.8890196078431369"/>
    <n v="878"/>
    <n v="21"/>
    <s v="Open ended"/>
    <s v="CRISIL Hybrid 35+65 - Aggressive Index"/>
    <n v="1000"/>
    <n v="1000"/>
  </r>
  <r>
    <x v="878"/>
    <x v="46"/>
    <n v="4.84"/>
    <n v="4.3099999999999996"/>
    <n v="5.04"/>
    <n v="1.01"/>
    <n v="62.685284640171858"/>
    <n v="27.076183939601929"/>
    <n v="34.8334514528703"/>
    <n v="38.076637836350102"/>
    <n v="65.900383141762447"/>
    <n v="18.725685852455047"/>
    <n v="67.566160696974123"/>
    <n v="52.404954877859197"/>
    <n v="4.4820000000000002"/>
    <n v="0.55799999999999983"/>
    <n v="879"/>
    <n v="8"/>
    <s v="Open ended"/>
    <s v="Nifty 50 Arbitrage"/>
    <n v="5000"/>
    <n v="1000"/>
  </r>
  <r>
    <x v="879"/>
    <x v="18"/>
    <n v="5.35"/>
    <n v="14.6"/>
    <n v="12.94"/>
    <n v="2.39"/>
    <n v="63.780880773361972"/>
    <n v="44.732326698695957"/>
    <n v="62.827781715095668"/>
    <n v="57.589765021829017"/>
    <n v="13.026819923371647"/>
    <n v="10.733136403997426"/>
    <n v="81.409662423709335"/>
    <n v="52.40400309768475"/>
    <n v="6.9120588235294118"/>
    <n v="6.0279411764705877"/>
    <n v="880"/>
    <n v="12"/>
    <s v="Open ended"/>
    <s v="Russell 1000 Index"/>
    <n v="1000"/>
    <n v="1000"/>
  </r>
  <r>
    <x v="880"/>
    <x v="48"/>
    <n v="5.25"/>
    <n v="3.95"/>
    <n v="5.91"/>
    <n v="1.08"/>
    <n v="63.566058002148232"/>
    <n v="26.458476321207968"/>
    <n v="37.916371367824233"/>
    <n v="39.608940180704153"/>
    <n v="63.218390804597703"/>
    <n v="19.000712274131313"/>
    <n v="67.089800961206976"/>
    <n v="52.381518031803246"/>
    <n v="3.5597297297297299"/>
    <n v="2.3502702702702702"/>
    <n v="881"/>
    <n v="3"/>
    <s v="Open ended"/>
    <s v="NIFTY Medium Duration Debt Index"/>
    <n v="5000"/>
    <n v="1000"/>
  </r>
  <r>
    <x v="881"/>
    <x v="34"/>
    <n v="4.47"/>
    <n v="10.51"/>
    <n v="8.5299999999999994"/>
    <n v="1.79"/>
    <n v="61.890440386680993"/>
    <n v="37.714481811942349"/>
    <n v="47.200566973777455"/>
    <n v="47.292716107807635"/>
    <n v="36.015325670498079"/>
    <n v="12.180963054374349"/>
    <n v="78.901953104704248"/>
    <n v="52.375677747704401"/>
    <n v="7.9378947368421047"/>
    <n v="0.59210526315789469"/>
    <n v="882"/>
    <n v="5"/>
    <s v="Open ended"/>
    <s v="CRISIL Hybrid 50+50 - Moderate Index"/>
    <n v="1000"/>
    <n v="1000"/>
  </r>
  <r>
    <x v="882"/>
    <x v="27"/>
    <n v="2.74"/>
    <n v="13.41"/>
    <n v="10.1"/>
    <n v="2.17"/>
    <n v="58.174006444683137"/>
    <n v="42.69045984900481"/>
    <n v="52.763997165131116"/>
    <n v="50.823937826203633"/>
    <n v="21.455938697318011"/>
    <n v="7.857953186048408"/>
    <n v="86.389625838266426"/>
    <n v="52.373360046997924"/>
    <n v="10.044583333333334"/>
    <n v="5.5416666666666003E-2"/>
    <n v="883"/>
    <n v="24"/>
    <s v="Open ended"/>
    <s v="NIFTY 100 - TRI"/>
    <n v="5000"/>
    <n v="1000"/>
  </r>
  <r>
    <x v="883"/>
    <x v="46"/>
    <n v="4.5999999999999996"/>
    <n v="3.87"/>
    <n v="4.6500000000000004"/>
    <n v="0.95"/>
    <n v="62.169709989258862"/>
    <n v="26.321207961564863"/>
    <n v="33.451452870304749"/>
    <n v="37.056030821473605"/>
    <n v="68.199233716475092"/>
    <n v="18.976712843370908"/>
    <n v="67.131369194636733"/>
    <n v="52.360666138514759"/>
    <n v="4.4820000000000002"/>
    <n v="0.16800000000000015"/>
    <n v="884"/>
    <n v="9"/>
    <s v="Open ended"/>
    <s v="Nifty 50 Arbitrage"/>
    <n v="1000"/>
    <n v="1000"/>
  </r>
  <r>
    <x v="884"/>
    <x v="27"/>
    <n v="2.67"/>
    <n v="13.38"/>
    <n v="10.08"/>
    <n v="2.17"/>
    <n v="58.023630504833513"/>
    <n v="42.638984214138645"/>
    <n v="52.693125442948265"/>
    <n v="50.742984086682426"/>
    <n v="21.455938697318011"/>
    <n v="7.8122487325292047"/>
    <n v="86.46878827389385"/>
    <n v="52.35267378614418"/>
    <n v="10.044583333333334"/>
    <n v="3.541666666666643E-2"/>
    <n v="885"/>
    <n v="25"/>
    <s v="Open ended"/>
    <s v="NIFTY 100 - TRI"/>
    <n v="5000"/>
    <n v="1000"/>
  </r>
  <r>
    <x v="885"/>
    <x v="25"/>
    <n v="5.25"/>
    <n v="4.3"/>
    <n v="4.4400000000000004"/>
    <n v="0.93"/>
    <n v="63.566058002148232"/>
    <n v="27.05902539464654"/>
    <n v="32.707299787384834"/>
    <n v="37.18456911251603"/>
    <n v="68.965517241379317"/>
    <n v="19.650824376168387"/>
    <n v="65.963773769863366"/>
    <n v="52.324607309068689"/>
    <n v="5.1221052631578941"/>
    <n v="-0.68210526315789366"/>
    <n v="886"/>
    <n v="42"/>
    <s v="Open ended"/>
    <s v="NIFTY Low Duration Debt Index"/>
    <n v="5000"/>
    <n v="1000"/>
  </r>
  <r>
    <x v="886"/>
    <x v="52"/>
    <n v="7.08"/>
    <n v="18.440000000000001"/>
    <n v="10.42"/>
    <n v="2.4"/>
    <n v="67.497314715359821"/>
    <n v="51.321207961564873"/>
    <n v="53.897944720056692"/>
    <n v="55.844797691569767"/>
    <n v="12.643678160919535"/>
    <n v="8.6914600451811754"/>
    <n v="84.945949609791313"/>
    <n v="52.319805788462595"/>
    <n v="10.33"/>
    <n v="8.9999999999999858E-2"/>
    <n v="887"/>
    <n v="1"/>
    <s v="Open ended"/>
    <s v="S&amp;P BSE 500 - TRI"/>
    <n v="5000"/>
    <n v="1000"/>
  </r>
  <r>
    <x v="887"/>
    <x v="20"/>
    <n v="4.67"/>
    <n v="3.06"/>
    <n v="1.86"/>
    <n v="0.54"/>
    <n v="62.32008592910848"/>
    <n v="24.931365820178453"/>
    <n v="23.564847625797306"/>
    <n v="31.725850744773883"/>
    <n v="83.908045977011497"/>
    <n v="21.991484182541814"/>
    <n v="61.909632061990258"/>
    <n v="52.317344882137384"/>
    <n v="4.4280373831775703"/>
    <n v="-2.56803738317757"/>
    <n v="888"/>
    <n v="105"/>
    <s v="Open ended"/>
    <s v=""/>
    <n v="5000"/>
    <n v="1000"/>
  </r>
  <r>
    <x v="888"/>
    <x v="23"/>
    <n v="12.58"/>
    <n v="17.100000000000001"/>
    <n v="8.73"/>
    <n v="1.92"/>
    <n v="79.312567132116001"/>
    <n v="49.021962937542902"/>
    <n v="47.909284195605949"/>
    <n v="54.523744405489047"/>
    <n v="31.034482758620683"/>
    <n v="17.818178618317265"/>
    <n v="69.138009334737077"/>
    <n v="52.30499522608396"/>
    <n v="10.023387096774194"/>
    <n v="-1.2933870967741932"/>
    <n v="889"/>
    <n v="31"/>
    <s v="Open ended"/>
    <s v="NIFTY 500 - TRI"/>
    <n v="1000"/>
    <n v="1000"/>
  </r>
  <r>
    <x v="889"/>
    <x v="11"/>
    <n v="4.0999999999999996"/>
    <n v="13.43"/>
    <n v="7.32"/>
    <n v="1.83"/>
    <n v="61.095596133190114"/>
    <n v="42.724776938915589"/>
    <n v="42.912827781715094"/>
    <n v="46.492966199170247"/>
    <n v="34.482758620689658"/>
    <n v="10.552530706830506"/>
    <n v="81.722480667338843"/>
    <n v="52.297792921592247"/>
    <n v="11.362272727272726"/>
    <n v="-4.0422727272727261"/>
    <n v="890"/>
    <n v="36"/>
    <s v="Open ended"/>
    <s v="Nifty Midcap 150 - TRI"/>
    <n v="5000"/>
    <n v="1000"/>
  </r>
  <r>
    <x v="890"/>
    <x v="25"/>
    <n v="5.26"/>
    <n v="4.3"/>
    <n v="4.41"/>
    <n v="0.93"/>
    <n v="63.587540279269597"/>
    <n v="27.05902539464654"/>
    <n v="32.600992204110554"/>
    <n v="37.135711776303154"/>
    <n v="68.965517241379317"/>
    <n v="19.685916951835864"/>
    <n v="65.902991645838839"/>
    <n v="52.284983109956116"/>
    <n v="5.1221052631578941"/>
    <n v="-0.71210526315789391"/>
    <n v="891"/>
    <n v="43"/>
    <s v="Open ended"/>
    <s v="NIFTY Low Duration Debt Index"/>
    <n v="5000"/>
    <n v="1000"/>
  </r>
  <r>
    <x v="891"/>
    <x v="33"/>
    <n v="5.35"/>
    <n v="4.42"/>
    <n v="4.07"/>
    <n v="0.89"/>
    <n v="63.780880773361972"/>
    <n v="27.264927934111192"/>
    <n v="31.396172927002127"/>
    <n v="36.633740998406815"/>
    <n v="70.498084291187737"/>
    <n v="19.996880170182191"/>
    <n v="65.364387552377877"/>
    <n v="52.282488460094811"/>
    <n v="4.4264935064935065"/>
    <n v="-0.3564935064935062"/>
    <n v="892"/>
    <n v="50"/>
    <s v="Open ended"/>
    <s v="NIFTY Ultra Short Duration Debt Index"/>
    <n v="1000"/>
    <n v="1000"/>
  </r>
  <r>
    <x v="892"/>
    <x v="29"/>
    <n v="4.09"/>
    <n v="3.28"/>
    <n v="5.0599999999999996"/>
    <n v="0.99"/>
    <n v="61.074113856068735"/>
    <n v="25.308853809196986"/>
    <n v="34.90432317505315"/>
    <n v="37.259640501499419"/>
    <n v="66.666666666666657"/>
    <n v="18.51163959449844"/>
    <n v="67.936899690924974"/>
    <n v="52.280711840147617"/>
    <n v="5.0554237288135591"/>
    <n v="4.5762711864405503E-3"/>
    <n v="893"/>
    <n v="54"/>
    <s v="Open ended"/>
    <s v="CRISIL Corporate Bond Index"/>
    <n v="5000"/>
    <n v="1000"/>
  </r>
  <r>
    <x v="893"/>
    <x v="20"/>
    <n v="4.12"/>
    <n v="2.42"/>
    <n v="1.92"/>
    <n v="0.54"/>
    <n v="61.138560687432864"/>
    <n v="23.833218943033636"/>
    <n v="23.777462792345851"/>
    <n v="31.266409216569588"/>
    <n v="83.908045977011497"/>
    <n v="21.554362541184982"/>
    <n v="62.66674895390819"/>
    <n v="52.276903341014716"/>
    <n v="4.4280373831775703"/>
    <n v="-2.5080373831775704"/>
    <n v="894"/>
    <n v="106"/>
    <s v="Open ended"/>
    <s v=""/>
    <n v="5000"/>
    <n v="1000"/>
  </r>
  <r>
    <x v="894"/>
    <x v="25"/>
    <n v="5.25"/>
    <n v="4.3"/>
    <n v="4.3899999999999997"/>
    <n v="0.93"/>
    <n v="63.566058002148232"/>
    <n v="27.05902539464654"/>
    <n v="32.530120481927703"/>
    <n v="37.095979459787458"/>
    <n v="68.965517241379317"/>
    <n v="19.688938218444285"/>
    <n v="65.897758658569842"/>
    <n v="52.263808704881015"/>
    <n v="5.1221052631578941"/>
    <n v="-0.73210526315789437"/>
    <n v="895"/>
    <n v="44"/>
    <s v="Open ended"/>
    <s v="NIFTY Low Duration Debt Index"/>
    <n v="5000"/>
    <n v="1000"/>
  </r>
  <r>
    <x v="895"/>
    <x v="25"/>
    <n v="5.25"/>
    <n v="4.3"/>
    <n v="4.38"/>
    <n v="0.93"/>
    <n v="63.566058002148232"/>
    <n v="27.05902539464654"/>
    <n v="32.494684620836281"/>
    <n v="37.07826152924175"/>
    <n v="68.965517241379317"/>
    <n v="19.696615888816005"/>
    <n v="65.884460543402255"/>
    <n v="52.251625210816272"/>
    <n v="5.1221052631578941"/>
    <n v="-0.74210526315789416"/>
    <n v="896"/>
    <n v="45"/>
    <s v="Open ended"/>
    <s v="NIFTY Low Duration Debt Index"/>
    <n v="5000"/>
    <n v="1000"/>
  </r>
  <r>
    <x v="896"/>
    <x v="39"/>
    <n v="5.45"/>
    <n v="1.71"/>
    <n v="2.31"/>
    <n v="0.52"/>
    <n v="63.995703544575719"/>
    <n v="22.614962251201103"/>
    <n v="25.159461374911409"/>
    <n v="32.163360071731177"/>
    <n v="84.674329501915707"/>
    <n v="23.191571499291769"/>
    <n v="59.831019855860333"/>
    <n v="52.208017375309595"/>
    <n v="3.9855555555555551"/>
    <n v="-1.675555555555555"/>
    <n v="897"/>
    <n v="9"/>
    <s v="Open ended"/>
    <s v=""/>
    <n v="1000"/>
    <n v="1000"/>
  </r>
  <r>
    <x v="897"/>
    <x v="33"/>
    <n v="5.35"/>
    <n v="4.43"/>
    <n v="3.99"/>
    <n v="0.89"/>
    <n v="63.780880773361972"/>
    <n v="27.282086479066582"/>
    <n v="31.112686038270731"/>
    <n v="36.497145117527737"/>
    <n v="70.498084291187737"/>
    <n v="20.058441386650276"/>
    <n v="65.257760397679391"/>
    <n v="52.187533730980654"/>
    <n v="4.4264935064935065"/>
    <n v="-0.43649350649350627"/>
    <n v="898"/>
    <n v="51"/>
    <s v="Open ended"/>
    <s v="NIFTY Ultra Short Duration Debt Index"/>
    <n v="1000"/>
    <n v="1000"/>
  </r>
  <r>
    <x v="898"/>
    <x v="33"/>
    <n v="5.35"/>
    <n v="4.42"/>
    <n v="3.99"/>
    <n v="0.89"/>
    <n v="63.780880773361972"/>
    <n v="27.264927934111192"/>
    <n v="31.112686038270731"/>
    <n v="36.49199755404112"/>
    <n v="70.498084291187737"/>
    <n v="20.064192821360294"/>
    <n v="65.24779862054524"/>
    <n v="52.182469504953808"/>
    <n v="4.4264935064935065"/>
    <n v="-0.43649350649350627"/>
    <n v="899"/>
    <n v="52"/>
    <s v="Open ended"/>
    <s v="NIFTY Ultra Short Duration Debt Index"/>
    <n v="1000"/>
    <n v="1000"/>
  </r>
  <r>
    <x v="899"/>
    <x v="6"/>
    <n v="3.13"/>
    <n v="15.73"/>
    <n v="7.85"/>
    <n v="2.06"/>
    <n v="59.011815252416753"/>
    <n v="46.671242278654773"/>
    <n v="44.790928419560586"/>
    <n v="48.199199943860073"/>
    <n v="25.670498084291182"/>
    <n v="7.725056028301112"/>
    <n v="86.619810467666241"/>
    <n v="52.172177109919389"/>
    <n v="9.0435999999999996"/>
    <n v="-1.1936"/>
    <n v="900"/>
    <n v="17"/>
    <s v="Open ended"/>
    <s v="NIFTY 500 - TRI"/>
    <n v="1000"/>
    <n v="1000"/>
  </r>
  <r>
    <x v="900"/>
    <x v="33"/>
    <n v="4.95"/>
    <n v="4.0199999999999996"/>
    <n v="9.2100000000000009"/>
    <n v="1.43"/>
    <n v="62.921589688506984"/>
    <n v="26.578586135895677"/>
    <n v="49.610205527994324"/>
    <n v="45.362996542467265"/>
    <n v="49.808429118773944"/>
    <n v="18.386871889640716"/>
    <n v="68.153003694882301"/>
    <n v="52.17185647464769"/>
    <n v="4.4264935064935065"/>
    <n v="4.7835064935064944"/>
    <n v="901"/>
    <n v="53"/>
    <s v="Open ended"/>
    <s v="NIFTY Ultra Short Duration Debt Index"/>
    <n v="1000"/>
    <n v="1000"/>
  </r>
  <r>
    <x v="901"/>
    <x v="29"/>
    <n v="4.09"/>
    <n v="3.28"/>
    <n v="4.96"/>
    <n v="0.99"/>
    <n v="61.074113856068735"/>
    <n v="25.308853809196986"/>
    <n v="34.549964564138904"/>
    <n v="37.082461196042296"/>
    <n v="66.666666666666657"/>
    <n v="18.565570508632575"/>
    <n v="67.843488607546021"/>
    <n v="52.168769416574321"/>
    <n v="5.0554237288135591"/>
    <n v="-9.5423728813559094E-2"/>
    <n v="902"/>
    <n v="55"/>
    <s v="Open ended"/>
    <s v="CRISIL Corporate Bond Index"/>
    <n v="5000"/>
    <n v="1000"/>
  </r>
  <r>
    <x v="902"/>
    <x v="46"/>
    <n v="4.3099999999999996"/>
    <n v="4.13"/>
    <n v="4.8600000000000003"/>
    <n v="1.02"/>
    <n v="61.546723952738994"/>
    <n v="26.767330130404943"/>
    <n v="34.195605953224664"/>
    <n v="37.43734680628161"/>
    <n v="65.517241379310349"/>
    <n v="18.316063861049461"/>
    <n v="68.275646797986155"/>
    <n v="52.166895447464931"/>
    <n v="4.4820000000000002"/>
    <n v="0.37800000000000011"/>
    <n v="903"/>
    <n v="10"/>
    <s v="Open ended"/>
    <s v="Nifty 50 Arbitrage"/>
    <n v="5000"/>
    <n v="1000"/>
  </r>
  <r>
    <x v="903"/>
    <x v="27"/>
    <n v="4.18"/>
    <n v="12.57"/>
    <n v="10.7"/>
    <n v="2.15"/>
    <n v="61.26745435016111"/>
    <n v="41.249142072752235"/>
    <n v="54.890148830616582"/>
    <n v="52.073307907166182"/>
    <n v="22.222222222222232"/>
    <n v="10.226435657105988"/>
    <n v="82.28729386155841"/>
    <n v="52.164032974528254"/>
    <n v="10.044583333333334"/>
    <n v="0.65541666666666565"/>
    <n v="904"/>
    <n v="26"/>
    <s v="Open ended"/>
    <s v="NIFTY 100 - TRI"/>
    <n v="5000"/>
    <n v="1000"/>
  </r>
  <r>
    <x v="904"/>
    <x v="46"/>
    <n v="4.54"/>
    <n v="3.87"/>
    <n v="4.7699999999999996"/>
    <n v="0.99"/>
    <n v="62.04081632653061"/>
    <n v="26.321207961564863"/>
    <n v="33.876683203401839"/>
    <n v="37.242867255476497"/>
    <n v="66.666666666666657"/>
    <n v="18.824602795516746"/>
    <n v="67.394831525861875"/>
    <n v="52.136808175870385"/>
    <n v="4.4820000000000002"/>
    <n v="0.28799999999999937"/>
    <n v="905"/>
    <n v="11"/>
    <s v="Open ended"/>
    <s v="Nifty 50 Arbitrage"/>
    <n v="1000"/>
    <n v="1000"/>
  </r>
  <r>
    <x v="905"/>
    <x v="48"/>
    <n v="5.25"/>
    <n v="3.95"/>
    <n v="5.68"/>
    <n v="1.08"/>
    <n v="63.566058002148232"/>
    <n v="26.458476321207968"/>
    <n v="37.101346562721474"/>
    <n v="39.201427778152777"/>
    <n v="63.218390804597703"/>
    <n v="19.107695904868073"/>
    <n v="66.904499877192734"/>
    <n v="52.131436559523998"/>
    <n v="3.5597297297297299"/>
    <n v="2.1202702702702698"/>
    <n v="906"/>
    <n v="4"/>
    <s v="Open ended"/>
    <s v="NIFTY Medium Duration Debt Index"/>
    <n v="5000"/>
    <n v="1000"/>
  </r>
  <r>
    <x v="906"/>
    <x v="21"/>
    <n v="-2.2599999999999998"/>
    <n v="11.76"/>
    <n v="9.5399999999999991"/>
    <n v="2.09"/>
    <n v="47.432867883995698"/>
    <n v="39.859299931365818"/>
    <n v="50.779588944011337"/>
    <n v="46.834158028214553"/>
    <n v="24.521072796934874"/>
    <n v="5.5948217949928338"/>
    <n v="90.30948439177871"/>
    <n v="52.124718311285676"/>
    <n v="10.412619047619048"/>
    <n v="-0.87261904761904852"/>
    <n v="907"/>
    <n v="29"/>
    <s v="Open ended"/>
    <s v="NIFTY LargeMidcap 250 - TRI"/>
    <n v="5000"/>
    <n v="1000"/>
  </r>
  <r>
    <x v="907"/>
    <x v="10"/>
    <n v="3.85"/>
    <n v="9.7200000000000006"/>
    <n v="8.49"/>
    <n v="1.78"/>
    <n v="60.558539205155746"/>
    <n v="36.358956760466718"/>
    <n v="47.058823529411761"/>
    <n v="46.548806633877049"/>
    <n v="36.398467432950184"/>
    <n v="12.126755973853873"/>
    <n v="78.995842522295689"/>
    <n v="52.122980805749989"/>
    <n v="10.563571428571427"/>
    <n v="-2.0735714285714266"/>
    <n v="908"/>
    <n v="5"/>
    <s v="Open ended"/>
    <s v=""/>
    <n v="5000"/>
    <n v="1000"/>
  </r>
  <r>
    <x v="908"/>
    <x v="52"/>
    <n v="7.11"/>
    <n v="18.5"/>
    <n v="10.24"/>
    <n v="2.4"/>
    <n v="67.561761546723957"/>
    <n v="51.424159231297196"/>
    <n v="53.260099220411064"/>
    <n v="55.569649688939478"/>
    <n v="12.643678160919535"/>
    <n v="8.8348781299873451"/>
    <n v="84.697542200182809"/>
    <n v="52.120129934745322"/>
    <n v="10.33"/>
    <n v="-8.9999999999999858E-2"/>
    <n v="909"/>
    <n v="2"/>
    <s v="Open ended"/>
    <s v="S&amp;P BSE 500 - TRI"/>
    <n v="5000"/>
    <n v="1000"/>
  </r>
  <r>
    <x v="909"/>
    <x v="21"/>
    <n v="-2.27"/>
    <n v="11.76"/>
    <n v="9.43"/>
    <n v="2.09"/>
    <n v="47.411385606874326"/>
    <n v="39.859299931365818"/>
    <n v="50.389794472005669"/>
    <n v="46.634964336787448"/>
    <n v="24.521072796934874"/>
    <n v="5.4282629617057587"/>
    <n v="90.597972753481315"/>
    <n v="52.097243555997771"/>
    <n v="10.412619047619048"/>
    <n v="-0.98261904761904795"/>
    <n v="910"/>
    <n v="30"/>
    <s v="Open ended"/>
    <s v="NIFTY LargeMidcap 250 - TRI"/>
    <n v="5000"/>
    <n v="1000"/>
  </r>
  <r>
    <x v="910"/>
    <x v="46"/>
    <n v="4.54"/>
    <n v="4.12"/>
    <n v="4.62"/>
    <n v="0.99"/>
    <n v="62.04081632653061"/>
    <n v="26.750171585449557"/>
    <n v="33.345145287030476"/>
    <n v="37.105787384456228"/>
    <n v="66.666666666666657"/>
    <n v="18.763283387034292"/>
    <n v="67.501039856843562"/>
    <n v="52.094820323105672"/>
    <n v="4.4820000000000002"/>
    <n v="0.1379999999999999"/>
    <n v="911"/>
    <n v="12"/>
    <s v="Open ended"/>
    <s v="Nifty 50 Arbitrage"/>
    <n v="5000"/>
    <n v="1000"/>
  </r>
  <r>
    <x v="911"/>
    <x v="25"/>
    <n v="5.46"/>
    <n v="4.3"/>
    <n v="4.54"/>
    <n v="0.96"/>
    <n v="64.017185821697097"/>
    <n v="27.05902539464654"/>
    <n v="33.061658398299073"/>
    <n v="37.451973981882915"/>
    <n v="67.81609195402298"/>
    <n v="19.833397352230957"/>
    <n v="65.647548099233944"/>
    <n v="52.091897004255692"/>
    <n v="5.1221052631578941"/>
    <n v="-0.58210526315789402"/>
    <n v="912"/>
    <n v="46"/>
    <s v="Open ended"/>
    <s v="CRISIL Low Duration Debt Index"/>
    <n v="5000"/>
    <n v="1000"/>
  </r>
  <r>
    <x v="912"/>
    <x v="29"/>
    <n v="4.09"/>
    <n v="3.28"/>
    <n v="4.8899999999999997"/>
    <n v="0.99"/>
    <n v="61.074113856068735"/>
    <n v="25.308853809196986"/>
    <n v="34.301913536498937"/>
    <n v="36.958435682222316"/>
    <n v="66.666666666666657"/>
    <n v="18.604567805740405"/>
    <n v="67.775943307597402"/>
    <n v="52.089870334677173"/>
    <n v="5.0554237288135591"/>
    <n v="-0.16542372881355938"/>
    <n v="913"/>
    <n v="56"/>
    <s v="Open ended"/>
    <s v="CRISIL Corporate Bond Index"/>
    <n v="5000"/>
    <n v="1000"/>
  </r>
  <r>
    <x v="913"/>
    <x v="48"/>
    <n v="5.25"/>
    <n v="3.95"/>
    <n v="5.64"/>
    <n v="1.08"/>
    <n v="63.566058002148232"/>
    <n v="26.458476321207968"/>
    <n v="36.959603118355773"/>
    <n v="39.130556055969919"/>
    <n v="63.218390804597703"/>
    <n v="19.127422389947164"/>
    <n v="66.870332602780991"/>
    <n v="52.087458879829633"/>
    <n v="3.5597297297297299"/>
    <n v="2.0802702702702698"/>
    <n v="914"/>
    <n v="5"/>
    <s v="Open ended"/>
    <s v="NIFTY Medium Duration Debt Index"/>
    <n v="5000"/>
    <n v="1000"/>
  </r>
  <r>
    <x v="914"/>
    <x v="12"/>
    <n v="0.09"/>
    <n v="20.6"/>
    <n v="9.59"/>
    <n v="2.5499999999999998"/>
    <n v="52.481203007518793"/>
    <n v="55.027453671928626"/>
    <n v="50.956768249468468"/>
    <n v="52.48286082781658"/>
    <n v="6.8965517241379448"/>
    <n v="2.0566061681886296"/>
    <n v="96.437853625537755"/>
    <n v="52.075031751327217"/>
    <n v="9.219019607843137"/>
    <n v="0.37098039215686285"/>
    <n v="915"/>
    <n v="22"/>
    <s v="Open ended"/>
    <s v="Nifty MidSmallcap 400 - TRI"/>
    <n v="5000"/>
    <n v="1000"/>
  </r>
  <r>
    <x v="915"/>
    <x v="30"/>
    <n v="3.05"/>
    <n v="6.88"/>
    <n v="6.04"/>
    <n v="1.37"/>
    <n v="58.839957035445757"/>
    <n v="31.485929993136587"/>
    <n v="38.377037562012752"/>
    <n v="40.402289186036498"/>
    <n v="52.107279693486589"/>
    <n v="14.227094059888028"/>
    <n v="75.35795024421256"/>
    <n v="52.067452077443036"/>
    <n v="6.1480952380952392"/>
    <n v="-0.10809523809523913"/>
    <n v="916"/>
    <n v="12"/>
    <s v="Open ended"/>
    <s v="Crisil Equity Savings Index"/>
    <n v="1000"/>
    <n v="1000"/>
  </r>
  <r>
    <x v="916"/>
    <x v="25"/>
    <n v="5.46"/>
    <n v="4.3"/>
    <n v="4.51"/>
    <n v="0.96"/>
    <n v="64.017185821697097"/>
    <n v="27.05902539464654"/>
    <n v="32.955350815024801"/>
    <n v="37.398820190245786"/>
    <n v="67.81609195402298"/>
    <n v="19.855771073738811"/>
    <n v="65.608795676827938"/>
    <n v="52.055632002835623"/>
    <n v="5.1221052631578941"/>
    <n v="-0.61210526315789426"/>
    <n v="917"/>
    <n v="47"/>
    <s v="Open ended"/>
    <s v="CRISIL Low Duration Debt Index"/>
    <n v="5000"/>
    <n v="1000"/>
  </r>
  <r>
    <x v="917"/>
    <x v="21"/>
    <n v="0.35"/>
    <n v="14.19"/>
    <n v="10.46"/>
    <n v="2.31"/>
    <n v="53.039742212674533"/>
    <n v="44.028826355525055"/>
    <n v="54.039688164422394"/>
    <n v="50.836440431403616"/>
    <n v="16.09195402298851"/>
    <n v="5.5138288367806654"/>
    <n v="90.449768310457486"/>
    <n v="52.053650799063305"/>
    <n v="10.412619047619048"/>
    <n v="4.738095238095319E-2"/>
    <n v="918"/>
    <n v="31"/>
    <s v="Open ended"/>
    <s v="S&amp;P BSE 250 LargeMidCap Index - TRI"/>
    <n v="1000"/>
    <n v="1000"/>
  </r>
  <r>
    <x v="918"/>
    <x v="21"/>
    <n v="0.35"/>
    <n v="14.19"/>
    <n v="10.46"/>
    <n v="2.31"/>
    <n v="53.039742212674533"/>
    <n v="44.028826355525055"/>
    <n v="54.039688164422394"/>
    <n v="50.836440431403616"/>
    <n v="16.09195402298851"/>
    <n v="5.5138288367806654"/>
    <n v="90.449768310457486"/>
    <n v="52.053650799063305"/>
    <n v="10.412619047619048"/>
    <n v="4.738095238095319E-2"/>
    <n v="918"/>
    <n v="31"/>
    <s v="Open ended"/>
    <s v="S&amp;P BSE 250 LargeMidCap Index - TRI"/>
    <n v="1000"/>
    <n v="1000"/>
  </r>
  <r>
    <x v="919"/>
    <x v="12"/>
    <n v="0.05"/>
    <n v="20.58"/>
    <n v="9.58"/>
    <n v="2.5499999999999998"/>
    <n v="52.395273899033292"/>
    <n v="54.993136582017854"/>
    <n v="50.921332388377039"/>
    <n v="52.437661948600535"/>
    <n v="6.8965517241379448"/>
    <n v="2.0615925675647908"/>
    <n v="96.429216928471405"/>
    <n v="52.050273137452606"/>
    <n v="9.219019607843137"/>
    <n v="0.36098039215686306"/>
    <n v="920"/>
    <n v="23"/>
    <s v="Open ended"/>
    <s v="Nifty MidSmallcap 400 - TRI"/>
    <n v="5000"/>
    <n v="1000"/>
  </r>
  <r>
    <x v="920"/>
    <x v="25"/>
    <n v="5.46"/>
    <n v="4.3"/>
    <n v="4.5"/>
    <n v="0.96"/>
    <n v="64.017185821697097"/>
    <n v="27.05902539464654"/>
    <n v="32.919914953933379"/>
    <n v="37.381102259700071"/>
    <n v="67.81609195402298"/>
    <n v="19.863265525423344"/>
    <n v="65.595814905735466"/>
    <n v="52.043527844789644"/>
    <n v="5.1221052631578941"/>
    <n v="-0.62210526315789405"/>
    <n v="921"/>
    <n v="48"/>
    <s v="Open ended"/>
    <s v="CRISIL Low Duration Debt Index"/>
    <n v="5000"/>
    <n v="1000"/>
  </r>
  <r>
    <x v="921"/>
    <x v="46"/>
    <n v="4.84"/>
    <n v="4.26"/>
    <n v="4.75"/>
    <n v="1.01"/>
    <n v="62.685284640171858"/>
    <n v="26.990391214824989"/>
    <n v="33.805811481218996"/>
    <n v="37.537080033091371"/>
    <n v="65.900383141762447"/>
    <n v="18.949931134409276"/>
    <n v="67.177756475271792"/>
    <n v="52.038074920804249"/>
    <n v="4.4820000000000002"/>
    <n v="0.26799999999999979"/>
    <n v="922"/>
    <n v="13"/>
    <s v="Open ended"/>
    <s v="Nifty 50 Arbitrage"/>
    <n v="5000"/>
    <n v="1000"/>
  </r>
  <r>
    <x v="922"/>
    <x v="25"/>
    <n v="5.69"/>
    <n v="4.3899999999999997"/>
    <n v="5.16"/>
    <n v="1.04"/>
    <n v="64.511278195488714"/>
    <n v="27.213452299245027"/>
    <n v="35.258681785967397"/>
    <n v="38.69563222185495"/>
    <n v="64.750957854406124"/>
    <n v="19.62807483673523"/>
    <n v="66.003177128010378"/>
    <n v="52.036349856531601"/>
    <n v="5.1221052631578941"/>
    <n v="3.7894736842106092E-2"/>
    <n v="923"/>
    <n v="49"/>
    <s v="Open ended"/>
    <s v="NIFTY Low Duration Debt Index"/>
    <n v="1000"/>
    <n v="1000"/>
  </r>
  <r>
    <x v="923"/>
    <x v="25"/>
    <n v="5.3"/>
    <n v="4.34"/>
    <n v="4.99"/>
    <n v="1.03"/>
    <n v="63.673469387755098"/>
    <n v="27.127659574468087"/>
    <n v="34.656272147413183"/>
    <n v="38.201127823598043"/>
    <n v="65.134099616858236"/>
    <n v="19.297123956120849"/>
    <n v="66.576400868044146"/>
    <n v="52.028189033024617"/>
    <n v="5.1221052631578941"/>
    <n v="-0.13210526315789384"/>
    <n v="924"/>
    <n v="50"/>
    <s v="Open ended"/>
    <s v="CRISIL Low Duration Debt Index"/>
    <n v="1000"/>
    <n v="1000"/>
  </r>
  <r>
    <x v="924"/>
    <x v="25"/>
    <n v="5.46"/>
    <n v="4.3"/>
    <n v="4.46"/>
    <n v="0.96"/>
    <n v="64.017185821697097"/>
    <n v="27.05902539464654"/>
    <n v="32.778171509567677"/>
    <n v="37.310230537517221"/>
    <n v="67.81609195402298"/>
    <n v="19.893425503705362"/>
    <n v="65.543576290995816"/>
    <n v="51.995032330013309"/>
    <n v="5.1221052631578941"/>
    <n v="-0.66210526315789409"/>
    <n v="925"/>
    <n v="51"/>
    <s v="Open ended"/>
    <s v="CRISIL Low Duration Debt Index"/>
    <n v="5000"/>
    <n v="1000"/>
  </r>
  <r>
    <x v="925"/>
    <x v="25"/>
    <n v="5.46"/>
    <n v="4.3"/>
    <n v="4.46"/>
    <n v="0.96"/>
    <n v="64.017185821697097"/>
    <n v="27.05902539464654"/>
    <n v="32.778171509567677"/>
    <n v="37.310230537517221"/>
    <n v="67.81609195402298"/>
    <n v="19.893425503705362"/>
    <n v="65.543576290995816"/>
    <n v="51.995032330013309"/>
    <n v="5.1221052631578941"/>
    <n v="-0.66210526315789409"/>
    <n v="925"/>
    <n v="51"/>
    <s v="Open ended"/>
    <s v="CRISIL Low Duration Debt Index"/>
    <n v="5000"/>
    <n v="1000"/>
  </r>
  <r>
    <x v="926"/>
    <x v="11"/>
    <n v="-1.7"/>
    <n v="15.54"/>
    <n v="6.9"/>
    <n v="2.06"/>
    <n v="48.635875402792692"/>
    <n v="46.345229924502405"/>
    <n v="41.424521615875264"/>
    <n v="44.343004865846893"/>
    <n v="25.670498084291182"/>
    <n v="3.684744459839159"/>
    <n v="93.61783538265064"/>
    <n v="51.993585799658902"/>
    <n v="11.362272727272726"/>
    <n v="-4.4622727272727261"/>
    <n v="927"/>
    <n v="37"/>
    <s v="Open ended"/>
    <s v="Nifty Midcap 150 - TRI"/>
    <n v="1000"/>
    <n v="1000"/>
  </r>
  <r>
    <x v="927"/>
    <x v="46"/>
    <n v="4.59"/>
    <n v="3.82"/>
    <n v="4.3600000000000003"/>
    <n v="0.95"/>
    <n v="62.148227712137484"/>
    <n v="26.235415236787922"/>
    <n v="32.423812898653438"/>
    <n v="36.512176562790593"/>
    <n v="68.199233716475092"/>
    <n v="19.198815942287844"/>
    <n v="66.746675342794106"/>
    <n v="51.992565546212596"/>
    <n v="4.4820000000000002"/>
    <n v="-0.12199999999999989"/>
    <n v="928"/>
    <n v="14"/>
    <s v="Open ended"/>
    <s v="Nifty 50 Arbitrage"/>
    <n v="1000"/>
    <n v="1000"/>
  </r>
  <r>
    <x v="928"/>
    <x v="30"/>
    <n v="3.77"/>
    <n v="7.84"/>
    <n v="6.37"/>
    <n v="1.45"/>
    <n v="60.38668098818475"/>
    <n v="33.133150308853807"/>
    <n v="39.546420978029758"/>
    <n v="41.79049177930797"/>
    <n v="49.042145593869726"/>
    <n v="14.248984832004764"/>
    <n v="75.320034314689465"/>
    <n v="51.985790866793778"/>
    <n v="6.1480952380952392"/>
    <n v="0.22190476190476094"/>
    <n v="929"/>
    <n v="13"/>
    <s v="Open ended"/>
    <s v="NIFTY 50 Equity Savings Index - TRI"/>
    <n v="1000"/>
    <n v="1000"/>
  </r>
  <r>
    <x v="929"/>
    <x v="23"/>
    <n v="-8.64"/>
    <n v="6.75"/>
    <n v="9.2100000000000009"/>
    <n v="1.6"/>
    <n v="33.727175080558538"/>
    <n v="31.262868908716545"/>
    <n v="49.610205527994324"/>
    <n v="40.929398452723831"/>
    <n v="43.295019157088113"/>
    <n v="9.9579802346647437"/>
    <n v="82.752272292794018"/>
    <n v="51.976522088832454"/>
    <n v="10.023387096774194"/>
    <n v="-0.81338709677419274"/>
    <n v="930"/>
    <n v="32"/>
    <s v="Open ended"/>
    <s v="NIFTY 500 - TRI"/>
    <n v="1000"/>
    <n v="1000"/>
  </r>
  <r>
    <x v="930"/>
    <x v="46"/>
    <n v="4.6100000000000003"/>
    <n v="3.82"/>
    <n v="4.3499999999999996"/>
    <n v="0.95"/>
    <n v="62.191192266380234"/>
    <n v="26.235415236787922"/>
    <n v="32.388377037562009"/>
    <n v="36.503051543093427"/>
    <n v="68.199233716475092"/>
    <n v="19.230551371392618"/>
    <n v="66.691707967184641"/>
    <n v="51.974261192461647"/>
    <n v="4.4820000000000002"/>
    <n v="-0.13200000000000056"/>
    <n v="931"/>
    <n v="15"/>
    <s v="Open ended"/>
    <s v="Nifty 50 Arbitrage"/>
    <n v="1000"/>
    <n v="1000"/>
  </r>
  <r>
    <x v="931"/>
    <x v="23"/>
    <n v="-8.64"/>
    <n v="6.75"/>
    <n v="8.7200000000000006"/>
    <n v="1.6"/>
    <n v="33.727175080558538"/>
    <n v="31.262868908716545"/>
    <n v="47.873848334514527"/>
    <n v="40.061219855983936"/>
    <n v="43.295019157088113"/>
    <n v="8.9640560624739525"/>
    <n v="84.473799457899304"/>
    <n v="51.972814581738824"/>
    <n v="10.023387096774194"/>
    <n v="-1.303387096774193"/>
    <n v="932"/>
    <n v="33"/>
    <s v="Open ended"/>
    <s v="NIFTY 500 - TRI"/>
    <n v="1000"/>
    <n v="1000"/>
  </r>
  <r>
    <x v="932"/>
    <x v="25"/>
    <n v="5.64"/>
    <n v="4.37"/>
    <n v="5.0999999999999996"/>
    <n v="1.04"/>
    <n v="64.403866809881833"/>
    <n v="27.179135209334255"/>
    <n v="35.046066619418845"/>
    <n v="38.557547234486066"/>
    <n v="64.750957854406124"/>
    <n v="19.619079508507909"/>
    <n v="66.01875749353087"/>
    <n v="51.971202454227281"/>
    <n v="5.1221052631578941"/>
    <n v="-2.2105263157894406E-2"/>
    <n v="933"/>
    <n v="53"/>
    <s v="Open ended"/>
    <s v="NIFTY Low Duration Debt Index"/>
    <n v="1000"/>
    <n v="1000"/>
  </r>
  <r>
    <x v="933"/>
    <x v="25"/>
    <n v="5.7"/>
    <n v="4.3899999999999997"/>
    <n v="5.0999999999999996"/>
    <n v="1.04"/>
    <n v="64.532760472610093"/>
    <n v="27.213452299245027"/>
    <n v="35.046066619418845"/>
    <n v="38.593621094004945"/>
    <n v="64.750957854406124"/>
    <n v="19.678862280879837"/>
    <n v="65.915210694365356"/>
    <n v="51.963352684195343"/>
    <n v="5.1221052631578941"/>
    <n v="-2.2105263157894406E-2"/>
    <n v="934"/>
    <n v="54"/>
    <s v="Open ended"/>
    <s v="NIFTY Low Duration Debt Index"/>
    <n v="1000"/>
    <n v="1000"/>
  </r>
  <r>
    <x v="934"/>
    <x v="30"/>
    <n v="3"/>
    <n v="6.84"/>
    <n v="5.95"/>
    <n v="1.37"/>
    <n v="58.732545649838876"/>
    <n v="31.417295813315032"/>
    <n v="38.058114812189935"/>
    <n v="40.200755280057251"/>
    <n v="52.107279693486589"/>
    <n v="14.245791431555398"/>
    <n v="75.325565446516677"/>
    <n v="51.958588925029446"/>
    <n v="6.1480952380952392"/>
    <n v="-0.19809523809523899"/>
    <n v="935"/>
    <n v="14"/>
    <s v="Open ended"/>
    <s v="Crisil Equity Savings Index"/>
    <n v="1000"/>
    <n v="1000"/>
  </r>
  <r>
    <x v="935"/>
    <x v="36"/>
    <n v="4.08"/>
    <n v="9.7100000000000009"/>
    <n v="8.59"/>
    <n v="1.8"/>
    <n v="61.05263157894737"/>
    <n v="36.341798215511332"/>
    <n v="47.413182140326008"/>
    <n v="46.819656850605881"/>
    <n v="35.632183908045967"/>
    <n v="12.377637150084132"/>
    <n v="78.561303578402246"/>
    <n v="51.958200296914995"/>
    <n v="5.7759259259259252"/>
    <n v="2.8140740740740746"/>
    <n v="936"/>
    <n v="5"/>
    <s v="Open ended"/>
    <s v="CRISIL Hybrid 85+15 - Conservative Index"/>
    <n v="5000"/>
    <n v="1000"/>
  </r>
  <r>
    <x v="936"/>
    <x v="25"/>
    <n v="5.41"/>
    <n v="4.4000000000000004"/>
    <n v="4.93"/>
    <n v="1.03"/>
    <n v="63.909774436090231"/>
    <n v="27.230610844200413"/>
    <n v="34.443656980864631"/>
    <n v="38.172966630910487"/>
    <n v="65.134099616858236"/>
    <n v="19.432108970530422"/>
    <n v="66.342599964826363"/>
    <n v="51.955658210876393"/>
    <n v="5.1221052631578941"/>
    <n v="-0.19210526315789433"/>
    <n v="937"/>
    <n v="55"/>
    <s v="Open ended"/>
    <s v="CRISIL Low Duration Debt Index"/>
    <n v="10000"/>
    <n v="10000"/>
  </r>
  <r>
    <x v="937"/>
    <x v="25"/>
    <n v="5.3"/>
    <n v="4.34"/>
    <n v="4.92"/>
    <n v="1.03"/>
    <n v="63.673469387755098"/>
    <n v="27.127659574468087"/>
    <n v="34.408221119773209"/>
    <n v="38.077102309778056"/>
    <n v="65.134099616858236"/>
    <n v="19.343636109026217"/>
    <n v="66.495839456042646"/>
    <n v="51.946035923114252"/>
    <n v="5.1221052631578941"/>
    <n v="-0.20210526315789412"/>
    <n v="938"/>
    <n v="56"/>
    <s v="Open ended"/>
    <s v="CRISIL Low Duration Debt Index"/>
    <n v="1000"/>
    <n v="1000"/>
  </r>
  <r>
    <x v="938"/>
    <x v="25"/>
    <n v="5.3"/>
    <n v="4.34"/>
    <n v="4.92"/>
    <n v="1.03"/>
    <n v="63.673469387755098"/>
    <n v="27.127659574468087"/>
    <n v="34.408221119773209"/>
    <n v="38.077102309778056"/>
    <n v="65.134099616858236"/>
    <n v="19.343636109026217"/>
    <n v="66.495839456042646"/>
    <n v="51.946035923114252"/>
    <n v="5.1221052631578941"/>
    <n v="-0.20210526315789412"/>
    <n v="938"/>
    <n v="56"/>
    <s v="Open ended"/>
    <s v="CRISIL Low Duration Debt Index"/>
    <n v="1000"/>
    <n v="1000"/>
  </r>
  <r>
    <x v="939"/>
    <x v="36"/>
    <n v="5.13"/>
    <n v="10.43"/>
    <n v="8.33"/>
    <n v="1.79"/>
    <n v="63.308270676691727"/>
    <n v="37.577213452299254"/>
    <n v="46.491849751948969"/>
    <n v="47.180743047002608"/>
    <n v="36.015325670498079"/>
    <n v="13.066178087962564"/>
    <n v="77.368715690905674"/>
    <n v="51.93638186385224"/>
    <n v="5.7759259259259252"/>
    <n v="2.5540740740740748"/>
    <n v="940"/>
    <n v="6"/>
    <s v="Open ended"/>
    <s v="NIFTY 50 Hybrid Composite Debt 15:85 Index"/>
    <n v="25000"/>
    <n v="1000"/>
  </r>
  <r>
    <x v="940"/>
    <x v="25"/>
    <n v="5.31"/>
    <n v="4.34"/>
    <n v="4.91"/>
    <n v="1.03"/>
    <n v="63.694951664876477"/>
    <n v="27.127659574468087"/>
    <n v="34.37278525868178"/>
    <n v="38.063680834656608"/>
    <n v="65.134099616858236"/>
    <n v="19.3625417570364"/>
    <n v="66.463093913138991"/>
    <n v="51.931138799827607"/>
    <n v="5.1221052631578941"/>
    <n v="-0.21210526315789391"/>
    <n v="941"/>
    <n v="58"/>
    <s v="Open ended"/>
    <s v="CRISIL Low Duration Debt Index"/>
    <n v="5000"/>
    <n v="1000"/>
  </r>
  <r>
    <x v="941"/>
    <x v="23"/>
    <n v="3.21"/>
    <n v="17.22"/>
    <n v="9.3800000000000008"/>
    <n v="2.37"/>
    <n v="59.183673469387756"/>
    <n v="49.227865477007555"/>
    <n v="50.212615166548545"/>
    <n v="51.71140192025409"/>
    <n v="13.793103448275845"/>
    <n v="5.4858565390941596"/>
    <n v="90.498217751254955"/>
    <n v="51.928531260009748"/>
    <n v="10.023387096774194"/>
    <n v="-0.64338709677419281"/>
    <n v="942"/>
    <n v="34"/>
    <s v="Open ended"/>
    <s v="NIFTY 500 - TRI"/>
    <n v="1000"/>
    <n v="1000"/>
  </r>
  <r>
    <x v="942"/>
    <x v="23"/>
    <n v="3.2"/>
    <n v="17.21"/>
    <n v="9.3800000000000008"/>
    <n v="2.37"/>
    <n v="59.162191192266377"/>
    <n v="49.210706932052169"/>
    <n v="50.212615166548545"/>
    <n v="51.701957901343199"/>
    <n v="13.793103448275845"/>
    <n v="5.4792148180152322"/>
    <n v="90.50972154961336"/>
    <n v="51.926685200143901"/>
    <n v="10.023387096774194"/>
    <n v="-0.64338709677419281"/>
    <n v="943"/>
    <n v="35"/>
    <s v="Open ended"/>
    <s v="NIFTY 500 - TRI"/>
    <n v="1000"/>
    <n v="1000"/>
  </r>
  <r>
    <x v="943"/>
    <x v="25"/>
    <n v="5.69"/>
    <n v="4.3"/>
    <n v="5.0999999999999996"/>
    <n v="1.04"/>
    <n v="64.511278195488714"/>
    <n v="27.05902539464654"/>
    <n v="35.046066619418845"/>
    <n v="38.542996567201129"/>
    <n v="64.750957854406124"/>
    <n v="19.725882999276884"/>
    <n v="65.833768421093282"/>
    <n v="51.917679852475416"/>
    <n v="5.1221052631578941"/>
    <n v="-2.2105263157894406E-2"/>
    <n v="944"/>
    <n v="59"/>
    <s v="Open ended"/>
    <s v="NIFTY Low Duration Debt Index"/>
    <n v="1000"/>
    <n v="1000"/>
  </r>
  <r>
    <x v="944"/>
    <x v="34"/>
    <n v="4.51"/>
    <n v="10.47"/>
    <n v="8.11"/>
    <n v="1.79"/>
    <n v="61.97636949516648"/>
    <n v="37.645847632120798"/>
    <n v="45.712260807937625"/>
    <n v="46.545158592638344"/>
    <n v="36.015325670498079"/>
    <n v="12.393294874253096"/>
    <n v="78.534183604610689"/>
    <n v="51.909956615096362"/>
    <n v="7.9378947368421047"/>
    <n v="0.17210526315789476"/>
    <n v="945"/>
    <n v="6"/>
    <s v="Open ended"/>
    <s v="CRISIL Hybrid 50+50 - Moderate Index"/>
    <n v="1000"/>
    <n v="1000"/>
  </r>
  <r>
    <x v="945"/>
    <x v="12"/>
    <n v="7"/>
    <n v="13.33"/>
    <n v="8.8000000000000007"/>
    <n v="1.96"/>
    <n v="67.325456498388832"/>
    <n v="42.553191489361708"/>
    <n v="48.157335223245923"/>
    <n v="50.309716358109242"/>
    <n v="29.501915708812266"/>
    <n v="12.990306731598562"/>
    <n v="77.500128734967291"/>
    <n v="51.905369289999513"/>
    <n v="9.219019607843137"/>
    <n v="-0.4190196078431363"/>
    <n v="946"/>
    <n v="24"/>
    <s v="Open ended"/>
    <s v="CRISIL Hybrid 35+65 - Aggressive Index"/>
    <n v="5000"/>
    <n v="1000"/>
  </r>
  <r>
    <x v="946"/>
    <x v="15"/>
    <n v="4.3099999999999996"/>
    <n v="3.16"/>
    <n v="4.59"/>
    <n v="0.96"/>
    <n v="61.546723952738994"/>
    <n v="25.102951269732333"/>
    <n v="33.238837703756197"/>
    <n v="36.459649023345598"/>
    <n v="67.81609195402298"/>
    <n v="19.129722246299281"/>
    <n v="66.866349134729006"/>
    <n v="51.900434783860796"/>
    <n v="5.2086538461538465"/>
    <n v="-0.61865384615384666"/>
    <n v="947"/>
    <n v="28"/>
    <s v="Open ended"/>
    <s v=""/>
    <n v="1000"/>
    <n v="1000"/>
  </r>
  <r>
    <x v="947"/>
    <x v="19"/>
    <n v="15.76"/>
    <n v="20.55"/>
    <n v="10.130000000000001"/>
    <n v="2.2200000000000002"/>
    <n v="86.143931256713202"/>
    <n v="54.941660947151696"/>
    <n v="52.870304748405381"/>
    <n v="60.146436909690834"/>
    <n v="19.540229885057457"/>
    <n v="18.641380537160657"/>
    <n v="67.712181786412131"/>
    <n v="51.886321372712814"/>
    <n v="9.4014285714285712"/>
    <n v="0.72857142857142954"/>
    <n v="948"/>
    <n v="13"/>
    <s v="Open ended"/>
    <s v="S&amp;P BSE India Infrastructure Index - TRI"/>
    <n v="1000"/>
    <n v="1000"/>
  </r>
  <r>
    <x v="948"/>
    <x v="50"/>
    <n v="4.07"/>
    <n v="2.5299999999999998"/>
    <n v="5.08"/>
    <n v="0.99"/>
    <n v="61.031149301825991"/>
    <n v="24.021962937542902"/>
    <n v="34.975194897236001"/>
    <n v="36.900416190246069"/>
    <n v="66.666666666666657"/>
    <n v="19.01125072881473"/>
    <n v="67.071547822262033"/>
    <n v="51.884761717355211"/>
    <n v="4.3111111111111109"/>
    <n v="0.76888888888888918"/>
    <n v="949"/>
    <n v="3"/>
    <s v="Open ended"/>
    <s v="Nifty All Duration G-Sec Index"/>
    <n v="5000"/>
    <n v="1000"/>
  </r>
  <r>
    <x v="949"/>
    <x v="30"/>
    <n v="2.21"/>
    <n v="8.9600000000000009"/>
    <n v="6.4"/>
    <n v="1.58"/>
    <n v="57.035445757250272"/>
    <n v="35.054907343857245"/>
    <n v="39.652728561304038"/>
    <n v="41.749925635259245"/>
    <n v="44.061302681992331"/>
    <n v="11.593409665297603"/>
    <n v="79.91962542674446"/>
    <n v="51.870194844813824"/>
    <n v="6.1480952380952392"/>
    <n v="0.25190476190476119"/>
    <n v="950"/>
    <n v="15"/>
    <s v="Open ended"/>
    <s v="NIFTY 50 Equity Savings Index"/>
    <n v="5000"/>
    <n v="1000"/>
  </r>
  <r>
    <x v="950"/>
    <x v="19"/>
    <n v="7.36"/>
    <n v="23.07"/>
    <n v="9.7799999999999994"/>
    <n v="2.54"/>
    <n v="68.098818474758318"/>
    <n v="59.265614275909407"/>
    <n v="51.630049610205518"/>
    <n v="57.214472782827244"/>
    <n v="7.2796934865900331"/>
    <n v="8.2416391178855868"/>
    <n v="85.725062310175019"/>
    <n v="51.858425340604882"/>
    <n v="9.4014285714285712"/>
    <n v="0.37857142857142811"/>
    <n v="951"/>
    <n v="14"/>
    <s v="Open ended"/>
    <s v=""/>
    <n v="5000"/>
    <n v="1000"/>
  </r>
  <r>
    <x v="951"/>
    <x v="50"/>
    <n v="4.2"/>
    <n v="1.92"/>
    <n v="4.97"/>
    <n v="0.94"/>
    <n v="61.310418904403861"/>
    <n v="22.975291695264243"/>
    <n v="34.585400425230326"/>
    <n v="36.447371502075207"/>
    <n v="68.582375478927204"/>
    <n v="19.657921285386536"/>
    <n v="65.951481562520826"/>
    <n v="51.857150011399611"/>
    <n v="4.3111111111111109"/>
    <n v="0.65888888888888886"/>
    <n v="952"/>
    <n v="4"/>
    <s v="Open ended"/>
    <s v="Nifty All Duration G-Sec Index"/>
    <n v="1000"/>
    <n v="1000"/>
  </r>
  <r>
    <x v="952"/>
    <x v="30"/>
    <n v="3.78"/>
    <n v="7.84"/>
    <n v="6.25"/>
    <n v="1.45"/>
    <n v="60.408163265306115"/>
    <n v="33.133150308853807"/>
    <n v="39.121190644932668"/>
    <n v="41.5821730681837"/>
    <n v="49.042145593869726"/>
    <n v="14.334795441987056"/>
    <n v="75.171405978371666"/>
    <n v="51.8444744271522"/>
    <n v="6.1480952380952392"/>
    <n v="0.10190476190476083"/>
    <n v="953"/>
    <n v="16"/>
    <s v="Open ended"/>
    <s v="NIFTY 50 Equity Savings Index - TRI"/>
    <n v="1000"/>
    <n v="1000"/>
  </r>
  <r>
    <x v="953"/>
    <x v="38"/>
    <n v="4.82"/>
    <n v="3.93"/>
    <n v="4.47"/>
    <n v="0.98"/>
    <n v="62.642320085929107"/>
    <n v="26.424159231297189"/>
    <n v="32.813607370659106"/>
    <n v="36.86251547190453"/>
    <n v="67.049808429118769"/>
    <n v="19.331892153760226"/>
    <n v="66.516180583245159"/>
    <n v="51.822754989043247"/>
    <n v="4.625"/>
    <n v="-0.15500000000000025"/>
    <n v="954"/>
    <n v="22"/>
    <s v="Open ended"/>
    <s v="CRISIL Dynamic Debt Index"/>
    <n v="5000"/>
    <n v="1000"/>
  </r>
  <r>
    <x v="954"/>
    <x v="38"/>
    <n v="4.82"/>
    <n v="3.93"/>
    <n v="4.47"/>
    <n v="0.98"/>
    <n v="62.642320085929107"/>
    <n v="26.424159231297189"/>
    <n v="32.813607370659106"/>
    <n v="36.86251547190453"/>
    <n v="67.049808429118769"/>
    <n v="19.331892153760226"/>
    <n v="66.516180583245159"/>
    <n v="51.822754989043247"/>
    <n v="4.625"/>
    <n v="-0.15500000000000025"/>
    <n v="954"/>
    <n v="22"/>
    <s v="Open ended"/>
    <s v="CRISIL Dynamic Debt Index"/>
    <n v="5000"/>
    <n v="1000"/>
  </r>
  <r>
    <x v="955"/>
    <x v="51"/>
    <n v="4.92"/>
    <n v="8.0399999999999991"/>
    <n v="11.37"/>
    <n v="1.9"/>
    <n v="62.857142857142854"/>
    <n v="33.476321207961568"/>
    <n v="57.264351523742022"/>
    <n v="51.246500695688056"/>
    <n v="31.800766283524908"/>
    <n v="15.601187892723923"/>
    <n v="72.977949911373742"/>
    <n v="51.817929396568687"/>
    <n v="8.7813636363636363"/>
    <n v="2.588636363636363"/>
    <n v="956"/>
    <n v="3"/>
    <s v="Open ended"/>
    <s v="Nifty Financial Services - TRI"/>
    <n v="5000"/>
    <n v="1000"/>
  </r>
  <r>
    <x v="956"/>
    <x v="46"/>
    <n v="4.3099999999999996"/>
    <n v="4.07"/>
    <n v="4.59"/>
    <n v="1.02"/>
    <n v="61.546723952738994"/>
    <n v="26.66437886067262"/>
    <n v="33.238837703756197"/>
    <n v="36.928077300627677"/>
    <n v="65.517241379310349"/>
    <n v="18.535272374973598"/>
    <n v="67.895966514417879"/>
    <n v="51.817340623745892"/>
    <n v="4.4820000000000002"/>
    <n v="0.10799999999999965"/>
    <n v="957"/>
    <n v="16"/>
    <s v="Open ended"/>
    <s v="Nifty 50 Arbitrage"/>
    <n v="5000"/>
    <n v="1000"/>
  </r>
  <r>
    <x v="957"/>
    <x v="46"/>
    <n v="3.9"/>
    <n v="3.96"/>
    <n v="4.53"/>
    <n v="1.02"/>
    <n v="60.66595059076262"/>
    <n v="26.475634866163354"/>
    <n v="33.026222537207651"/>
    <n v="36.588991846605353"/>
    <n v="65.517241379310349"/>
    <n v="18.146819992578546"/>
    <n v="68.568785777047282"/>
    <n v="51.816002712392084"/>
    <n v="4.4820000000000002"/>
    <n v="4.8000000000000043E-2"/>
    <n v="958"/>
    <n v="17"/>
    <s v="Open ended"/>
    <s v="Nifty 50 Arbitrage"/>
    <n v="5000"/>
    <n v="1000"/>
  </r>
  <r>
    <x v="958"/>
    <x v="51"/>
    <n v="4.92"/>
    <n v="8.0399999999999991"/>
    <n v="11.36"/>
    <n v="1.9"/>
    <n v="62.857142857142854"/>
    <n v="33.476321207961568"/>
    <n v="57.228915662650607"/>
    <n v="51.228782765142341"/>
    <n v="31.800766283524908"/>
    <n v="15.594311812659695"/>
    <n v="72.989859631401885"/>
    <n v="51.812047861302872"/>
    <n v="8.7813636363636363"/>
    <n v="2.5786363636363632"/>
    <n v="959"/>
    <n v="4"/>
    <s v="Open ended"/>
    <s v="Nifty Financial Services - TRI"/>
    <n v="5000"/>
    <n v="1000"/>
  </r>
  <r>
    <x v="959"/>
    <x v="12"/>
    <n v="6.62"/>
    <n v="13.42"/>
    <n v="8.57"/>
    <n v="1.96"/>
    <n v="66.509129967776587"/>
    <n v="42.707618393960203"/>
    <n v="47.342310418143157"/>
    <n v="49.78526672081496"/>
    <n v="29.501915708812266"/>
    <n v="12.618500274106472"/>
    <n v="78.144116409925786"/>
    <n v="51.804141390091999"/>
    <n v="9.219019607843137"/>
    <n v="-0.64901960784313673"/>
    <n v="960"/>
    <n v="25"/>
    <s v="Open ended"/>
    <s v="CRISIL Hybrid 35+65 - Aggressive Index"/>
    <n v="5000"/>
    <n v="1000"/>
  </r>
  <r>
    <x v="960"/>
    <x v="26"/>
    <n v="5.29"/>
    <n v="4.37"/>
    <n v="3.99"/>
    <n v="0.93"/>
    <n v="63.651987110633726"/>
    <n v="27.179135209334255"/>
    <n v="31.112686038270731"/>
    <n v="36.440481004062391"/>
    <n v="68.965517241379317"/>
    <n v="20.018940457376171"/>
    <n v="65.326178014128331"/>
    <n v="51.793164315908115"/>
    <n v="4.4728846153846158"/>
    <n v="-0.48288461538461558"/>
    <n v="961"/>
    <n v="47"/>
    <s v="Open ended"/>
    <s v="Nifty Money Market Index"/>
    <n v="1000"/>
    <n v="1000"/>
  </r>
  <r>
    <x v="961"/>
    <x v="46"/>
    <n v="4.42"/>
    <n v="4.03"/>
    <n v="4.8499999999999996"/>
    <n v="1.05"/>
    <n v="61.783029001074105"/>
    <n v="26.59574468085107"/>
    <n v="34.160170092133235"/>
    <n v="37.415414250536756"/>
    <n v="64.367816091954026"/>
    <n v="18.522004228926917"/>
    <n v="67.918947617492961"/>
    <n v="51.779398052630128"/>
    <n v="4.4820000000000002"/>
    <n v="0.36799999999999944"/>
    <n v="962"/>
    <n v="18"/>
    <s v="Open ended"/>
    <s v="Nifty 50 Arbitrage"/>
    <n v="1000"/>
    <n v="1000"/>
  </r>
  <r>
    <x v="962"/>
    <x v="22"/>
    <n v="16.73"/>
    <n v="20.65"/>
    <n v="10.029999999999999"/>
    <n v="2.19"/>
    <n v="88.227712137486563"/>
    <n v="55.113246396705563"/>
    <n v="52.515946137491134"/>
    <n v="60.437489415254547"/>
    <n v="20.68965517241379"/>
    <n v="19.91081800082685"/>
    <n v="65.513451602310909"/>
    <n v="51.769521401308445"/>
    <n v="9.83"/>
    <n v="0.19999999999999929"/>
    <n v="963"/>
    <n v="15"/>
    <s v="Open ended"/>
    <s v="NIFTY 500 - TRI"/>
    <n v="1000"/>
    <n v="1000"/>
  </r>
  <r>
    <x v="963"/>
    <x v="50"/>
    <n v="7.24"/>
    <n v="4.53"/>
    <n v="5.69"/>
    <n v="1.0900000000000001"/>
    <n v="67.841031149301827"/>
    <n v="27.453671928620459"/>
    <n v="37.136782423812896"/>
    <n v="40.372699020352954"/>
    <n v="62.835249042145591"/>
    <n v="21.0857467794367"/>
    <n v="63.478415262483807"/>
    <n v="51.764765586333823"/>
    <n v="4.3111111111111109"/>
    <n v="1.3788888888888895"/>
    <n v="964"/>
    <n v="5"/>
    <s v="Open ended"/>
    <s v="CRISIL Dynamic Gilt Index"/>
    <n v="5000"/>
    <n v="5000"/>
  </r>
  <r>
    <x v="964"/>
    <x v="50"/>
    <n v="7.24"/>
    <n v="4.53"/>
    <n v="5.69"/>
    <n v="1.0900000000000001"/>
    <n v="67.841031149301827"/>
    <n v="27.453671928620459"/>
    <n v="37.136782423812896"/>
    <n v="40.372699020352954"/>
    <n v="62.835249042145591"/>
    <n v="21.0857467794367"/>
    <n v="63.478415262483807"/>
    <n v="51.764765586333823"/>
    <n v="4.3111111111111109"/>
    <n v="1.3788888888888895"/>
    <n v="964"/>
    <n v="5"/>
    <s v="Open ended"/>
    <s v="CRISIL Dynamic Gilt Index"/>
    <n v="5000"/>
    <n v="5000"/>
  </r>
  <r>
    <x v="965"/>
    <x v="46"/>
    <n v="5.4"/>
    <n v="4.34"/>
    <n v="4.9400000000000004"/>
    <n v="1.05"/>
    <n v="63.888292158968852"/>
    <n v="27.127659574468087"/>
    <n v="34.47909284195606"/>
    <n v="38.155502725112228"/>
    <n v="64.367816091954026"/>
    <n v="19.452029386702279"/>
    <n v="66.308096791908781"/>
    <n v="51.746729583521812"/>
    <n v="4.4820000000000002"/>
    <n v="0.45800000000000018"/>
    <n v="966"/>
    <n v="19"/>
    <s v="Open ended"/>
    <s v="Nifty 50 Arbitrage"/>
    <n v="1000"/>
    <n v="1000"/>
  </r>
  <r>
    <x v="966"/>
    <x v="37"/>
    <n v="5.35"/>
    <n v="11.88"/>
    <n v="6.75"/>
    <n v="1.69"/>
    <n v="63.780880773361972"/>
    <n v="40.065202470830478"/>
    <n v="40.892983699503894"/>
    <n v="45.22222874567349"/>
    <n v="39.846743295019159"/>
    <n v="13.459658561637863"/>
    <n v="76.687187518713785"/>
    <n v="51.744597076269983"/>
    <n v="7.1099999999999994"/>
    <n v="-0.35999999999999943"/>
    <n v="967"/>
    <n v="2"/>
    <s v="Open ended"/>
    <s v="CRISIL Short Term Debt Hybrid 60+40 Fund Index"/>
    <n v="1000"/>
    <n v="1000"/>
  </r>
  <r>
    <x v="967"/>
    <x v="26"/>
    <n v="5.3"/>
    <n v="4.37"/>
    <n v="3.95"/>
    <n v="0.93"/>
    <n v="63.673469387755098"/>
    <n v="27.179135209334255"/>
    <n v="30.970942593905026"/>
    <n v="36.373905737303808"/>
    <n v="68.965517241379317"/>
    <n v="20.065183316175737"/>
    <n v="65.24608303320025"/>
    <n v="51.739852937296796"/>
    <n v="4.4728846153846158"/>
    <n v="-0.52288461538461561"/>
    <n v="968"/>
    <n v="48"/>
    <s v="Open ended"/>
    <s v="Nifty Money Market Index"/>
    <n v="1000"/>
    <n v="1000"/>
  </r>
  <r>
    <x v="968"/>
    <x v="10"/>
    <n v="5.99"/>
    <n v="13.22"/>
    <n v="9.86"/>
    <n v="2.12"/>
    <n v="65.155746509129969"/>
    <n v="42.364447494852442"/>
    <n v="51.913536498936921"/>
    <n v="51.697251799750191"/>
    <n v="23.371647509578541"/>
    <n v="11.445410561444792"/>
    <n v="80.175967394092197"/>
    <n v="51.735529625792779"/>
    <n v="10.563571428571427"/>
    <n v="-0.7035714285714274"/>
    <n v="969"/>
    <n v="6"/>
    <s v="Open ended"/>
    <s v=""/>
    <n v="1000"/>
    <n v="1000"/>
  </r>
  <r>
    <x v="969"/>
    <x v="12"/>
    <n v="2.85"/>
    <n v="13.09"/>
    <n v="8.49"/>
    <n v="2.06"/>
    <n v="58.410311493018256"/>
    <n v="42.141386410432403"/>
    <n v="47.058823529411761"/>
    <n v="47.853889986439256"/>
    <n v="25.670498084291182"/>
    <n v="8.3438139775306013"/>
    <n v="85.548090262013631"/>
    <n v="51.731592079795831"/>
    <n v="9.219019607843137"/>
    <n v="-0.7290196078431368"/>
    <n v="970"/>
    <n v="26"/>
    <s v="Open ended"/>
    <s v="CRISIL Hybrid 35+65 - Aggressive Index"/>
    <n v="1000"/>
    <n v="1000"/>
  </r>
  <r>
    <x v="970"/>
    <x v="50"/>
    <n v="4.2"/>
    <n v="1.92"/>
    <n v="4.84"/>
    <n v="0.94"/>
    <n v="61.310418904403861"/>
    <n v="22.975291695264243"/>
    <n v="34.124734231041806"/>
    <n v="36.217038404980947"/>
    <n v="68.582375478927204"/>
    <n v="19.718660781769618"/>
    <n v="65.846277668759186"/>
    <n v="51.715682489412075"/>
    <n v="4.3111111111111109"/>
    <n v="0.52888888888888896"/>
    <n v="971"/>
    <n v="7"/>
    <s v="Open ended"/>
    <s v="Nifty All Duration G-Sec Index"/>
    <n v="1000"/>
    <n v="1000"/>
  </r>
  <r>
    <x v="971"/>
    <x v="13"/>
    <n v="-0.03"/>
    <n v="10.61"/>
    <n v="7.6"/>
    <n v="1.9"/>
    <n v="52.223415682062289"/>
    <n v="37.886067261496223"/>
    <n v="43.905031892274977"/>
    <n v="43.76301926099881"/>
    <n v="31.800766283524908"/>
    <n v="7.1993402919233995"/>
    <n v="87.530376833410912"/>
    <n v="51.71429540973336"/>
    <n v="10.461"/>
    <n v="-2.8610000000000007"/>
    <n v="972"/>
    <n v="29"/>
    <s v="Open ended"/>
    <s v="S&amp;P BSE 500 - TRI"/>
    <n v="1000"/>
    <n v="1000"/>
  </r>
  <r>
    <x v="972"/>
    <x v="11"/>
    <n v="4.16"/>
    <n v="13.46"/>
    <n v="6.89"/>
    <n v="1.83"/>
    <n v="61.224489795918366"/>
    <n v="42.776252573781747"/>
    <n v="41.389085754783835"/>
    <n v="45.772316608710113"/>
    <n v="34.482758620689658"/>
    <n v="11.073278209748999"/>
    <n v="80.820519534369396"/>
    <n v="51.711977843119818"/>
    <n v="11.362272727272726"/>
    <n v="-4.4722727272727267"/>
    <n v="973"/>
    <n v="38"/>
    <s v="Open ended"/>
    <s v="Nifty Midcap 150 - TRI"/>
    <n v="5000"/>
    <n v="1000"/>
  </r>
  <r>
    <x v="973"/>
    <x v="46"/>
    <n v="4.6399999999999997"/>
    <n v="4.26"/>
    <n v="4.99"/>
    <n v="1.08"/>
    <n v="62.25563909774435"/>
    <n v="26.990391214824989"/>
    <n v="34.656272147413183"/>
    <n v="37.87638125770296"/>
    <n v="63.218390804597703"/>
    <n v="18.547814313171784"/>
    <n v="67.874243240233227"/>
    <n v="51.711349140059212"/>
    <n v="4.4820000000000002"/>
    <n v="0.50800000000000001"/>
    <n v="974"/>
    <n v="20"/>
    <s v="Open ended"/>
    <s v="Nifty 50 Arbitrage"/>
    <n v="5000"/>
    <n v="1000"/>
  </r>
  <r>
    <x v="974"/>
    <x v="46"/>
    <n v="4.47"/>
    <n v="4.04"/>
    <n v="4.8"/>
    <n v="1.05"/>
    <n v="61.890440386680993"/>
    <n v="26.612903225806456"/>
    <n v="33.982990786676112"/>
    <n v="37.353454438416193"/>
    <n v="64.367816091954026"/>
    <n v="18.608459375458704"/>
    <n v="67.769202911124097"/>
    <n v="51.710981969977631"/>
    <n v="4.4820000000000002"/>
    <n v="0.31799999999999962"/>
    <n v="975"/>
    <n v="21"/>
    <s v="Open ended"/>
    <s v="Nifty 50 Arbitrage"/>
    <n v="1000"/>
    <n v="1000"/>
  </r>
  <r>
    <x v="975"/>
    <x v="46"/>
    <n v="4.54"/>
    <n v="3.68"/>
    <n v="4.49"/>
    <n v="0.99"/>
    <n v="62.04081632653061"/>
    <n v="25.995195607412498"/>
    <n v="32.884479092841957"/>
    <n v="36.64896149395085"/>
    <n v="66.666666666666657"/>
    <n v="19.134789437277622"/>
    <n v="66.857572502502876"/>
    <n v="51.705540539267808"/>
    <n v="4.4820000000000002"/>
    <n v="8.0000000000000071E-3"/>
    <n v="976"/>
    <n v="22"/>
    <s v="Open ended"/>
    <s v="Nifty 50 Arbitrage"/>
    <n v="1000"/>
    <n v="1000"/>
  </r>
  <r>
    <x v="976"/>
    <x v="26"/>
    <n v="5.3"/>
    <n v="4.37"/>
    <n v="3.92"/>
    <n v="0.93"/>
    <n v="63.673469387755098"/>
    <n v="27.179135209334255"/>
    <n v="30.86463501063076"/>
    <n v="36.320751945666679"/>
    <n v="68.965517241379317"/>
    <n v="20.09078955266645"/>
    <n v="65.201731730607719"/>
    <n v="51.702188215830098"/>
    <n v="4.4728846153846158"/>
    <n v="-0.55288461538461586"/>
    <n v="977"/>
    <n v="49"/>
    <s v="Open ended"/>
    <s v="Nifty Money Market Index"/>
    <n v="1000"/>
    <n v="1000"/>
  </r>
  <r>
    <x v="977"/>
    <x v="26"/>
    <n v="5.33"/>
    <n v="4.3600000000000003"/>
    <n v="3.93"/>
    <n v="0.93"/>
    <n v="63.737916219119214"/>
    <n v="27.161976664378862"/>
    <n v="30.900070871722185"/>
    <n v="36.3462116789986"/>
    <n v="68.965517241379317"/>
    <n v="20.125012586640199"/>
    <n v="65.142455696976015"/>
    <n v="51.700099074088129"/>
    <n v="4.4728846153846158"/>
    <n v="-0.54288461538461563"/>
    <n v="978"/>
    <n v="50"/>
    <s v="Open ended"/>
    <s v="Nifty Money Market Index"/>
    <n v="1000"/>
    <n v="1000"/>
  </r>
  <r>
    <x v="978"/>
    <x v="30"/>
    <n v="2.2200000000000002"/>
    <n v="8.9600000000000009"/>
    <n v="6.24"/>
    <n v="1.58"/>
    <n v="57.056928034371637"/>
    <n v="35.054907343857245"/>
    <n v="39.085754783841239"/>
    <n v="41.470735201952124"/>
    <n v="44.061302681992331"/>
    <n v="11.713949757666626"/>
    <n v="79.710843862412261"/>
    <n v="51.67840423707721"/>
    <n v="6.1480952380952392"/>
    <n v="9.1904761904761045E-2"/>
    <n v="979"/>
    <n v="17"/>
    <s v="Open ended"/>
    <s v="NIFTY 50 Equity Savings Index"/>
    <n v="5000"/>
    <n v="1000"/>
  </r>
  <r>
    <x v="979"/>
    <x v="50"/>
    <n v="6.36"/>
    <n v="3.84"/>
    <n v="4.45"/>
    <n v="0.94"/>
    <n v="65.950590762620848"/>
    <n v="26.269732326698701"/>
    <n v="32.742735648476256"/>
    <n v="37.442405674771905"/>
    <n v="68.582375478927204"/>
    <n v="21.288619571253932"/>
    <n v="63.12702927958302"/>
    <n v="51.64855402701351"/>
    <n v="4.3111111111111109"/>
    <n v="0.13888888888888928"/>
    <n v="980"/>
    <n v="8"/>
    <s v="Open ended"/>
    <s v="CRISIL Dynamic Gilt Index"/>
    <n v="20000"/>
    <n v="1000"/>
  </r>
  <r>
    <x v="980"/>
    <x v="50"/>
    <n v="6.36"/>
    <n v="3.84"/>
    <n v="4.45"/>
    <n v="0.94"/>
    <n v="65.950590762620848"/>
    <n v="26.269732326698701"/>
    <n v="32.742735648476256"/>
    <n v="37.442405674771905"/>
    <n v="68.582375478927204"/>
    <n v="21.288619571253932"/>
    <n v="63.12702927958302"/>
    <n v="51.64855402701351"/>
    <n v="4.3111111111111109"/>
    <n v="0.13888888888888928"/>
    <n v="980"/>
    <n v="8"/>
    <s v="Open ended"/>
    <s v="CRISIL Dynamic Gilt Index"/>
    <n v="1000"/>
    <n v="1000"/>
  </r>
  <r>
    <x v="981"/>
    <x v="36"/>
    <n v="2.77"/>
    <n v="6.21"/>
    <n v="4.62"/>
    <n v="1.21"/>
    <n v="58.238453276047252"/>
    <n v="30.336307481125601"/>
    <n v="33.345145287030476"/>
    <n v="37.421155543062369"/>
    <n v="58.237547892720308"/>
    <n v="15.314805622552276"/>
    <n v="73.473978553697947"/>
    <n v="51.638459383135746"/>
    <n v="5.7759259259259252"/>
    <n v="-1.1559259259259251"/>
    <n v="982"/>
    <n v="7"/>
    <s v="Open ended"/>
    <s v="CRISIL Hybrid 85+15 - Conservative Index"/>
    <n v="1000"/>
    <n v="1000"/>
  </r>
  <r>
    <x v="982"/>
    <x v="29"/>
    <n v="4.09"/>
    <n v="3.28"/>
    <n v="4.46"/>
    <n v="0.99"/>
    <n v="61.074113856068735"/>
    <n v="25.308853809196986"/>
    <n v="32.778171509567677"/>
    <n v="36.196564668756679"/>
    <n v="66.666666666666657"/>
    <n v="18.866217101854943"/>
    <n v="67.322753432962372"/>
    <n v="51.595637359285597"/>
    <n v="5.0554237288135591"/>
    <n v="-0.59542372881355909"/>
    <n v="983"/>
    <n v="57"/>
    <s v="Open ended"/>
    <s v="CRISIL Corporate Bond Index"/>
    <n v="5000"/>
    <n v="1000"/>
  </r>
  <r>
    <x v="983"/>
    <x v="10"/>
    <n v="3.85"/>
    <n v="9.68"/>
    <n v="7.97"/>
    <n v="1.78"/>
    <n v="60.558539205155746"/>
    <n v="36.29032258064516"/>
    <n v="45.216158752657684"/>
    <n v="45.606883991553545"/>
    <n v="36.398467432950184"/>
    <n v="12.274672619211845"/>
    <n v="78.73964337725053"/>
    <n v="51.587969698326951"/>
    <n v="10.563571428571427"/>
    <n v="-2.5935714285714271"/>
    <n v="984"/>
    <n v="7"/>
    <s v="Open ended"/>
    <s v=""/>
    <n v="5000"/>
    <n v="1000"/>
  </r>
  <r>
    <x v="984"/>
    <x v="31"/>
    <n v="6.12"/>
    <n v="4.4400000000000004"/>
    <n v="4.3099999999999996"/>
    <n v="0.97"/>
    <n v="65.435016111707839"/>
    <n v="27.299245024021968"/>
    <n v="32.246633593196314"/>
    <n v="37.400093526146321"/>
    <n v="67.432950191570868"/>
    <n v="20.737576298038526"/>
    <n v="64.081464225961156"/>
    <n v="51.578650367456163"/>
    <n v="5.2778260869565221"/>
    <n v="-0.9678260869565225"/>
    <n v="985"/>
    <n v="19"/>
    <s v="Open ended"/>
    <s v="CRISIL Low Duration Debt Index"/>
    <n v="1000"/>
    <n v="1000"/>
  </r>
  <r>
    <x v="985"/>
    <x v="10"/>
    <n v="3.85"/>
    <n v="9.7200000000000006"/>
    <n v="7.93"/>
    <n v="1.78"/>
    <n v="60.558539205155746"/>
    <n v="36.358956760466718"/>
    <n v="45.074415308291989"/>
    <n v="45.55660252331716"/>
    <n v="36.398467432950184"/>
    <n v="12.256543157633459"/>
    <n v="78.771044525818169"/>
    <n v="51.570679251350668"/>
    <n v="10.563571428571427"/>
    <n v="-2.6335714285714271"/>
    <n v="986"/>
    <n v="8"/>
    <s v="Open ended"/>
    <s v=""/>
    <n v="5000"/>
    <n v="1000"/>
  </r>
  <r>
    <x v="986"/>
    <x v="44"/>
    <n v="4.93"/>
    <n v="12.87"/>
    <n v="9.0299999999999994"/>
    <n v="2.06"/>
    <n v="62.878625134264233"/>
    <n v="41.76389842141387"/>
    <n v="48.972360028348682"/>
    <n v="49.591074567451344"/>
    <n v="25.670498084291182"/>
    <n v="10.732954020934889"/>
    <n v="81.409978320440104"/>
    <n v="51.565656384908493"/>
    <n v="11.035555555555554"/>
    <n v="-2.0055555555555546"/>
    <n v="987"/>
    <n v="9"/>
    <s v="Open ended"/>
    <s v="Nifty India Consumption - TRI"/>
    <n v="5000"/>
    <n v="1000"/>
  </r>
  <r>
    <x v="987"/>
    <x v="46"/>
    <n v="4.46"/>
    <n v="3.85"/>
    <n v="4.76"/>
    <n v="1.05"/>
    <n v="61.868958109559614"/>
    <n v="26.286890871654091"/>
    <n v="33.841247342310417"/>
    <n v="37.180482554563355"/>
    <n v="64.367816091954026"/>
    <n v="18.74701923622861"/>
    <n v="67.529210192380958"/>
    <n v="51.56449784836542"/>
    <n v="4.4820000000000002"/>
    <n v="0.27799999999999958"/>
    <n v="988"/>
    <n v="23"/>
    <s v="Open ended"/>
    <s v="Nifty 50 Arbitrage"/>
    <n v="1000"/>
    <n v="1000"/>
  </r>
  <r>
    <x v="988"/>
    <x v="46"/>
    <n v="4.17"/>
    <n v="3.76"/>
    <n v="4.55"/>
    <n v="1.03"/>
    <n v="61.245972073039731"/>
    <n v="26.132463967055596"/>
    <n v="33.097094259390502"/>
    <n v="36.637480734419881"/>
    <n v="65.134099616858236"/>
    <n v="18.591323463673749"/>
    <n v="67.798883180969668"/>
    <n v="51.551986066666913"/>
    <n v="4.4820000000000002"/>
    <n v="6.7999999999999616E-2"/>
    <n v="989"/>
    <n v="24"/>
    <s v="Open ended"/>
    <s v="Nifty 50 Arbitrage"/>
    <n v="5000"/>
    <n v="1000"/>
  </r>
  <r>
    <x v="989"/>
    <x v="10"/>
    <n v="3.85"/>
    <n v="9.7200000000000006"/>
    <n v="7.89"/>
    <n v="1.78"/>
    <n v="60.558539205155746"/>
    <n v="36.358956760466718"/>
    <n v="44.932671863926288"/>
    <n v="45.485730801134309"/>
    <n v="36.398467432950184"/>
    <n v="12.269855414376961"/>
    <n v="78.747987020775028"/>
    <n v="51.529479013998454"/>
    <n v="10.563571428571427"/>
    <n v="-2.6735714285714272"/>
    <n v="990"/>
    <n v="9"/>
    <s v="Open ended"/>
    <s v=""/>
    <n v="5000"/>
    <n v="1000"/>
  </r>
  <r>
    <x v="990"/>
    <x v="30"/>
    <n v="2.21"/>
    <n v="8.93"/>
    <n v="6.11"/>
    <n v="1.58"/>
    <n v="57.035445757250272"/>
    <n v="35.003431708991087"/>
    <n v="38.625088589652719"/>
    <n v="41.22066295897374"/>
    <n v="44.061302681992331"/>
    <n v="11.814308363325411"/>
    <n v="79.537017658434479"/>
    <n v="51.509911564593573"/>
    <n v="6.1480952380952392"/>
    <n v="-3.8095238095238848E-2"/>
    <n v="991"/>
    <n v="18"/>
    <s v="Open ended"/>
    <s v="NIFTY 50 Equity Savings Index"/>
    <n v="5000"/>
    <n v="1000"/>
  </r>
  <r>
    <x v="991"/>
    <x v="23"/>
    <n v="1.86"/>
    <n v="14.61"/>
    <n v="11.9"/>
    <n v="2.4500000000000002"/>
    <n v="56.283566058002144"/>
    <n v="44.749485243651343"/>
    <n v="59.142452161587521"/>
    <n v="54.252784865489588"/>
    <n v="10.727969348658984"/>
    <n v="7.6197741292645285"/>
    <n v="86.802164065914937"/>
    <n v="51.508925786388275"/>
    <n v="10.023387096774194"/>
    <n v="1.8766129032258068"/>
    <n v="992"/>
    <n v="36"/>
    <s v="Open ended"/>
    <s v="S&amp;P BSE 500 - TRI"/>
    <n v="1000"/>
    <n v="1000"/>
  </r>
  <r>
    <x v="992"/>
    <x v="23"/>
    <n v="1.86"/>
    <n v="14.61"/>
    <n v="11.9"/>
    <n v="2.4500000000000002"/>
    <n v="56.283566058002144"/>
    <n v="44.749485243651343"/>
    <n v="59.142452161587521"/>
    <n v="54.252784865489588"/>
    <n v="10.727969348658984"/>
    <n v="7.6197741292645285"/>
    <n v="86.802164065914937"/>
    <n v="51.508925786388275"/>
    <n v="10.023387096774194"/>
    <n v="1.8766129032258068"/>
    <n v="992"/>
    <n v="36"/>
    <s v="Open ended"/>
    <s v="S&amp;P BSE 500 - TRI"/>
    <n v="1000"/>
    <n v="1000"/>
  </r>
  <r>
    <x v="993"/>
    <x v="33"/>
    <n v="5.58"/>
    <n v="4.83"/>
    <n v="5.62"/>
    <n v="1.18"/>
    <n v="64.274973147153588"/>
    <n v="27.968428277282094"/>
    <n v="36.888731396172922"/>
    <n v="39.689888810701802"/>
    <n v="59.38697318007663"/>
    <n v="18.919757069282728"/>
    <n v="67.230019489141881"/>
    <n v="51.499192572655531"/>
    <n v="4.4264935064935065"/>
    <n v="1.1935064935064936"/>
    <n v="994"/>
    <n v="54"/>
    <s v="Open ended"/>
    <s v="NIFTY Ultra Short Duration Debt Index"/>
    <n v="10000"/>
    <n v="10000"/>
  </r>
  <r>
    <x v="994"/>
    <x v="4"/>
    <n v="3.11"/>
    <n v="21.4"/>
    <n v="6.98"/>
    <n v="2.13"/>
    <n v="58.968850698174002"/>
    <n v="56.400137268359643"/>
    <n v="41.708008504606667"/>
    <n v="49.567815572446023"/>
    <n v="22.988505747126432"/>
    <n v="9.3130160664742103"/>
    <n v="83.869383001161424"/>
    <n v="51.498379973294973"/>
    <n v="12.127586206896551"/>
    <n v="-5.1475862068965501"/>
    <n v="995"/>
    <n v="26"/>
    <s v="Open ended"/>
    <s v="Nifty Smallcap 100 - TRI"/>
    <n v="1000"/>
    <n v="1000"/>
  </r>
  <r>
    <x v="995"/>
    <x v="25"/>
    <n v="5.27"/>
    <n v="3.92"/>
    <n v="4.6399999999999997"/>
    <n v="1.02"/>
    <n v="63.609022556390968"/>
    <n v="26.407000686341803"/>
    <n v="33.41601700921332"/>
    <n v="37.351913221787399"/>
    <n v="65.517241379310349"/>
    <n v="19.768385219021624"/>
    <n v="65.760152417060937"/>
    <n v="51.495305059986521"/>
    <n v="5.1221052631578941"/>
    <n v="-0.48210526315789437"/>
    <n v="996"/>
    <n v="60"/>
    <s v="Open ended"/>
    <s v="CRISIL Low Duration Debt Index"/>
    <n v="5000"/>
    <n v="1000"/>
  </r>
  <r>
    <x v="996"/>
    <x v="33"/>
    <n v="5.58"/>
    <n v="4.79"/>
    <n v="5.61"/>
    <n v="1.18"/>
    <n v="64.274973147153588"/>
    <n v="27.899794097460539"/>
    <n v="36.8532955350815"/>
    <n v="39.651580626209629"/>
    <n v="59.38697318007663"/>
    <n v="18.952868041324354"/>
    <n v="67.172669603277782"/>
    <n v="51.465701008943412"/>
    <n v="4.4264935064935065"/>
    <n v="1.1835064935064938"/>
    <n v="997"/>
    <n v="55"/>
    <s v="Open ended"/>
    <s v="NIFTY Ultra Short Duration Debt Index"/>
    <n v="1000"/>
    <n v="1000"/>
  </r>
  <r>
    <x v="997"/>
    <x v="33"/>
    <n v="5.58"/>
    <n v="4.79"/>
    <n v="5.61"/>
    <n v="1.18"/>
    <n v="64.274973147153588"/>
    <n v="27.899794097460539"/>
    <n v="36.8532955350815"/>
    <n v="39.651580626209629"/>
    <n v="59.38697318007663"/>
    <n v="18.952868041324354"/>
    <n v="67.172669603277782"/>
    <n v="51.465701008943412"/>
    <n v="4.4264935064935065"/>
    <n v="1.1835064935064938"/>
    <n v="997"/>
    <n v="55"/>
    <s v="Open ended"/>
    <s v="NIFTY Ultra Short Duration Debt Index"/>
    <n v="1000"/>
    <n v="1000"/>
  </r>
  <r>
    <x v="998"/>
    <x v="33"/>
    <n v="5.58"/>
    <n v="4.79"/>
    <n v="5.61"/>
    <n v="1.18"/>
    <n v="64.274973147153588"/>
    <n v="27.899794097460539"/>
    <n v="36.8532955350815"/>
    <n v="39.651580626209629"/>
    <n v="59.38697318007663"/>
    <n v="18.952868041324354"/>
    <n v="67.172669603277782"/>
    <n v="51.465701008943412"/>
    <n v="4.4264935064935065"/>
    <n v="1.1835064935064938"/>
    <n v="997"/>
    <n v="55"/>
    <s v="Open ended"/>
    <s v="NIFTY Ultra Short Duration Debt Index"/>
    <n v="5000"/>
    <n v="1000"/>
  </r>
  <r>
    <x v="999"/>
    <x v="46"/>
    <n v="4.0599999999999996"/>
    <n v="3.93"/>
    <n v="4.53"/>
    <n v="1.05"/>
    <n v="61.009667024704619"/>
    <n v="26.424159231297189"/>
    <n v="33.026222537207651"/>
    <n v="36.642292442933908"/>
    <n v="64.367816091954026"/>
    <n v="18.36127153643378"/>
    <n v="68.197344807328435"/>
    <n v="51.462436446287569"/>
    <n v="4.4820000000000002"/>
    <n v="4.8000000000000043E-2"/>
    <n v="1000"/>
    <n v="25"/>
    <s v="Open ended"/>
    <s v="Nifty 50 Arbitrage"/>
    <n v="1000"/>
    <n v="1000"/>
  </r>
  <r>
    <x v="1000"/>
    <x v="44"/>
    <n v="4.93"/>
    <n v="12.78"/>
    <n v="8.98"/>
    <n v="2.06"/>
    <n v="62.878625134264233"/>
    <n v="41.609471516815375"/>
    <n v="48.795180722891565"/>
    <n v="49.456156843343237"/>
    <n v="25.670498084291182"/>
    <n v="10.819386295635795"/>
    <n v="81.260273229244376"/>
    <n v="51.460771250055508"/>
    <n v="11.035555555555554"/>
    <n v="-2.0555555555555536"/>
    <n v="1001"/>
    <n v="10"/>
    <s v="Open ended"/>
    <s v="Nifty India Consumption - TRI"/>
    <n v="5000"/>
    <n v="1000"/>
  </r>
  <r>
    <x v="1001"/>
    <x v="23"/>
    <n v="3.43"/>
    <n v="12"/>
    <n v="8.6300000000000008"/>
    <n v="2.02"/>
    <n v="59.656283566058001"/>
    <n v="40.27110501029513"/>
    <n v="47.554925584691709"/>
    <n v="47.790051008645989"/>
    <n v="27.203065134099624"/>
    <n v="9.791850819193046"/>
    <n v="83.040016881022709"/>
    <n v="51.455796008103576"/>
    <n v="10.023387096774194"/>
    <n v="-1.3933870967741928"/>
    <n v="1002"/>
    <n v="38"/>
    <s v="Open ended"/>
    <s v="NIFTY 500 - TRI"/>
    <n v="1000"/>
    <n v="1000"/>
  </r>
  <r>
    <x v="1002"/>
    <x v="46"/>
    <n v="5.4"/>
    <n v="4.32"/>
    <n v="4.7"/>
    <n v="1.05"/>
    <n v="63.888292158968852"/>
    <n v="27.093342484557315"/>
    <n v="33.628632175761872"/>
    <n v="37.719977265041905"/>
    <n v="64.367816091954026"/>
    <n v="19.630865812073175"/>
    <n v="65.998343016922405"/>
    <n v="51.451528409740057"/>
    <n v="4.4820000000000002"/>
    <n v="0.21799999999999997"/>
    <n v="1003"/>
    <n v="26"/>
    <s v="Open ended"/>
    <s v="Nifty 50 Arbitrage"/>
    <n v="1000"/>
    <n v="1000"/>
  </r>
  <r>
    <x v="1003"/>
    <x v="20"/>
    <n v="4.92"/>
    <n v="2.31"/>
    <n v="1.53"/>
    <n v="0.54"/>
    <n v="62.857142857142854"/>
    <n v="23.644474948524369"/>
    <n v="22.395464209780297"/>
    <n v="30.862503160876031"/>
    <n v="83.908045977011497"/>
    <n v="23.008479564787745"/>
    <n v="60.14814438887737"/>
    <n v="51.445299171910236"/>
    <n v="4.4280373831775703"/>
    <n v="-2.8980373831775701"/>
    <n v="1004"/>
    <n v="107"/>
    <s v="Open ended"/>
    <s v=""/>
    <n v="5000"/>
    <n v="1000"/>
  </r>
  <r>
    <x v="1004"/>
    <x v="27"/>
    <n v="2.65"/>
    <n v="15.21"/>
    <n v="11.05"/>
    <n v="2.46"/>
    <n v="57.980665950590762"/>
    <n v="45.778997940974612"/>
    <n v="56.130403968816431"/>
    <n v="53.395034556818757"/>
    <n v="10.344827586206895"/>
    <n v="6.5759128437468597"/>
    <n v="88.610184848485702"/>
    <n v="51.43627038708253"/>
    <n v="10.044583333333334"/>
    <n v="1.0054166666666671"/>
    <n v="1005"/>
    <n v="27"/>
    <s v="Open ended"/>
    <s v="NIFTY 100 - TRI"/>
    <n v="5000"/>
    <n v="1000"/>
  </r>
  <r>
    <x v="1005"/>
    <x v="28"/>
    <n v="3.03"/>
    <n v="16.11"/>
    <n v="10.64"/>
    <n v="2.4900000000000002"/>
    <n v="58.796992481203006"/>
    <n v="47.32326698695951"/>
    <n v="54.677533664068037"/>
    <n v="53.295145424362474"/>
    <n v="9.1954022988505635"/>
    <n v="5.8123654969578018"/>
    <n v="89.932687647108764"/>
    <n v="51.429595198671066"/>
    <n v="10.248999999999999"/>
    <n v="0.39100000000000179"/>
    <n v="1006"/>
    <n v="6"/>
    <s v="Open ended"/>
    <s v="NIFTY 500 - TRI"/>
    <n v="5000"/>
    <n v="1000"/>
  </r>
  <r>
    <x v="1006"/>
    <x v="46"/>
    <n v="4.08"/>
    <n v="4.01"/>
    <n v="4.87"/>
    <n v="1.1000000000000001"/>
    <n v="61.05263157894737"/>
    <n v="26.561427590940291"/>
    <n v="34.231041814316086"/>
    <n v="37.294475500229602"/>
    <n v="62.452107279693479"/>
    <n v="18.110143623486707"/>
    <n v="68.632311111751491"/>
    <n v="51.418342347976051"/>
    <n v="4.4820000000000002"/>
    <n v="0.3879999999999999"/>
    <n v="1007"/>
    <n v="27"/>
    <s v="Open ended"/>
    <s v="Nifty 50 Arbitrage"/>
    <n v="5000"/>
    <n v="1000"/>
  </r>
  <r>
    <x v="1007"/>
    <x v="50"/>
    <n v="4.07"/>
    <n v="2.5299999999999998"/>
    <n v="4.6500000000000004"/>
    <n v="0.99"/>
    <n v="61.031149301825991"/>
    <n v="24.021962937542902"/>
    <n v="33.451452870304749"/>
    <n v="36.13854517678044"/>
    <n v="66.666666666666657"/>
    <n v="19.232068752447304"/>
    <n v="66.689079786103463"/>
    <n v="51.40820920158275"/>
    <n v="4.3111111111111109"/>
    <n v="0.33888888888888946"/>
    <n v="1008"/>
    <n v="10"/>
    <s v="Open ended"/>
    <s v="Nifty All Duration G-Sec Index"/>
    <n v="5000"/>
    <n v="1000"/>
  </r>
  <r>
    <x v="1008"/>
    <x v="28"/>
    <n v="3.09"/>
    <n v="16.14"/>
    <n v="10.6"/>
    <n v="2.4900000000000002"/>
    <n v="58.925886143931251"/>
    <n v="47.374742621825675"/>
    <n v="54.535790219702342"/>
    <n v="53.265495125185126"/>
    <n v="9.1954022988505635"/>
    <n v="5.8307012384341919"/>
    <n v="89.900929211277202"/>
    <n v="51.406830440124509"/>
    <n v="10.248999999999999"/>
    <n v="0.35100000000000087"/>
    <n v="1009"/>
    <n v="7"/>
    <s v="Open ended"/>
    <s v="NIFTY 500 - TRI"/>
    <n v="5000"/>
    <n v="1000"/>
  </r>
  <r>
    <x v="1009"/>
    <x v="23"/>
    <n v="3.43"/>
    <n v="12"/>
    <n v="8.58"/>
    <n v="2.02"/>
    <n v="59.656283566058001"/>
    <n v="40.27110501029513"/>
    <n v="47.377746279234586"/>
    <n v="47.701461355917431"/>
    <n v="27.203065134099624"/>
    <n v="9.8069021244233472"/>
    <n v="83.0139472556436"/>
    <n v="51.404983775394527"/>
    <n v="10.023387096774194"/>
    <n v="-1.4433870967741935"/>
    <n v="1010"/>
    <n v="39"/>
    <s v="Open ended"/>
    <s v="NIFTY 500 - TRI"/>
    <n v="1000"/>
    <n v="1000"/>
  </r>
  <r>
    <x v="1010"/>
    <x v="46"/>
    <n v="4.6399999999999997"/>
    <n v="4.18"/>
    <n v="4.76"/>
    <n v="1.08"/>
    <n v="62.25563909774435"/>
    <n v="26.853122855181883"/>
    <n v="33.841247342310417"/>
    <n v="37.427688347258645"/>
    <n v="63.218390804597703"/>
    <n v="18.750776423852322"/>
    <n v="67.522702552523114"/>
    <n v="51.399117512909527"/>
    <n v="4.4820000000000002"/>
    <n v="0.27799999999999958"/>
    <n v="1011"/>
    <n v="28"/>
    <s v="Open ended"/>
    <s v="Nifty 50 Arbitrage"/>
    <n v="5000"/>
    <n v="1000"/>
  </r>
  <r>
    <x v="1011"/>
    <x v="12"/>
    <n v="7.89"/>
    <n v="19.440000000000001"/>
    <n v="10.039999999999999"/>
    <n v="2.4700000000000002"/>
    <n v="69.237379162191189"/>
    <n v="53.037062457103644"/>
    <n v="52.551381998582556"/>
    <n v="56.034285568860611"/>
    <n v="9.9616858237547845"/>
    <n v="9.4965664689655345"/>
    <n v="83.551464378296728"/>
    <n v="51.395430334943185"/>
    <n v="9.219019607843137"/>
    <n v="0.82098039215686214"/>
    <n v="1012"/>
    <n v="27"/>
    <s v="Open ended"/>
    <s v="CRISIL Hybrid 35+65 - Aggressive Index"/>
    <n v="5000"/>
    <n v="1000"/>
  </r>
  <r>
    <x v="1012"/>
    <x v="12"/>
    <n v="7.89"/>
    <n v="19.440000000000001"/>
    <n v="10.039999999999999"/>
    <n v="2.4700000000000002"/>
    <n v="69.237379162191189"/>
    <n v="53.037062457103644"/>
    <n v="52.551381998582556"/>
    <n v="56.034285568860611"/>
    <n v="9.9616858237547845"/>
    <n v="9.4965664689655345"/>
    <n v="83.551464378296728"/>
    <n v="51.395430334943185"/>
    <n v="9.219019607843137"/>
    <n v="0.82098039215686214"/>
    <n v="1012"/>
    <n v="27"/>
    <s v="Open ended"/>
    <s v="CRISIL Hybrid 35+65 - Aggressive Index"/>
    <n v="5000"/>
    <n v="1000"/>
  </r>
  <r>
    <x v="1013"/>
    <x v="12"/>
    <n v="7.89"/>
    <n v="19.440000000000001"/>
    <n v="10.029999999999999"/>
    <n v="2.4700000000000002"/>
    <n v="69.237379162191189"/>
    <n v="53.037062457103644"/>
    <n v="52.515946137491134"/>
    <n v="56.016567638314896"/>
    <n v="9.9616858237547845"/>
    <n v="9.5072616629188111"/>
    <n v="83.532939758972844"/>
    <n v="51.381940214839354"/>
    <n v="9.219019607843137"/>
    <n v="0.81098039215686235"/>
    <n v="1014"/>
    <n v="29"/>
    <s v="Open ended"/>
    <s v="CRISIL Hybrid 35+65 - Aggressive Index"/>
    <n v="5000"/>
    <n v="1000"/>
  </r>
  <r>
    <x v="1014"/>
    <x v="12"/>
    <n v="3.78"/>
    <n v="12"/>
    <n v="11.61"/>
    <n v="2.2599999999999998"/>
    <n v="60.408163265306115"/>
    <n v="40.27110501029513"/>
    <n v="58.114812189936217"/>
    <n v="53.22037025111787"/>
    <n v="18.00766283524904"/>
    <n v="11.023901761123275"/>
    <n v="80.906042052086462"/>
    <n v="51.338611347392813"/>
    <n v="9.219019607843137"/>
    <n v="2.3909803921568624"/>
    <n v="1015"/>
    <n v="30"/>
    <s v="Open ended"/>
    <s v="CRISIL Hybrid 35+65 - Aggressive Index"/>
    <n v="5000"/>
    <n v="1000"/>
  </r>
  <r>
    <x v="1015"/>
    <x v="33"/>
    <n v="5.35"/>
    <n v="4.42"/>
    <n v="3.32"/>
    <n v="0.89"/>
    <n v="63.780880773361972"/>
    <n v="27.264927934111192"/>
    <n v="28.738483345145283"/>
    <n v="35.304896207478393"/>
    <n v="70.498084291187737"/>
    <n v="20.67025154993226"/>
    <n v="64.19807411028799"/>
    <n v="51.326487704108125"/>
    <n v="4.4264935064935065"/>
    <n v="-1.1064935064935066"/>
    <n v="1016"/>
    <n v="58"/>
    <s v="Open ended"/>
    <s v="NIFTY Ultra Short Duration Debt Index"/>
    <n v="1000"/>
    <n v="1000"/>
  </r>
  <r>
    <x v="1016"/>
    <x v="50"/>
    <n v="4.76"/>
    <n v="2.1800000000000002"/>
    <n v="4.18"/>
    <n v="0.9"/>
    <n v="62.513426423200855"/>
    <n v="23.421413864104331"/>
    <n v="31.785967399007792"/>
    <n v="35.422093143375363"/>
    <n v="70.114942528735625"/>
    <n v="20.58449230141585"/>
    <n v="64.34661348593734"/>
    <n v="51.326435575355916"/>
    <n v="4.3111111111111109"/>
    <n v="-0.13111111111111118"/>
    <n v="1017"/>
    <n v="11"/>
    <s v="Open ended"/>
    <s v="CRISIL Dynamic Gilt Index"/>
    <n v="1000"/>
    <n v="1000"/>
  </r>
  <r>
    <x v="1017"/>
    <x v="22"/>
    <n v="-1.1100000000000001"/>
    <n v="14.63"/>
    <n v="11.98"/>
    <n v="2.42"/>
    <n v="49.903329752953809"/>
    <n v="44.783802333562122"/>
    <n v="59.425939050318924"/>
    <n v="53.128776175818857"/>
    <n v="11.877394636015314"/>
    <n v="7.430587868851803"/>
    <n v="87.129844281043731"/>
    <n v="51.316197817174185"/>
    <n v="9.83"/>
    <n v="2.1500000000000004"/>
    <n v="1018"/>
    <n v="16"/>
    <s v="Open ended"/>
    <s v="NIFTY 500 - TRI"/>
    <n v="1000"/>
    <n v="1000"/>
  </r>
  <r>
    <x v="1018"/>
    <x v="27"/>
    <n v="2.66"/>
    <n v="15.22"/>
    <n v="10.83"/>
    <n v="2.46"/>
    <n v="58.002148227712134"/>
    <n v="45.796156485929998"/>
    <n v="55.350815024805101"/>
    <n v="53.01468410372398"/>
    <n v="10.344827586206895"/>
    <n v="6.4201155486459109"/>
    <n v="88.880033679282349"/>
    <n v="51.313557368234299"/>
    <n v="10.044583333333334"/>
    <n v="0.78541666666666643"/>
    <n v="1019"/>
    <n v="28"/>
    <s v="Open ended"/>
    <s v="NIFTY 100 - TRI"/>
    <n v="5000"/>
    <n v="1000"/>
  </r>
  <r>
    <x v="1019"/>
    <x v="46"/>
    <n v="3.98"/>
    <n v="3.83"/>
    <n v="4.42"/>
    <n v="1.05"/>
    <n v="60.837808807733616"/>
    <n v="26.252573781743312"/>
    <n v="32.636428065201983"/>
    <n v="36.36154792867071"/>
    <n v="64.367816091954026"/>
    <n v="18.403849022693841"/>
    <n v="68.123598437867443"/>
    <n v="51.303627596790719"/>
    <n v="4.4820000000000002"/>
    <n v="-6.2000000000000277E-2"/>
    <n v="1020"/>
    <n v="29"/>
    <s v="Open ended"/>
    <s v="Nifty 50 Arbitrage"/>
    <n v="1000"/>
    <n v="1000"/>
  </r>
  <r>
    <x v="1020"/>
    <x v="12"/>
    <n v="3.78"/>
    <n v="12"/>
    <n v="11.54"/>
    <n v="2.2599999999999998"/>
    <n v="60.408163265306115"/>
    <n v="40.27110501029513"/>
    <n v="57.866761162296228"/>
    <n v="53.096344737297876"/>
    <n v="18.00766283524904"/>
    <n v="10.966364903910678"/>
    <n v="81.005698812086507"/>
    <n v="51.301512780482824"/>
    <n v="9.219019607843137"/>
    <n v="2.3209803921568621"/>
    <n v="1021"/>
    <n v="31"/>
    <s v="Open ended"/>
    <s v="CRISIL Hybrid 35+65 - Aggressive Index"/>
    <n v="5000"/>
    <n v="1000"/>
  </r>
  <r>
    <x v="1021"/>
    <x v="27"/>
    <n v="-1.66"/>
    <n v="11.9"/>
    <n v="9.5"/>
    <n v="2.19"/>
    <n v="48.721804511278194"/>
    <n v="40.099519560741257"/>
    <n v="50.637845499645643"/>
    <n v="47.093139520300838"/>
    <n v="20.68965517241379"/>
    <n v="5.6135449945042879"/>
    <n v="90.277054858944624"/>
    <n v="51.288247267990023"/>
    <n v="10.044583333333334"/>
    <n v="-0.54458333333333364"/>
    <n v="1022"/>
    <n v="29"/>
    <s v="Open ended"/>
    <s v="S&amp;P BSE 100 - TRI"/>
    <n v="1000"/>
    <n v="1000"/>
  </r>
  <r>
    <x v="1022"/>
    <x v="29"/>
    <n v="4.4000000000000004"/>
    <n v="3.05"/>
    <n v="4.7"/>
    <n v="1.03"/>
    <n v="61.740064446831354"/>
    <n v="24.914207275223067"/>
    <n v="33.628632175761872"/>
    <n v="36.636591159814131"/>
    <n v="65.134099616858236"/>
    <n v="19.245508489436137"/>
    <n v="66.665801478798443"/>
    <n v="51.268270853821235"/>
    <n v="5.0554237288135591"/>
    <n v="-0.35542372881355888"/>
    <n v="1023"/>
    <n v="58"/>
    <s v="Open ended"/>
    <s v="CRISIL Corporate Bond Index"/>
    <n v="5000"/>
    <n v="1000"/>
  </r>
  <r>
    <x v="1023"/>
    <x v="29"/>
    <n v="4.41"/>
    <n v="3.05"/>
    <n v="4.7"/>
    <n v="1.03"/>
    <n v="61.761546723952733"/>
    <n v="24.914207275223067"/>
    <n v="33.628632175761872"/>
    <n v="36.640887615238398"/>
    <n v="65.134099616858236"/>
    <n v="19.257589442316196"/>
    <n v="66.64487665460635"/>
    <n v="51.265187875485346"/>
    <n v="5.0554237288135591"/>
    <n v="-0.35542372881355888"/>
    <n v="1024"/>
    <n v="59"/>
    <s v="Open ended"/>
    <s v="CRISIL Corporate Bond Index"/>
    <n v="5000"/>
    <n v="1000"/>
  </r>
  <r>
    <x v="1024"/>
    <x v="15"/>
    <n v="4.3099999999999996"/>
    <n v="3.16"/>
    <n v="4.04"/>
    <n v="0.96"/>
    <n v="61.546723952738994"/>
    <n v="25.102951269732333"/>
    <n v="31.28986534372785"/>
    <n v="35.485162843331423"/>
    <n v="67.81609195402298"/>
    <n v="19.501726274082159"/>
    <n v="66.222019257988791"/>
    <n v="51.252109224668658"/>
    <n v="5.2086538461538465"/>
    <n v="-1.1686538461538465"/>
    <n v="1025"/>
    <n v="29"/>
    <s v="Open ended"/>
    <s v=""/>
    <n v="1000"/>
    <n v="1000"/>
  </r>
  <r>
    <x v="1025"/>
    <x v="25"/>
    <n v="5.27"/>
    <n v="3.85"/>
    <n v="4.46"/>
    <n v="1.02"/>
    <n v="63.609022556390968"/>
    <n v="26.286890871654091"/>
    <n v="32.778171509567677"/>
    <n v="36.996957527558259"/>
    <n v="65.517241379310349"/>
    <n v="19.939991700451284"/>
    <n v="65.462921272316635"/>
    <n v="51.243519426685879"/>
    <n v="5.1221052631578941"/>
    <n v="-0.66210526315789409"/>
    <n v="1026"/>
    <n v="61"/>
    <s v="Open ended"/>
    <s v="CRISIL Low Duration Debt Index"/>
    <n v="5000"/>
    <n v="1000"/>
  </r>
  <r>
    <x v="1026"/>
    <x v="13"/>
    <n v="-0.03"/>
    <n v="10.32"/>
    <n v="7.29"/>
    <n v="1.9"/>
    <n v="52.223415682062289"/>
    <n v="37.388469457789988"/>
    <n v="42.806520198440815"/>
    <n v="43.064484072969861"/>
    <n v="31.800766283524908"/>
    <n v="7.5067616614930177"/>
    <n v="86.997907401983937"/>
    <n v="51.231910457862142"/>
    <n v="10.461"/>
    <n v="-3.1710000000000003"/>
    <n v="1027"/>
    <n v="30"/>
    <s v="Open ended"/>
    <s v="S&amp;P BSE 500 - TRI"/>
    <n v="1000"/>
    <n v="1000"/>
  </r>
  <r>
    <x v="1027"/>
    <x v="23"/>
    <n v="12.58"/>
    <n v="16.52"/>
    <n v="8.1300000000000008"/>
    <n v="1.92"/>
    <n v="79.312567132116001"/>
    <n v="48.026767330130411"/>
    <n v="45.783132530120483"/>
    <n v="53.162109890522565"/>
    <n v="31.034482758620683"/>
    <n v="18.744146424485127"/>
    <n v="67.534186048281256"/>
    <n v="51.223222146986771"/>
    <n v="10.023387096774194"/>
    <n v="-1.8933870967741928"/>
    <n v="1028"/>
    <n v="40"/>
    <s v="Open ended"/>
    <s v="NIFTY 500 - TRI"/>
    <n v="1000"/>
    <n v="1000"/>
  </r>
  <r>
    <x v="1028"/>
    <x v="46"/>
    <n v="4.6399999999999997"/>
    <n v="4.0999999999999996"/>
    <n v="4.6399999999999997"/>
    <n v="1.08"/>
    <n v="62.25563909774435"/>
    <n v="26.715854495538782"/>
    <n v="33.41601700921332"/>
    <n v="37.173892672817168"/>
    <n v="63.218390804597703"/>
    <n v="18.884262713920041"/>
    <n v="67.291497516011958"/>
    <n v="51.214418416560996"/>
    <n v="4.4820000000000002"/>
    <n v="0.15799999999999947"/>
    <n v="1029"/>
    <n v="30"/>
    <s v="Open ended"/>
    <s v="Nifty 50 Arbitrage"/>
    <n v="5000"/>
    <n v="1000"/>
  </r>
  <r>
    <x v="1029"/>
    <x v="25"/>
    <n v="5.27"/>
    <n v="3.84"/>
    <n v="4.4400000000000004"/>
    <n v="1.02"/>
    <n v="63.609022556390968"/>
    <n v="26.269732326698701"/>
    <n v="32.707299787384834"/>
    <n v="36.95637410298022"/>
    <n v="65.517241379310349"/>
    <n v="19.960717003490419"/>
    <n v="65.427023994450593"/>
    <n v="51.214253394930346"/>
    <n v="5.1221052631578941"/>
    <n v="-0.68210526315789366"/>
    <n v="1030"/>
    <n v="62"/>
    <s v="Open ended"/>
    <s v="CRISIL Low Duration Debt Index"/>
    <n v="5000"/>
    <n v="1000"/>
  </r>
  <r>
    <x v="1030"/>
    <x v="10"/>
    <n v="5.99"/>
    <n v="13.26"/>
    <n v="9.32"/>
    <n v="2.12"/>
    <n v="65.155746509129969"/>
    <n v="42.433081674673986"/>
    <n v="50"/>
    <n v="50.761073804228189"/>
    <n v="23.371647509578541"/>
    <n v="11.570612216373734"/>
    <n v="79.959111766563552"/>
    <n v="51.213226721149617"/>
    <n v="10.563571428571427"/>
    <n v="-1.2435714285714266"/>
    <n v="1031"/>
    <n v="10"/>
    <s v="Open ended"/>
    <s v=""/>
    <n v="1000"/>
    <n v="1000"/>
  </r>
  <r>
    <x v="1031"/>
    <x v="46"/>
    <n v="4.17"/>
    <n v="3.74"/>
    <n v="4.2699999999999996"/>
    <n v="1.03"/>
    <n v="61.245972073039731"/>
    <n v="26.098146877144824"/>
    <n v="32.104890148830613"/>
    <n v="36.1310835521667"/>
    <n v="65.134099616858236"/>
    <n v="18.8000586721008"/>
    <n v="67.437343194645536"/>
    <n v="51.208402478959293"/>
    <n v="4.4820000000000002"/>
    <n v="-0.21200000000000063"/>
    <n v="1032"/>
    <n v="31"/>
    <s v="Open ended"/>
    <s v="Nifty 50 Arbitrage"/>
    <n v="5000"/>
    <n v="1000"/>
  </r>
  <r>
    <x v="1032"/>
    <x v="33"/>
    <n v="5.23"/>
    <n v="4.29"/>
    <n v="3.69"/>
    <n v="0.95"/>
    <n v="63.523093447905474"/>
    <n v="27.04186684969115"/>
    <n v="30.049610205527987"/>
    <n v="35.841983847252436"/>
    <n v="68.199233716475092"/>
    <n v="20.250104915705858"/>
    <n v="64.925789427397177"/>
    <n v="51.202247709594282"/>
    <n v="4.4264935064935065"/>
    <n v="-0.73649350649350653"/>
    <n v="1033"/>
    <n v="59"/>
    <s v="Open ended"/>
    <s v="CRISIL Ultra Short Term Debt Index"/>
    <n v="1000"/>
    <n v="1000"/>
  </r>
  <r>
    <x v="1033"/>
    <x v="31"/>
    <n v="6.15"/>
    <n v="4.3499999999999996"/>
    <n v="4.0199999999999996"/>
    <n v="0.97"/>
    <n v="65.499462943071961"/>
    <n v="27.144818119423476"/>
    <n v="31.218993621545"/>
    <n v="36.852834835213933"/>
    <n v="67.432950191570868"/>
    <n v="21.066672979196564"/>
    <n v="63.511452053593146"/>
    <n v="51.162517978897966"/>
    <n v="5.2778260869565221"/>
    <n v="-1.2578260869565225"/>
    <n v="1034"/>
    <n v="20"/>
    <s v="Open ended"/>
    <s v="CRISIL Low Duration Debt Index"/>
    <n v="1000"/>
    <n v="1000"/>
  </r>
  <r>
    <x v="1034"/>
    <x v="33"/>
    <n v="5.24"/>
    <n v="4.3"/>
    <n v="3.63"/>
    <n v="0.95"/>
    <n v="63.544575725026853"/>
    <n v="27.05902539464654"/>
    <n v="29.836995038979442"/>
    <n v="35.745120282889054"/>
    <n v="68.199233716475092"/>
    <n v="20.310561677617986"/>
    <n v="64.821075244104279"/>
    <n v="51.127637381589366"/>
    <n v="4.4264935064935065"/>
    <n v="-0.79649350649350659"/>
    <n v="1035"/>
    <n v="60"/>
    <s v="Open ended"/>
    <s v="CRISIL Ultra Short Term Debt Index"/>
    <n v="1000"/>
    <n v="1000"/>
  </r>
  <r>
    <x v="1035"/>
    <x v="15"/>
    <n v="4.34"/>
    <n v="3.07"/>
    <n v="4.55"/>
    <n v="1.03"/>
    <n v="61.611170784103109"/>
    <n v="24.948524365133839"/>
    <n v="33.097094259390502"/>
    <n v="36.355338596056029"/>
    <n v="65.134099616858236"/>
    <n v="19.250980034884428"/>
    <n v="66.656324484086099"/>
    <n v="51.125275323264098"/>
    <n v="5.2086538461538465"/>
    <n v="-0.6586538461538467"/>
    <n v="1036"/>
    <n v="30"/>
    <s v="Open ended"/>
    <s v=""/>
    <n v="5000"/>
    <n v="1000"/>
  </r>
  <r>
    <x v="1036"/>
    <x v="46"/>
    <n v="4.46"/>
    <n v="3.73"/>
    <n v="4.4400000000000004"/>
    <n v="1.05"/>
    <n v="61.868958109559614"/>
    <n v="26.080988332189435"/>
    <n v="32.707299787384834"/>
    <n v="36.551738015261165"/>
    <n v="64.367816091954026"/>
    <n v="19.039822742463059"/>
    <n v="67.022059642948591"/>
    <n v="51.12333794135624"/>
    <n v="4.4820000000000002"/>
    <n v="-4.1999999999999815E-2"/>
    <n v="1037"/>
    <n v="32"/>
    <s v="Open ended"/>
    <s v="Nifty 50 Arbitrage"/>
    <n v="1000"/>
    <n v="1000"/>
  </r>
  <r>
    <x v="1037"/>
    <x v="50"/>
    <n v="4.76"/>
    <n v="2.1800000000000002"/>
    <n v="4"/>
    <n v="0.9"/>
    <n v="62.513426423200855"/>
    <n v="23.421413864104331"/>
    <n v="31.148121899362152"/>
    <n v="35.103170393552546"/>
    <n v="70.114942528735625"/>
    <n v="20.702937757943978"/>
    <n v="64.14145993730493"/>
    <n v="51.115685813286419"/>
    <n v="4.3111111111111109"/>
    <n v="-0.31111111111111089"/>
    <n v="1038"/>
    <n v="12"/>
    <s v="Open ended"/>
    <s v="CRISIL Dynamic Gilt Index"/>
    <n v="1000"/>
    <n v="1000"/>
  </r>
  <r>
    <x v="1038"/>
    <x v="23"/>
    <n v="3.76"/>
    <n v="17.02"/>
    <n v="9.89"/>
    <n v="2.4900000000000002"/>
    <n v="60.365198711063371"/>
    <n v="48.884694577899801"/>
    <n v="52.0198440822112"/>
    <n v="52.74837015668821"/>
    <n v="9.1954022988505635"/>
    <n v="5.9340273205650451"/>
    <n v="89.721963187279528"/>
    <n v="51.103526449876625"/>
    <n v="10.023387096774194"/>
    <n v="-0.13338709677419303"/>
    <n v="1039"/>
    <n v="41"/>
    <s v="Open ended"/>
    <s v="NIFTY 500 - TRI"/>
    <n v="1000"/>
    <n v="1000"/>
  </r>
  <r>
    <x v="1039"/>
    <x v="23"/>
    <n v="3.8"/>
    <n v="17.02"/>
    <n v="9.89"/>
    <n v="2.4900000000000002"/>
    <n v="60.451127819548866"/>
    <n v="48.884694577899801"/>
    <n v="52.0198440822112"/>
    <n v="52.765555978385308"/>
    <n v="9.1954022988505635"/>
    <n v="5.9818905290245699"/>
    <n v="89.639061678414379"/>
    <n v="51.091393983508894"/>
    <n v="10.023387096774194"/>
    <n v="-0.13338709677419303"/>
    <n v="1040"/>
    <n v="42"/>
    <s v="Open ended"/>
    <s v="NIFTY 500 - TRI"/>
    <n v="1000"/>
    <n v="1000"/>
  </r>
  <r>
    <x v="1040"/>
    <x v="33"/>
    <n v="5.24"/>
    <n v="4.24"/>
    <n v="3.62"/>
    <n v="0.95"/>
    <n v="63.544575725026853"/>
    <n v="26.95607412491421"/>
    <n v="29.80155917788802"/>
    <n v="35.696516971423641"/>
    <n v="68.199233716475092"/>
    <n v="20.352749200982768"/>
    <n v="64.748004310190979"/>
    <n v="51.085067992378342"/>
    <n v="4.4264935064935065"/>
    <n v="-0.80649350649350637"/>
    <n v="1041"/>
    <n v="61"/>
    <s v="Open ended"/>
    <s v="CRISIL Ultra Short Term Debt Index"/>
    <n v="1000"/>
    <n v="1000"/>
  </r>
  <r>
    <x v="1041"/>
    <x v="19"/>
    <n v="15.75"/>
    <n v="20.55"/>
    <n v="9.5500000000000007"/>
    <n v="2.2200000000000002"/>
    <n v="86.122448979591823"/>
    <n v="54.941660947151696"/>
    <n v="50.815024805102759"/>
    <n v="59.114500482615256"/>
    <n v="19.540229885057457"/>
    <n v="19.30407931850209"/>
    <n v="66.564353827014799"/>
    <n v="51.083396169325688"/>
    <n v="9.4014285714285712"/>
    <n v="0.14857142857142946"/>
    <n v="1042"/>
    <n v="15"/>
    <s v="Open ended"/>
    <s v="S&amp;P BSE India Infrastructure Index - TRI"/>
    <n v="1000"/>
    <n v="1000"/>
  </r>
  <r>
    <x v="1042"/>
    <x v="46"/>
    <n v="4.09"/>
    <n v="3.97"/>
    <n v="4.59"/>
    <n v="1.1000000000000001"/>
    <n v="61.074113856068735"/>
    <n v="26.492793411118743"/>
    <n v="33.238837703756197"/>
    <n v="36.782079646427462"/>
    <n v="62.452107279693479"/>
    <n v="18.331118513746151"/>
    <n v="68.249571374625177"/>
    <n v="51.066459486793391"/>
    <n v="4.4820000000000002"/>
    <n v="0.10799999999999965"/>
    <n v="1043"/>
    <n v="33"/>
    <s v="Open ended"/>
    <s v="Nifty 50 Arbitrage"/>
    <n v="5000"/>
    <n v="1000"/>
  </r>
  <r>
    <x v="1043"/>
    <x v="15"/>
    <n v="4.33"/>
    <n v="3.07"/>
    <n v="4.49"/>
    <n v="1.03"/>
    <n v="61.58968850698173"/>
    <n v="24.948524365133839"/>
    <n v="32.884479092841957"/>
    <n v="36.244734557357475"/>
    <n v="65.134099616858236"/>
    <n v="19.276684252483584"/>
    <n v="66.61180347323554"/>
    <n v="51.058843051202182"/>
    <n v="5.2086538461538465"/>
    <n v="-0.71865384615384631"/>
    <n v="1044"/>
    <n v="31"/>
    <s v="Open ended"/>
    <s v=""/>
    <n v="5000"/>
    <n v="1000"/>
  </r>
  <r>
    <x v="1044"/>
    <x v="36"/>
    <n v="4.71"/>
    <n v="8.09"/>
    <n v="8.24"/>
    <n v="1.74"/>
    <n v="62.406015037593974"/>
    <n v="33.562113932738505"/>
    <n v="46.172927002126151"/>
    <n v="45.636300688403423"/>
    <n v="37.931034482758605"/>
    <n v="14.4598085763319"/>
    <n v="74.954876878072952"/>
    <n v="51.039628184409601"/>
    <n v="5.7759259259259252"/>
    <n v="2.464074074074075"/>
    <n v="1045"/>
    <n v="8"/>
    <s v="Open ended"/>
    <s v="NIFTY 50 Hybrid Composite Debt 15:85 Index"/>
    <n v="5000"/>
    <n v="1000"/>
  </r>
  <r>
    <x v="1045"/>
    <x v="33"/>
    <n v="5.26"/>
    <n v="4.28"/>
    <n v="3.86"/>
    <n v="0.99"/>
    <n v="63.587540279269597"/>
    <n v="27.024708304735761"/>
    <n v="30.652019844082211"/>
    <n v="36.150930469315753"/>
    <n v="66.666666666666657"/>
    <n v="20.144257152424839"/>
    <n v="65.109123131267424"/>
    <n v="51.0194126841414"/>
    <n v="4.4264935064935065"/>
    <n v="-0.5664935064935066"/>
    <n v="1046"/>
    <n v="62"/>
    <s v="Open ended"/>
    <s v="CRISIL Ultra Short Term Debt Index"/>
    <n v="1000"/>
    <n v="1000"/>
  </r>
  <r>
    <x v="1046"/>
    <x v="46"/>
    <n v="4.4400000000000004"/>
    <n v="4.12"/>
    <n v="4.9800000000000004"/>
    <n v="1.1499999999999999"/>
    <n v="61.825993555316863"/>
    <n v="26.750171585449557"/>
    <n v="34.620836286321754"/>
    <n v="37.700668329859113"/>
    <n v="60.536398467432953"/>
    <n v="18.404624562530199"/>
    <n v="68.122255163467571"/>
    <n v="51.014997572654686"/>
    <n v="4.4820000000000002"/>
    <n v="0.49800000000000022"/>
    <n v="1047"/>
    <n v="34"/>
    <s v="Open ended"/>
    <s v="Nifty 50 Arbitrage"/>
    <n v="5000"/>
    <n v="1000"/>
  </r>
  <r>
    <x v="1047"/>
    <x v="36"/>
    <n v="3.72"/>
    <n v="5.5"/>
    <n v="6.06"/>
    <n v="1.38"/>
    <n v="60.27926960257787"/>
    <n v="29.118050789293072"/>
    <n v="38.447909284195603"/>
    <n v="40.015223799401298"/>
    <n v="51.724137931034477"/>
    <n v="15.993103257421906"/>
    <n v="72.299132587449947"/>
    <n v="51.013429529321755"/>
    <n v="5.7759259259259252"/>
    <n v="0.28407407407407437"/>
    <n v="1048"/>
    <n v="9"/>
    <s v="Open ended"/>
    <s v="CRISIL Hybrid 85+15 - Conservative Index"/>
    <n v="10000"/>
    <n v="1000"/>
  </r>
  <r>
    <x v="1048"/>
    <x v="26"/>
    <n v="4.74"/>
    <n v="3.81"/>
    <n v="3.83"/>
    <n v="0.98"/>
    <n v="62.470461868958104"/>
    <n v="26.218256691832536"/>
    <n v="30.545712260807932"/>
    <n v="35.632425511745346"/>
    <n v="67.049808429118769"/>
    <n v="19.799574445969583"/>
    <n v="65.706131091338278"/>
    <n v="51.005197635986939"/>
    <n v="4.4728846153846158"/>
    <n v="-0.64288461538461572"/>
    <n v="1049"/>
    <n v="51"/>
    <s v="Open ended"/>
    <s v="Nifty Money Market Index"/>
    <n v="5000"/>
    <n v="1000"/>
  </r>
  <r>
    <x v="1049"/>
    <x v="26"/>
    <n v="4.7300000000000004"/>
    <n v="3.81"/>
    <n v="3.82"/>
    <n v="0.98"/>
    <n v="62.448979591836732"/>
    <n v="26.218256691832536"/>
    <n v="30.510276399716506"/>
    <n v="35.610411125775357"/>
    <n v="67.049808429118769"/>
    <n v="19.795485498062867"/>
    <n v="65.713213356862212"/>
    <n v="50.995961009382924"/>
    <n v="4.4728846153846158"/>
    <n v="-0.65288461538461595"/>
    <n v="1050"/>
    <n v="52"/>
    <s v="Open ended"/>
    <s v="Nifty Money Market Index"/>
    <n v="5000"/>
    <n v="1000"/>
  </r>
  <r>
    <x v="1050"/>
    <x v="11"/>
    <n v="6.01"/>
    <n v="13.49"/>
    <n v="7.07"/>
    <n v="1.87"/>
    <n v="65.198711063372713"/>
    <n v="42.827728208647912"/>
    <n v="42.026931254429478"/>
    <n v="46.90152630248366"/>
    <n v="32.950191570881216"/>
    <n v="13.153158867501665"/>
    <n v="77.218060561461996"/>
    <n v="50.992826184327633"/>
    <n v="11.362272727272726"/>
    <n v="-4.2922727272727261"/>
    <n v="1051"/>
    <n v="39"/>
    <s v="Open ended"/>
    <s v="Nifty Midcap 100 - TRI"/>
    <n v="1000"/>
    <n v="1000"/>
  </r>
  <r>
    <x v="1051"/>
    <x v="49"/>
    <n v="5.66"/>
    <n v="3.72"/>
    <n v="5.13"/>
    <n v="1.1100000000000001"/>
    <n v="64.446831364124591"/>
    <n v="26.063829787234049"/>
    <n v="35.152374202693125"/>
    <n v="38.2847023103417"/>
    <n v="62.068965517241367"/>
    <n v="20.058338540476949"/>
    <n v="65.25793853247697"/>
    <n v="50.974077167600434"/>
    <n v="4.3271875"/>
    <n v="0.80281249999999993"/>
    <n v="1052"/>
    <n v="7"/>
    <s v="Open ended"/>
    <s v="CRISIL Medium to Long Term Debt Index"/>
    <n v="5000"/>
    <n v="1000"/>
  </r>
  <r>
    <x v="1052"/>
    <x v="19"/>
    <n v="7.36"/>
    <n v="23.07"/>
    <n v="9.24"/>
    <n v="2.54"/>
    <n v="68.098818474758318"/>
    <n v="59.265614275909407"/>
    <n v="49.716513111268604"/>
    <n v="56.25770453335879"/>
    <n v="7.2796934865900331"/>
    <n v="9.1934757658868165"/>
    <n v="84.076432875330838"/>
    <n v="50.967883857159613"/>
    <n v="9.4014285714285712"/>
    <n v="-0.16142857142857103"/>
    <n v="1053"/>
    <n v="16"/>
    <s v="Open ended"/>
    <s v=""/>
    <n v="5000"/>
    <n v="1000"/>
  </r>
  <r>
    <x v="1053"/>
    <x v="27"/>
    <n v="0.44"/>
    <n v="11.93"/>
    <n v="9.6199999999999992"/>
    <n v="2.2200000000000002"/>
    <n v="53.233082706766908"/>
    <n v="40.150995195607422"/>
    <n v="51.063075832742719"/>
    <n v="48.223453016406964"/>
    <n v="19.540229885057457"/>
    <n v="7.0109848014180614"/>
    <n v="87.856618112850725"/>
    <n v="50.960938507680524"/>
    <n v="10.044583333333334"/>
    <n v="-0.42458333333333442"/>
    <n v="1054"/>
    <n v="30"/>
    <s v="Open ended"/>
    <s v="NIFTY 100 - TRI"/>
    <n v="5000"/>
    <n v="1000"/>
  </r>
  <r>
    <x v="1054"/>
    <x v="4"/>
    <n v="3.11"/>
    <n v="21.38"/>
    <n v="6.64"/>
    <n v="2.13"/>
    <n v="58.968850698174002"/>
    <n v="56.365820178448864"/>
    <n v="40.503189227498225"/>
    <n v="48.955110806918569"/>
    <n v="22.988505747126432"/>
    <n v="9.9948276800409577"/>
    <n v="82.688450645273292"/>
    <n v="50.896794501559214"/>
    <n v="12.127586206896551"/>
    <n v="-5.4875862068965509"/>
    <n v="1055"/>
    <n v="27"/>
    <s v="Open ended"/>
    <s v="Nifty Smallcap 100 - TRI"/>
    <n v="1000"/>
    <n v="1000"/>
  </r>
  <r>
    <x v="1055"/>
    <x v="33"/>
    <n v="5.26"/>
    <n v="4.28"/>
    <n v="3.76"/>
    <n v="0.99"/>
    <n v="63.587540279269597"/>
    <n v="27.024708304735761"/>
    <n v="30.297661233167961"/>
    <n v="35.97375116385863"/>
    <n v="66.666666666666657"/>
    <n v="20.231036181132705"/>
    <n v="64.958817444513926"/>
    <n v="50.893246609724464"/>
    <n v="4.4264935064935065"/>
    <n v="-0.66649350649350669"/>
    <n v="1056"/>
    <n v="63"/>
    <s v="Open ended"/>
    <s v="CRISIL Ultra Short Term Debt Index"/>
    <n v="2000"/>
    <n v="2000"/>
  </r>
  <r>
    <x v="1056"/>
    <x v="44"/>
    <n v="13.35"/>
    <n v="19.93"/>
    <n v="12.91"/>
    <n v="2.73"/>
    <n v="80.966702470461868"/>
    <n v="53.877831159917648"/>
    <n v="62.721474131821395"/>
    <n v="63.717426907978364"/>
    <n v="0"/>
    <n v="13.813672737683111"/>
    <n v="76.074016979203776"/>
    <n v="50.877217698790126"/>
    <n v="11.035555555555554"/>
    <n v="1.8744444444444461"/>
    <n v="1057"/>
    <n v="11"/>
    <s v="Open ended"/>
    <s v="Nifty India Consumption - TRI"/>
    <n v="5000"/>
    <n v="1000"/>
  </r>
  <r>
    <x v="1057"/>
    <x v="34"/>
    <n v="3.42"/>
    <n v="10.84"/>
    <n v="9.18"/>
    <n v="2.06"/>
    <n v="59.634801288936622"/>
    <n v="38.280713795470142"/>
    <n v="49.503897944720052"/>
    <n v="48.163123368788391"/>
    <n v="25.670498084291182"/>
    <n v="10.681698660921979"/>
    <n v="81.498755208142683"/>
    <n v="50.873875007502662"/>
    <n v="7.9378947368421047"/>
    <n v="1.242105263157895"/>
    <n v="1058"/>
    <n v="7"/>
    <s v="Open ended"/>
    <s v="NIFTY 50 Hybrid Composite Debt 50:50 Index"/>
    <n v="1000"/>
    <n v="1000"/>
  </r>
  <r>
    <x v="1058"/>
    <x v="34"/>
    <n v="3.42"/>
    <n v="10.84"/>
    <n v="9.18"/>
    <n v="2.06"/>
    <n v="59.634801288936622"/>
    <n v="38.280713795470142"/>
    <n v="49.503897944720052"/>
    <n v="48.163123368788391"/>
    <n v="25.670498084291182"/>
    <n v="10.681698660921979"/>
    <n v="81.498755208142683"/>
    <n v="50.873875007502662"/>
    <n v="7.9378947368421047"/>
    <n v="1.242105263157895"/>
    <n v="1058"/>
    <n v="7"/>
    <s v="Open ended"/>
    <s v="NIFTY 50 Hybrid Composite Debt 50:50 Index"/>
    <n v="1000"/>
    <n v="1000"/>
  </r>
  <r>
    <x v="1059"/>
    <x v="27"/>
    <n v="-1.67"/>
    <n v="11.48"/>
    <n v="9.11"/>
    <n v="2.19"/>
    <n v="48.700322234156815"/>
    <n v="39.378860672614969"/>
    <n v="49.255846917080085"/>
    <n v="46.181646107155899"/>
    <n v="20.68965517241379"/>
    <n v="5.5490706517697213"/>
    <n v="90.388727696345498"/>
    <n v="50.860418770767772"/>
    <n v="10.044583333333334"/>
    <n v="-0.93458333333333421"/>
    <n v="1060"/>
    <n v="31"/>
    <s v="Open ended"/>
    <s v="S&amp;P BSE 100 - TRI"/>
    <n v="1000"/>
    <n v="1000"/>
  </r>
  <r>
    <x v="1060"/>
    <x v="22"/>
    <n v="16.739999999999998"/>
    <n v="20.21"/>
    <n v="9.5"/>
    <n v="2.19"/>
    <n v="88.249194414607942"/>
    <n v="54.358270418668496"/>
    <n v="50.637845499645643"/>
    <n v="59.276242758344964"/>
    <n v="20.68965517241379"/>
    <n v="20.724582255860895"/>
    <n v="64.103970567208506"/>
    <n v="50.836527814078053"/>
    <n v="9.83"/>
    <n v="-0.33000000000000007"/>
    <n v="1061"/>
    <n v="17"/>
    <s v="Open ended"/>
    <s v="NIFTY 500 - TRI"/>
    <n v="1000"/>
    <n v="1000"/>
  </r>
  <r>
    <x v="1061"/>
    <x v="19"/>
    <n v="18.7"/>
    <n v="22.53"/>
    <n v="11.21"/>
    <n v="2.48"/>
    <n v="92.459720730397407"/>
    <n v="58.33905284831846"/>
    <n v="56.69737774627923"/>
    <n v="64.342348873714627"/>
    <n v="9.578544061302674"/>
    <n v="20.190180160883063"/>
    <n v="65.029582147381362"/>
    <n v="50.823205989028324"/>
    <n v="9.4014285714285712"/>
    <n v="1.8085714285714296"/>
    <n v="1062"/>
    <n v="17"/>
    <s v="Open ended"/>
    <s v="Nifty Infrastructure - TRI"/>
    <n v="5000"/>
    <n v="1000"/>
  </r>
  <r>
    <x v="1062"/>
    <x v="19"/>
    <n v="7.33"/>
    <n v="23.06"/>
    <n v="9.15"/>
    <n v="2.54"/>
    <n v="68.034371643394195"/>
    <n v="59.248455730954021"/>
    <n v="49.397590361445779"/>
    <n v="56.080206228687935"/>
    <n v="7.2796934865900331"/>
    <n v="9.3234604046265019"/>
    <n v="83.851292876830215"/>
    <n v="50.822849705199033"/>
    <n v="9.4014285714285712"/>
    <n v="-0.25142857142857089"/>
    <n v="1063"/>
    <n v="18"/>
    <s v="Open ended"/>
    <s v=""/>
    <n v="5000"/>
    <n v="1000"/>
  </r>
  <r>
    <x v="1063"/>
    <x v="46"/>
    <n v="4.4400000000000004"/>
    <n v="4.1500000000000004"/>
    <n v="4.8"/>
    <n v="1.1499999999999999"/>
    <n v="61.825993555316863"/>
    <n v="26.801647220315722"/>
    <n v="33.982990786676112"/>
    <n v="37.397188270496144"/>
    <n v="60.536398467432953"/>
    <n v="18.500042048541179"/>
    <n v="67.956987229766071"/>
    <n v="50.821940559547826"/>
    <n v="4.4820000000000002"/>
    <n v="0.31799999999999962"/>
    <n v="1064"/>
    <n v="35"/>
    <s v="Open ended"/>
    <s v="Nifty 50 Arbitrage"/>
    <n v="5000"/>
    <n v="1000"/>
  </r>
  <r>
    <x v="1064"/>
    <x v="25"/>
    <n v="5.3"/>
    <n v="3.6"/>
    <n v="4.2"/>
    <n v="1.02"/>
    <n v="63.673469387755098"/>
    <n v="25.857927247769393"/>
    <n v="31.856839121190646"/>
    <n v="36.420491612477164"/>
    <n v="65.517241379310349"/>
    <n v="20.323632108645402"/>
    <n v="64.798436593487963"/>
    <n v="50.78916529943816"/>
    <n v="5.1221052631578941"/>
    <n v="-0.92210526315789387"/>
    <n v="1065"/>
    <n v="63"/>
    <s v="Open ended"/>
    <s v="CRISIL Low Duration Debt Index"/>
    <n v="5000"/>
    <n v="1000"/>
  </r>
  <r>
    <x v="1065"/>
    <x v="34"/>
    <n v="5.17"/>
    <n v="9.68"/>
    <n v="8.01"/>
    <n v="1.83"/>
    <n v="63.394199785177229"/>
    <n v="36.29032258064516"/>
    <n v="45.357902197023385"/>
    <n v="46.244887829740691"/>
    <n v="34.482758620689658"/>
    <n v="13.797035855007378"/>
    <n v="76.102832905277722"/>
    <n v="50.768841796362189"/>
    <n v="7.9378947368421047"/>
    <n v="7.2105263157895116E-2"/>
    <n v="1066"/>
    <n v="9"/>
    <s v="Open ended"/>
    <s v="CRISIL Hybrid 50+50 - Moderate Index"/>
    <n v="1000"/>
    <n v="1000"/>
  </r>
  <r>
    <x v="1066"/>
    <x v="34"/>
    <n v="5.17"/>
    <n v="9.68"/>
    <n v="8.01"/>
    <n v="1.83"/>
    <n v="63.394199785177229"/>
    <n v="36.29032258064516"/>
    <n v="45.357902197023385"/>
    <n v="46.244887829740691"/>
    <n v="34.482758620689658"/>
    <n v="13.797035855007378"/>
    <n v="76.102832905277722"/>
    <n v="50.768841796362189"/>
    <n v="7.9378947368421047"/>
    <n v="7.2105263157895116E-2"/>
    <n v="1066"/>
    <n v="9"/>
    <s v="Open ended"/>
    <s v="CRISIL Hybrid 50+50 - Moderate Index"/>
    <n v="5000"/>
    <m/>
  </r>
  <r>
    <x v="1067"/>
    <x v="49"/>
    <n v="5.66"/>
    <n v="3.72"/>
    <n v="4.95"/>
    <n v="1.1100000000000001"/>
    <n v="64.446831364124591"/>
    <n v="26.063829787234049"/>
    <n v="34.514528703047482"/>
    <n v="37.965779560518875"/>
    <n v="62.068965517241367"/>
    <n v="20.168506244520756"/>
    <n v="65.06712247171987"/>
    <n v="50.766911777499743"/>
    <n v="4.3271875"/>
    <n v="0.62281250000000021"/>
    <n v="1068"/>
    <n v="8"/>
    <s v="Open ended"/>
    <s v="CRISIL Medium to Long Term Debt Index"/>
    <n v="5000"/>
    <n v="1000"/>
  </r>
  <r>
    <x v="1068"/>
    <x v="49"/>
    <n v="5.66"/>
    <n v="3.72"/>
    <n v="4.9400000000000004"/>
    <n v="1.1100000000000001"/>
    <n v="64.446831364124591"/>
    <n v="26.063829787234049"/>
    <n v="34.47909284195606"/>
    <n v="37.948061629973168"/>
    <n v="62.068965517241367"/>
    <n v="20.174806130686918"/>
    <n v="65.056210748798179"/>
    <n v="50.75532488149647"/>
    <n v="4.3271875"/>
    <n v="0.61281250000000043"/>
    <n v="1069"/>
    <n v="9"/>
    <s v="Open ended"/>
    <s v="CRISIL Medium to Long Term Debt Index"/>
    <n v="5000"/>
    <n v="1000"/>
  </r>
  <r>
    <x v="1069"/>
    <x v="23"/>
    <n v="-5.78"/>
    <n v="11.11"/>
    <n v="9.14"/>
    <n v="2.09"/>
    <n v="39.871106337271748"/>
    <n v="38.743994509265619"/>
    <n v="49.362154500354357"/>
    <n v="44.278496870411217"/>
    <n v="24.521072796934874"/>
    <n v="5.8323194057359187"/>
    <n v="89.898126463295469"/>
    <n v="50.744048250263191"/>
    <n v="10.023387096774194"/>
    <n v="-0.88338709677419303"/>
    <n v="1070"/>
    <n v="43"/>
    <s v="Open ended"/>
    <s v="S&amp;P BSE 500 - TRI"/>
    <n v="1000"/>
    <n v="1000"/>
  </r>
  <r>
    <x v="1070"/>
    <x v="33"/>
    <n v="5.38"/>
    <n v="4.3600000000000003"/>
    <n v="3.64"/>
    <n v="0.99"/>
    <n v="63.845327604726101"/>
    <n v="27.161976664378862"/>
    <n v="29.872430900070867"/>
    <n v="35.853873970294316"/>
    <n v="66.666666666666657"/>
    <n v="20.44167519587387"/>
    <n v="64.593979968925964"/>
    <n v="50.742098644045313"/>
    <n v="4.4264935064935065"/>
    <n v="-0.78649350649350636"/>
    <n v="1071"/>
    <n v="64"/>
    <s v="Open ended"/>
    <s v="CRISIL Ultra Short Term Debt Index"/>
    <n v="2000"/>
    <n v="2000"/>
  </r>
  <r>
    <x v="1071"/>
    <x v="27"/>
    <n v="0.44"/>
    <n v="11.93"/>
    <n v="9.25"/>
    <n v="2.2200000000000002"/>
    <n v="53.233082706766908"/>
    <n v="40.150995195607422"/>
    <n v="49.751948972360026"/>
    <n v="47.567889586215621"/>
    <n v="19.540229885057457"/>
    <n v="6.7754165819010801"/>
    <n v="88.264634237702666"/>
    <n v="50.735160823797841"/>
    <n v="10.044583333333334"/>
    <n v="-0.79458333333333364"/>
    <n v="1072"/>
    <n v="32"/>
    <s v="Open ended"/>
    <s v="NIFTY 100 - TRI"/>
    <n v="5000"/>
    <n v="1000"/>
  </r>
  <r>
    <x v="1072"/>
    <x v="12"/>
    <n v="3.71"/>
    <n v="12.81"/>
    <n v="9.5299999999999994"/>
    <n v="2.23"/>
    <n v="60.257787325456491"/>
    <n v="41.66094715168154"/>
    <n v="50.744153082919908"/>
    <n v="49.921918152055717"/>
    <n v="19.157088122605369"/>
    <n v="9.2992502470089722"/>
    <n v="83.893226099883023"/>
    <n v="50.723537631649961"/>
    <n v="9.219019607843137"/>
    <n v="0.31098039215686235"/>
    <n v="1073"/>
    <n v="32"/>
    <s v="Open ended"/>
    <s v="CRISIL Hybrid 35+65 - Aggressive Index"/>
    <n v="5000"/>
    <n v="1000"/>
  </r>
  <r>
    <x v="1073"/>
    <x v="11"/>
    <n v="-1.99"/>
    <n v="16.809999999999999"/>
    <n v="8.66"/>
    <n v="2.5299999999999998"/>
    <n v="48.012889366272823"/>
    <n v="48.524365133836653"/>
    <n v="47.661233167965975"/>
    <n v="47.990503997388551"/>
    <n v="7.6628352490421436"/>
    <n v="0.43402502483927835"/>
    <n v="99.248246605222022"/>
    <n v="50.723022462260317"/>
    <n v="11.362272727272726"/>
    <n v="-2.7022727272727263"/>
    <n v="1074"/>
    <n v="40"/>
    <s v="Open ended"/>
    <s v="Nifty Midcap 150 - TRI"/>
    <n v="5000"/>
    <n v="1000"/>
  </r>
  <r>
    <x v="1074"/>
    <x v="6"/>
    <n v="10.5"/>
    <n v="23.07"/>
    <n v="10.48"/>
    <n v="2.68"/>
    <n v="74.844253490870031"/>
    <n v="59.265614275909407"/>
    <n v="54.110559886605245"/>
    <n v="59.803814924249451"/>
    <n v="1.9157088122605304"/>
    <n v="10.794710402338451"/>
    <n v="81.303013130157524"/>
    <n v="50.70658794772924"/>
    <n v="9.0435999999999996"/>
    <n v="1.4364000000000008"/>
    <n v="1075"/>
    <n v="18"/>
    <s v="Open ended"/>
    <s v="NIFTY500 Value 50 - TRI"/>
    <n v="5000"/>
    <n v="1000"/>
  </r>
  <r>
    <x v="1075"/>
    <x v="23"/>
    <n v="-5.79"/>
    <n v="11.04"/>
    <n v="9.6"/>
    <n v="2.09"/>
    <n v="39.849624060150376"/>
    <n v="38.623884694577903"/>
    <n v="50.992204110559882"/>
    <n v="45.053192275683386"/>
    <n v="24.521072796934874"/>
    <n v="6.8146270666835314"/>
    <n v="88.196719685870065"/>
    <n v="50.706044258542931"/>
    <n v="10.023387096774194"/>
    <n v="-0.42338709677419395"/>
    <n v="1076"/>
    <n v="44"/>
    <s v="Open ended"/>
    <s v="S&amp;P BSE 500 - TRI"/>
    <n v="1000"/>
    <n v="1000"/>
  </r>
  <r>
    <x v="1076"/>
    <x v="36"/>
    <n v="4.08"/>
    <n v="9.65"/>
    <n v="7.38"/>
    <n v="1.8"/>
    <n v="61.05263157894737"/>
    <n v="36.238846945779002"/>
    <n v="43.12544294826364"/>
    <n v="44.644901873654995"/>
    <n v="35.632183908045967"/>
    <n v="12.809717694799886"/>
    <n v="77.812918121992524"/>
    <n v="50.683726444337125"/>
    <n v="5.7759259259259252"/>
    <n v="1.6040740740740747"/>
    <n v="1077"/>
    <n v="10"/>
    <s v="Open ended"/>
    <s v="CRISIL Hybrid 85+15 - Conservative Index"/>
    <n v="5000"/>
    <n v="1000"/>
  </r>
  <r>
    <x v="1077"/>
    <x v="46"/>
    <n v="4.4400000000000004"/>
    <n v="4.08"/>
    <n v="4.71"/>
    <n v="1.1499999999999999"/>
    <n v="61.825993555316863"/>
    <n v="26.68153740562801"/>
    <n v="33.664068036853287"/>
    <n v="37.201693951178413"/>
    <n v="60.536398467432953"/>
    <n v="18.605476707056319"/>
    <n v="67.774369044339167"/>
    <n v="50.678538853532231"/>
    <n v="4.4820000000000002"/>
    <n v="0.22799999999999976"/>
    <n v="1078"/>
    <n v="36"/>
    <s v="Open ended"/>
    <s v="Nifty 50 Arbitrage"/>
    <n v="5000"/>
    <n v="1000"/>
  </r>
  <r>
    <x v="1078"/>
    <x v="12"/>
    <n v="-0.77"/>
    <n v="9.5500000000000007"/>
    <n v="6.89"/>
    <n v="1.89"/>
    <n v="50.633727175080558"/>
    <n v="36.067261496225122"/>
    <n v="41.389085754783835"/>
    <n v="41.641466761275574"/>
    <n v="32.18390804597702"/>
    <n v="7.3707431873378413"/>
    <n v="87.23349830998869"/>
    <n v="50.675084969629211"/>
    <n v="9.219019607843137"/>
    <n v="-2.3290196078431373"/>
    <n v="1079"/>
    <n v="33"/>
    <s v="Open ended"/>
    <s v="NIFTY 50 Hybrid Composite Debt 65:35 Index"/>
    <n v="5000"/>
    <n v="1000"/>
  </r>
  <r>
    <x v="1079"/>
    <x v="15"/>
    <n v="4.7300000000000004"/>
    <n v="3.2"/>
    <n v="5.27"/>
    <n v="1.1599999999999999"/>
    <n v="62.448979591836732"/>
    <n v="25.171585449553881"/>
    <n v="35.648476257973059"/>
    <n v="37.865509682220036"/>
    <n v="60.153256704980841"/>
    <n v="19.225141239182442"/>
    <n v="66.701078591048315"/>
    <n v="50.646338665117305"/>
    <n v="5.2086538461538465"/>
    <n v="6.1346153846153051E-2"/>
    <n v="1080"/>
    <n v="32"/>
    <s v="Open ended"/>
    <s v=""/>
    <n v="1000"/>
    <n v="1000"/>
  </r>
  <r>
    <x v="1080"/>
    <x v="50"/>
    <n v="4.84"/>
    <n v="3.14"/>
    <n v="5.5"/>
    <n v="1.18"/>
    <n v="62.685284640171858"/>
    <n v="25.068634179821554"/>
    <n v="36.463501063075832"/>
    <n v="38.289397713518753"/>
    <n v="59.38697318007663"/>
    <n v="19.289190915757803"/>
    <n v="66.590141297011456"/>
    <n v="50.6389774760314"/>
    <n v="4.3111111111111109"/>
    <n v="1.1888888888888891"/>
    <n v="1081"/>
    <n v="13"/>
    <s v="Open ended"/>
    <s v="CRISIL Dynamic Gilt Index"/>
    <n v="1000"/>
    <n v="1000"/>
  </r>
  <r>
    <x v="1081"/>
    <x v="15"/>
    <n v="4.34"/>
    <n v="3.07"/>
    <n v="4.13"/>
    <n v="1.03"/>
    <n v="61.611170784103109"/>
    <n v="24.948524365133839"/>
    <n v="31.608788093550672"/>
    <n v="35.611185513136107"/>
    <n v="65.134099616858236"/>
    <n v="19.530539002993855"/>
    <n v="66.172114147609037"/>
    <n v="50.632146197684875"/>
    <n v="5.2086538461538465"/>
    <n v="-1.0786538461538466"/>
    <n v="1082"/>
    <n v="33"/>
    <s v="Open ended"/>
    <s v=""/>
    <n v="5000"/>
    <n v="1000"/>
  </r>
  <r>
    <x v="1082"/>
    <x v="21"/>
    <n v="5.56"/>
    <n v="18.39"/>
    <n v="9.56"/>
    <n v="2.5099999999999998"/>
    <n v="64.232008592910844"/>
    <n v="51.235415236787929"/>
    <n v="50.850460666194188"/>
    <n v="53.642256622715642"/>
    <n v="8.4291187739463638"/>
    <n v="7.6171457230913617"/>
    <n v="86.806716598949791"/>
    <n v="50.630087154581858"/>
    <n v="10.412619047619048"/>
    <n v="-0.85261904761904717"/>
    <n v="1083"/>
    <n v="33"/>
    <s v="Open ended"/>
    <s v="NIFTY LargeMidcap 250 - TRI"/>
    <n v="5000"/>
    <n v="1000"/>
  </r>
  <r>
    <x v="1083"/>
    <x v="21"/>
    <n v="5.56"/>
    <n v="18.39"/>
    <n v="9.56"/>
    <n v="2.5099999999999998"/>
    <n v="64.232008592910844"/>
    <n v="51.235415236787929"/>
    <n v="50.850460666194188"/>
    <n v="53.642256622715642"/>
    <n v="8.4291187739463638"/>
    <n v="7.6171457230913617"/>
    <n v="86.806716598949791"/>
    <n v="50.630087154581858"/>
    <n v="10.412619047619048"/>
    <n v="-0.85261904761904717"/>
    <n v="1083"/>
    <n v="33"/>
    <s v="Open ended"/>
    <s v="NIFTY LargeMidcap 250 - TRI"/>
    <n v="5000"/>
    <n v="1000"/>
  </r>
  <r>
    <x v="1084"/>
    <x v="13"/>
    <n v="0.32"/>
    <n v="14.97"/>
    <n v="10.119999999999999"/>
    <n v="2.5"/>
    <n v="52.975295381310417"/>
    <n v="45.3671928620453"/>
    <n v="52.834868887313959"/>
    <n v="50.622651378532652"/>
    <n v="8.812260536398453"/>
    <n v="4.3525687580675978"/>
    <n v="92.461129767589952"/>
    <n v="50.629673265263428"/>
    <n v="10.461"/>
    <n v="-0.34100000000000108"/>
    <n v="1085"/>
    <n v="31"/>
    <s v="Open ended"/>
    <s v="NIFTY 500 - TRI"/>
    <n v="5000"/>
    <n v="1000"/>
  </r>
  <r>
    <x v="1085"/>
    <x v="49"/>
    <n v="5.66"/>
    <n v="3.72"/>
    <n v="4.83"/>
    <n v="1.1100000000000001"/>
    <n v="64.446831364124591"/>
    <n v="26.063829787234049"/>
    <n v="34.089298369950392"/>
    <n v="37.75316439397033"/>
    <n v="62.068965517241367"/>
    <n v="20.245340062658553"/>
    <n v="64.934042394965701"/>
    <n v="50.627334175036928"/>
    <n v="4.3271875"/>
    <n v="0.50281250000000011"/>
    <n v="1086"/>
    <n v="10"/>
    <s v="Open ended"/>
    <s v="CRISIL Medium to Long Term Debt Index"/>
    <n v="5000"/>
    <n v="1000"/>
  </r>
  <r>
    <x v="1086"/>
    <x v="36"/>
    <n v="4.71"/>
    <n v="8.61"/>
    <n v="7.52"/>
    <n v="1.74"/>
    <n v="62.406015037593974"/>
    <n v="34.454358270418673"/>
    <n v="43.621545003543581"/>
    <n v="44.628282990416182"/>
    <n v="37.931034482758605"/>
    <n v="14.248910736673261"/>
    <n v="75.320162651568239"/>
    <n v="50.626940778789802"/>
    <n v="5.7759259259259252"/>
    <n v="1.7440740740740743"/>
    <n v="1087"/>
    <n v="11"/>
    <s v="Open ended"/>
    <s v="NIFTY 50 Hybrid Composite Debt 15:85 Index"/>
    <n v="5000"/>
    <n v="1000"/>
  </r>
  <r>
    <x v="1087"/>
    <x v="33"/>
    <n v="5.33"/>
    <n v="4.41"/>
    <n v="3.89"/>
    <n v="1.04"/>
    <n v="63.737916219119214"/>
    <n v="27.247769389155806"/>
    <n v="30.75832742735648"/>
    <n v="36.301077774248824"/>
    <n v="64.750957854406124"/>
    <n v="20.130855712419951"/>
    <n v="65.13233510625048"/>
    <n v="50.621362127288563"/>
    <n v="4.4264935064935065"/>
    <n v="-0.53649350649350636"/>
    <n v="1088"/>
    <n v="65"/>
    <s v="Open ended"/>
    <s v="CRISIL Ultra Short Term Debt Index"/>
    <n v="1000"/>
    <n v="1000"/>
  </r>
  <r>
    <x v="1088"/>
    <x v="50"/>
    <n v="4.07"/>
    <n v="2.5299999999999998"/>
    <n v="3.96"/>
    <n v="0.99"/>
    <n v="61.031149301825991"/>
    <n v="24.021962937542902"/>
    <n v="31.006378454996451"/>
    <n v="34.916007969126298"/>
    <n v="66.666666666666657"/>
    <n v="19.66362462293981"/>
    <n v="65.941603092105836"/>
    <n v="50.610071424256276"/>
    <n v="4.3111111111111109"/>
    <n v="-0.35111111111111093"/>
    <n v="1089"/>
    <n v="14"/>
    <s v="Open ended"/>
    <s v="Nifty All Duration G-Sec Index"/>
    <n v="5000"/>
    <n v="1000"/>
  </r>
  <r>
    <x v="1089"/>
    <x v="7"/>
    <n v="2.16"/>
    <n v="16.89"/>
    <n v="9.5"/>
    <n v="2.54"/>
    <n v="56.928034371643385"/>
    <n v="48.661633493479762"/>
    <n v="50.637845499645643"/>
    <n v="51.303019672195433"/>
    <n v="7.2796934865900331"/>
    <n v="4.3167362944942314"/>
    <n v="92.523193415059382"/>
    <n v="50.602231561510067"/>
    <n v="8.6526315789473696"/>
    <n v="0.84736842105263044"/>
    <n v="1090"/>
    <n v="7"/>
    <s v="Open ended"/>
    <s v="NIFTY 500 - TRI"/>
    <n v="5000"/>
    <n v="1000"/>
  </r>
  <r>
    <x v="1090"/>
    <x v="23"/>
    <n v="1.52"/>
    <n v="11.87"/>
    <n v="7.07"/>
    <n v="1.98"/>
    <n v="55.553168635875409"/>
    <n v="40.048043925875085"/>
    <n v="42.026931254429478"/>
    <n v="44.138512532152347"/>
    <n v="28.735632183908045"/>
    <n v="8.4388386348576923"/>
    <n v="85.383502727551289"/>
    <n v="50.599039993941005"/>
    <n v="10.023387096774194"/>
    <n v="-2.9533870967741933"/>
    <n v="1091"/>
    <n v="45"/>
    <s v="Open ended"/>
    <s v="NIFTY 500 - TRI"/>
    <n v="1000"/>
    <n v="1000"/>
  </r>
  <r>
    <x v="1091"/>
    <x v="48"/>
    <n v="5.75"/>
    <n v="3.57"/>
    <n v="5.84"/>
    <n v="1.22"/>
    <n v="64.640171858216959"/>
    <n v="25.806451612903231"/>
    <n v="37.668320340184266"/>
    <n v="39.504130025606493"/>
    <n v="57.854406130268202"/>
    <n v="19.900764357620954"/>
    <n v="65.530865023144699"/>
    <n v="50.598382801156475"/>
    <n v="3.5597297297297299"/>
    <n v="2.28027027027027"/>
    <n v="1092"/>
    <n v="6"/>
    <s v="Open ended"/>
    <s v="NIFTY Medium Duration Debt Index"/>
    <n v="5000"/>
    <n v="1000"/>
  </r>
  <r>
    <x v="1092"/>
    <x v="48"/>
    <n v="5.75"/>
    <n v="3.57"/>
    <n v="5.84"/>
    <n v="1.22"/>
    <n v="64.640171858216959"/>
    <n v="25.806451612903231"/>
    <n v="37.668320340184266"/>
    <n v="39.504130025606493"/>
    <n v="57.854406130268202"/>
    <n v="19.900764357620954"/>
    <n v="65.530865023144699"/>
    <n v="50.598382801156475"/>
    <n v="3.5597297297297299"/>
    <n v="2.28027027027027"/>
    <n v="1092"/>
    <n v="6"/>
    <s v="Open ended"/>
    <s v="NIFTY Medium Duration Debt Index"/>
    <n v="5000"/>
    <n v="1000"/>
  </r>
  <r>
    <x v="1093"/>
    <x v="10"/>
    <n v="-3.5"/>
    <n v="9.34"/>
    <n v="9.51"/>
    <n v="2.0699999999999998"/>
    <n v="44.769065520945219"/>
    <n v="35.706932052161974"/>
    <n v="50.673281360737057"/>
    <n v="45.002533400206161"/>
    <n v="25.287356321839095"/>
    <n v="7.5384971901475621"/>
    <n v="86.942939853949198"/>
    <n v="50.558840744050158"/>
    <n v="10.563571428571427"/>
    <n v="-1.053571428571427"/>
    <n v="1094"/>
    <n v="11"/>
    <s v="Open ended"/>
    <s v=""/>
    <n v="1000"/>
    <n v="1000"/>
  </r>
  <r>
    <x v="1094"/>
    <x v="12"/>
    <n v="3.71"/>
    <n v="12.81"/>
    <n v="9.34"/>
    <n v="2.23"/>
    <n v="60.257787325456491"/>
    <n v="41.66094715168154"/>
    <n v="50.070871722182851"/>
    <n v="49.585277471687192"/>
    <n v="19.157088122605369"/>
    <n v="9.3125591294648213"/>
    <n v="83.870174439277534"/>
    <n v="50.549454376314323"/>
    <n v="9.219019607843137"/>
    <n v="0.12098039215686285"/>
    <n v="1095"/>
    <n v="34"/>
    <s v="Open ended"/>
    <s v="CRISIL Hybrid 35+65 - Aggressive Index"/>
    <n v="5000"/>
    <n v="1000"/>
  </r>
  <r>
    <x v="1095"/>
    <x v="19"/>
    <n v="9.44"/>
    <n v="20.46"/>
    <n v="10.01"/>
    <n v="2.5499999999999998"/>
    <n v="72.567132116004302"/>
    <n v="54.787234042553187"/>
    <n v="52.445074415308291"/>
    <n v="57.172133843620962"/>
    <n v="6.8965517241379448"/>
    <n v="11.003845489433427"/>
    <n v="80.940780533663684"/>
    <n v="50.54539998626089"/>
    <n v="9.4014285714285712"/>
    <n v="0.60857142857142854"/>
    <n v="1096"/>
    <n v="19"/>
    <s v="Open ended"/>
    <s v="S&amp;P BSE India Infrastructure Index - TRI"/>
    <n v="5000"/>
    <n v="1000"/>
  </r>
  <r>
    <x v="1096"/>
    <x v="15"/>
    <n v="4.74"/>
    <n v="3.2"/>
    <n v="5.18"/>
    <n v="1.1599999999999999"/>
    <n v="62.470461868958104"/>
    <n v="25.171585449553881"/>
    <n v="35.329553508150248"/>
    <n v="37.710344762732909"/>
    <n v="60.153256704980841"/>
    <n v="19.283064261501689"/>
    <n v="66.600752973463443"/>
    <n v="50.543674800977527"/>
    <n v="5.2086538461538465"/>
    <n v="-2.8653846153846807E-2"/>
    <n v="1097"/>
    <n v="34"/>
    <s v="Open ended"/>
    <s v=""/>
    <n v="1000"/>
    <n v="1000"/>
  </r>
  <r>
    <x v="1097"/>
    <x v="13"/>
    <n v="0.28000000000000003"/>
    <n v="14.97"/>
    <n v="9.89"/>
    <n v="2.5"/>
    <n v="52.889366272824908"/>
    <n v="45.3671928620453"/>
    <n v="52.0198440822112"/>
    <n v="50.197953154284178"/>
    <n v="8.812260536398453"/>
    <n v="4.1149509903720647"/>
    <n v="92.872695814019721"/>
    <n v="50.52021566474663"/>
    <n v="10.461"/>
    <n v="-0.57099999999999973"/>
    <n v="1098"/>
    <n v="32"/>
    <s v="Open ended"/>
    <s v="NIFTY 500 - TRI"/>
    <n v="5000"/>
    <n v="1000"/>
  </r>
  <r>
    <x v="1098"/>
    <x v="10"/>
    <n v="-3.5"/>
    <n v="9.2899999999999991"/>
    <n v="9.41"/>
    <n v="2.0699999999999998"/>
    <n v="44.769065520945219"/>
    <n v="35.621139327385045"/>
    <n v="50.318922749822818"/>
    <n v="44.799616277315963"/>
    <n v="25.287356321839095"/>
    <n v="7.4219304141693918"/>
    <n v="87.144839432417896"/>
    <n v="50.507857077222226"/>
    <n v="10.563571428571427"/>
    <n v="-1.1535714285714267"/>
    <n v="1099"/>
    <n v="12"/>
    <s v="Open ended"/>
    <s v=""/>
    <n v="1000"/>
    <n v="1000"/>
  </r>
  <r>
    <x v="1099"/>
    <x v="21"/>
    <n v="4.3600000000000003"/>
    <n v="14.74"/>
    <n v="7.38"/>
    <n v="2.08"/>
    <n v="61.65413533834586"/>
    <n v="44.972546328071381"/>
    <n v="43.12544294826364"/>
    <n v="47.385312440222407"/>
    <n v="24.904214559386961"/>
    <n v="10.206204358866703"/>
    <n v="82.322335498011938"/>
    <n v="50.499293734460927"/>
    <n v="10.412619047619048"/>
    <n v="-3.0326190476190478"/>
    <n v="1100"/>
    <n v="35"/>
    <s v="Open ended"/>
    <s v="NIFTY LargeMidcap 250 - TRI"/>
    <n v="5000"/>
    <n v="1000"/>
  </r>
  <r>
    <x v="1100"/>
    <x v="12"/>
    <n v="-0.77"/>
    <n v="9.5299999999999994"/>
    <n v="6.73"/>
    <n v="1.89"/>
    <n v="50.633727175080558"/>
    <n v="36.03294440631435"/>
    <n v="40.82211197732105"/>
    <n v="41.347684745570945"/>
    <n v="32.18390804597702"/>
    <n v="7.4429695717142792"/>
    <n v="87.108398542601705"/>
    <n v="50.496919019930154"/>
    <n v="9.219019607843137"/>
    <n v="-2.4890196078431366"/>
    <n v="1101"/>
    <n v="35"/>
    <s v="Open ended"/>
    <s v="NIFTY 50 Hybrid Composite Debt 65:35 Index"/>
    <n v="5000"/>
    <n v="1000"/>
  </r>
  <r>
    <x v="1101"/>
    <x v="11"/>
    <n v="5.97"/>
    <n v="13.42"/>
    <n v="6.72"/>
    <n v="1.87"/>
    <n v="65.112781954887211"/>
    <n v="42.707618393960203"/>
    <n v="40.786676116229621"/>
    <n v="46.228179967280312"/>
    <n v="32.950191570881216"/>
    <n v="13.524304040626483"/>
    <n v="76.575218264625875"/>
    <n v="50.495442442516932"/>
    <n v="11.362272727272726"/>
    <n v="-4.6422727272727267"/>
    <n v="1102"/>
    <n v="41"/>
    <s v="Open ended"/>
    <s v="Nifty Midcap 100 - TRI"/>
    <n v="1000"/>
    <n v="1000"/>
  </r>
  <r>
    <x v="1102"/>
    <x v="33"/>
    <n v="5.33"/>
    <n v="4.41"/>
    <n v="3.79"/>
    <n v="1.04"/>
    <n v="63.737916219119214"/>
    <n v="27.247769389155806"/>
    <n v="30.403968816442241"/>
    <n v="36.123898468791708"/>
    <n v="64.750957854406124"/>
    <n v="20.218162049427765"/>
    <n v="64.981116094730211"/>
    <n v="50.494967721679942"/>
    <n v="4.4264935064935065"/>
    <n v="-0.63649350649350644"/>
    <n v="1103"/>
    <n v="66"/>
    <s v="Open ended"/>
    <s v="CRISIL Ultra Short Term Debt Index"/>
    <n v="1000"/>
    <n v="1000"/>
  </r>
  <r>
    <x v="1103"/>
    <x v="9"/>
    <n v="-0.63"/>
    <n v="13.23"/>
    <n v="10.57"/>
    <n v="2.41"/>
    <n v="50.9344790547798"/>
    <n v="42.381606039807828"/>
    <n v="54.429482636428062"/>
    <n v="50.11611894111234"/>
    <n v="12.260536398467426"/>
    <n v="6.1983602311869479"/>
    <n v="89.264125155969836"/>
    <n v="50.439224859165485"/>
    <n v="9.1675000000000004"/>
    <n v="1.4024999999999999"/>
    <n v="1104"/>
    <n v="3"/>
    <s v="Open ended"/>
    <s v="S&amp;P BSE 500 Shariah - TRI"/>
    <n v="5000"/>
    <n v="1000"/>
  </r>
  <r>
    <x v="1104"/>
    <x v="6"/>
    <n v="7.02"/>
    <n v="16.45"/>
    <n v="10.84"/>
    <n v="2.5299999999999998"/>
    <n v="67.368421052631575"/>
    <n v="47.906657515442696"/>
    <n v="55.38625088589653"/>
    <n v="55.538806908107389"/>
    <n v="7.6628352490421436"/>
    <n v="9.8173057986851884"/>
    <n v="82.995927563236691"/>
    <n v="50.434094157123404"/>
    <n v="9.0435999999999996"/>
    <n v="1.7964000000000002"/>
    <n v="1105"/>
    <n v="19"/>
    <s v="Open ended"/>
    <s v="S&amp;P BSE 500 - TRI"/>
    <n v="5000"/>
    <n v="1000"/>
  </r>
  <r>
    <x v="1105"/>
    <x v="6"/>
    <n v="7.02"/>
    <n v="16.45"/>
    <n v="10.84"/>
    <n v="2.5299999999999998"/>
    <n v="67.368421052631575"/>
    <n v="47.906657515442696"/>
    <n v="55.38625088589653"/>
    <n v="55.538806908107389"/>
    <n v="7.6628352490421436"/>
    <n v="9.8173057986851884"/>
    <n v="82.995927563236691"/>
    <n v="50.434094157123404"/>
    <n v="9.0435999999999996"/>
    <n v="1.7964000000000002"/>
    <n v="1105"/>
    <n v="19"/>
    <s v="Open ended"/>
    <s v="S&amp;P BSE 500 - TRI"/>
    <n v="5000"/>
    <n v="1000"/>
  </r>
  <r>
    <x v="1106"/>
    <x v="37"/>
    <n v="-0.31"/>
    <n v="9.16"/>
    <n v="7.63"/>
    <n v="1.95"/>
    <n v="51.621911922663799"/>
    <n v="35.398078242965006"/>
    <n v="44.011339475549256"/>
    <n v="42.949475595196887"/>
    <n v="29.885057471264375"/>
    <n v="8.1170793320837458"/>
    <n v="85.940806187763712"/>
    <n v="50.431203712355469"/>
    <n v="7.1099999999999994"/>
    <n v="0.52000000000000046"/>
    <n v="1107"/>
    <n v="3"/>
    <s v="Open ended"/>
    <s v="NIFTY 500 - TRI"/>
    <n v="5000"/>
    <n v="1000"/>
  </r>
  <r>
    <x v="1107"/>
    <x v="50"/>
    <n v="4.8499999999999996"/>
    <n v="3.14"/>
    <n v="5.31"/>
    <n v="1.18"/>
    <n v="62.70676691729323"/>
    <n v="25.068634179821554"/>
    <n v="35.790219702338767"/>
    <n v="37.957053488574502"/>
    <n v="59.38697318007663"/>
    <n v="19.391071596893337"/>
    <n v="66.413678780974976"/>
    <n v="50.428689734550154"/>
    <n v="4.3111111111111109"/>
    <n v="0.99888888888888872"/>
    <n v="1108"/>
    <n v="15"/>
    <s v="Open ended"/>
    <s v="CRISIL Dynamic Gilt Index"/>
    <n v="1000"/>
    <n v="1000"/>
  </r>
  <r>
    <x v="1108"/>
    <x v="9"/>
    <n v="-0.63"/>
    <n v="13.21"/>
    <n v="10.56"/>
    <n v="2.41"/>
    <n v="50.9344790547798"/>
    <n v="42.347288949897056"/>
    <n v="54.394046775336633"/>
    <n v="50.088105883593393"/>
    <n v="12.260536398467426"/>
    <n v="6.2025910824335426"/>
    <n v="89.256797106651462"/>
    <n v="50.423386318076417"/>
    <n v="9.1675000000000004"/>
    <n v="1.3925000000000001"/>
    <n v="1109"/>
    <n v="4"/>
    <s v="Open ended"/>
    <s v="S&amp;P BSE 500 Shariah - TRI"/>
    <n v="5000"/>
    <n v="1000"/>
  </r>
  <r>
    <x v="1109"/>
    <x v="15"/>
    <n v="4.7300000000000004"/>
    <n v="3.2"/>
    <n v="5.0599999999999996"/>
    <n v="1.1599999999999999"/>
    <n v="62.448979591836732"/>
    <n v="25.171585449553881"/>
    <n v="34.90432317505315"/>
    <n v="37.493433140760089"/>
    <n v="60.153256704980841"/>
    <n v="19.334935543341906"/>
    <n v="66.510909277862453"/>
    <n v="50.412758066090866"/>
    <n v="5.2086538461538465"/>
    <n v="-0.14865384615384691"/>
    <n v="1110"/>
    <n v="35"/>
    <s v="Open ended"/>
    <s v=""/>
    <n v="1000"/>
    <n v="1000"/>
  </r>
  <r>
    <x v="1110"/>
    <x v="44"/>
    <n v="13.35"/>
    <n v="19.93"/>
    <n v="12.48"/>
    <n v="2.73"/>
    <n v="80.966702470461868"/>
    <n v="53.877831159917648"/>
    <n v="61.197732104890143"/>
    <n v="62.955555894512742"/>
    <n v="0"/>
    <n v="14.013089642891558"/>
    <n v="75.7286167674946"/>
    <n v="50.409932139130021"/>
    <n v="11.035555555555554"/>
    <n v="1.4444444444444464"/>
    <n v="1111"/>
    <n v="12"/>
    <s v="Open ended"/>
    <s v="Nifty India Consumption - TRI"/>
    <n v="5000"/>
    <n v="1000"/>
  </r>
  <r>
    <x v="1111"/>
    <x v="38"/>
    <n v="6.66"/>
    <n v="4.96"/>
    <n v="6.14"/>
    <n v="1.33"/>
    <n v="66.595059076262089"/>
    <n v="28.191489361702132"/>
    <n v="38.731396172926999"/>
    <n v="41.142156710226558"/>
    <n v="53.639846743295003"/>
    <n v="19.842326446265748"/>
    <n v="65.632082454700111"/>
    <n v="50.389060654612059"/>
    <n v="4.625"/>
    <n v="1.5149999999999997"/>
    <n v="1112"/>
    <n v="24"/>
    <s v="Open ended"/>
    <s v="NIFTY Composite Bond Index"/>
    <n v="5000"/>
    <n v="1000"/>
  </r>
  <r>
    <x v="1112"/>
    <x v="38"/>
    <n v="6.66"/>
    <n v="4.96"/>
    <n v="6.14"/>
    <n v="1.33"/>
    <n v="66.595059076262089"/>
    <n v="28.191489361702132"/>
    <n v="38.731396172926999"/>
    <n v="41.142156710226558"/>
    <n v="53.639846743295003"/>
    <n v="19.842326446265748"/>
    <n v="65.632082454700111"/>
    <n v="50.389060654612059"/>
    <n v="4.625"/>
    <n v="1.5149999999999997"/>
    <n v="1112"/>
    <n v="24"/>
    <s v="Open ended"/>
    <s v="NIFTY Composite Bond Index"/>
    <n v="5000"/>
    <n v="1000"/>
  </r>
  <r>
    <x v="1113"/>
    <x v="38"/>
    <n v="6.66"/>
    <n v="4.96"/>
    <n v="6.14"/>
    <n v="1.33"/>
    <n v="66.595059076262089"/>
    <n v="28.191489361702132"/>
    <n v="38.731396172926999"/>
    <n v="41.142156710226558"/>
    <n v="53.639846743295003"/>
    <n v="19.842326446265748"/>
    <n v="65.632082454700111"/>
    <n v="50.389060654612059"/>
    <n v="4.625"/>
    <n v="1.5149999999999997"/>
    <n v="1112"/>
    <n v="24"/>
    <s v="Open ended"/>
    <s v="NIFTY Composite Bond Index"/>
    <n v="5000"/>
    <n v="1000"/>
  </r>
  <r>
    <x v="1114"/>
    <x v="27"/>
    <n v="5.09"/>
    <n v="13.66"/>
    <n v="11.46"/>
    <n v="2.4500000000000002"/>
    <n v="63.222341568206232"/>
    <n v="43.119423472889508"/>
    <n v="57.583274273564847"/>
    <n v="54.371932492290526"/>
    <n v="10.727969348658984"/>
    <n v="10.369260467721436"/>
    <n v="82.039914032991049"/>
    <n v="50.377937091557769"/>
    <n v="10.044583333333334"/>
    <n v="1.4154166666666672"/>
    <n v="1115"/>
    <n v="33"/>
    <s v="Open ended"/>
    <s v="NIFTY 100 - TRI"/>
    <n v="5000"/>
    <n v="1000"/>
  </r>
  <r>
    <x v="1115"/>
    <x v="35"/>
    <n v="1.97"/>
    <n v="9.0399999999999991"/>
    <n v="6.31"/>
    <n v="1.74"/>
    <n v="56.51987110633727"/>
    <n v="35.192175703500347"/>
    <n v="39.333805811481213"/>
    <n v="41.528529838058162"/>
    <n v="37.931034482758605"/>
    <n v="11.309174236481493"/>
    <n v="80.411935630765086"/>
    <n v="50.350007447410007"/>
    <n v="8.6269999999999989"/>
    <n v="-2.3169999999999993"/>
    <n v="1116"/>
    <n v="3"/>
    <s v="Open ended"/>
    <s v="CRISIL Short Term Debt Hybrid 60+40 Fund Index"/>
    <n v="1000"/>
    <n v="1000"/>
  </r>
  <r>
    <x v="1116"/>
    <x v="11"/>
    <n v="7.26"/>
    <n v="16.97"/>
    <n v="10.8"/>
    <n v="2.56"/>
    <n v="67.883995703544571"/>
    <n v="48.798901853122857"/>
    <n v="55.244507441530821"/>
    <n v="55.838723417411181"/>
    <n v="6.5134099616858121"/>
    <n v="9.7086156085398709"/>
    <n v="83.184184494852701"/>
    <n v="50.343760322840218"/>
    <n v="11.362272727272726"/>
    <n v="-0.5622727272727257"/>
    <n v="1117"/>
    <n v="42"/>
    <s v="Open ended"/>
    <s v="Nifty Midcap 150 - TRI"/>
    <n v="5000"/>
    <n v="1000"/>
  </r>
  <r>
    <x v="1117"/>
    <x v="11"/>
    <n v="7.25"/>
    <n v="16.96"/>
    <n v="10.79"/>
    <n v="2.56"/>
    <n v="67.862513426423192"/>
    <n v="48.781743308167478"/>
    <n v="55.209071580439392"/>
    <n v="55.811561467954576"/>
    <n v="6.5134099616858121"/>
    <n v="9.7082089626508008"/>
    <n v="83.184888826193273"/>
    <n v="50.330355430947058"/>
    <n v="11.362272727272726"/>
    <n v="-0.57227272727272727"/>
    <n v="1118"/>
    <n v="43"/>
    <s v="Open ended"/>
    <s v="Nifty Midcap 150 - TRI"/>
    <n v="5000"/>
    <n v="1000"/>
  </r>
  <r>
    <x v="1118"/>
    <x v="34"/>
    <n v="5.18"/>
    <n v="9.61"/>
    <n v="7.63"/>
    <n v="1.83"/>
    <n v="63.415682062298593"/>
    <n v="36.170212765957451"/>
    <n v="44.011339475549256"/>
    <n v="45.539869980021578"/>
    <n v="34.482758620689658"/>
    <n v="14.025734540941018"/>
    <n v="75.706715161616415"/>
    <n v="50.317303435587306"/>
    <n v="7.9378947368421047"/>
    <n v="-0.30789473684210478"/>
    <n v="1119"/>
    <n v="11"/>
    <s v="Open ended"/>
    <s v="CRISIL Hybrid 50+50 - Moderate Index"/>
    <n v="1000"/>
    <n v="1000"/>
  </r>
  <r>
    <x v="1119"/>
    <x v="25"/>
    <n v="5.55"/>
    <n v="4.1399999999999997"/>
    <n v="4.91"/>
    <n v="1.18"/>
    <n v="64.21052631578948"/>
    <n v="26.784488675360329"/>
    <n v="34.37278525868178"/>
    <n v="38.063844495106892"/>
    <n v="59.38697318007663"/>
    <n v="19.784595564437996"/>
    <n v="65.732075275191534"/>
    <n v="50.311684361370489"/>
    <n v="5.1221052631578941"/>
    <n v="-0.21210526315789391"/>
    <n v="1120"/>
    <n v="64"/>
    <s v="Open ended"/>
    <s v="NIFTY Low Duration Debt Index"/>
    <n v="5000"/>
    <n v="1000"/>
  </r>
  <r>
    <x v="1120"/>
    <x v="27"/>
    <n v="-2.83"/>
    <n v="11.97"/>
    <n v="9.7799999999999994"/>
    <n v="2.29"/>
    <n v="46.208378088077332"/>
    <n v="40.219629375428966"/>
    <n v="51.630049610205518"/>
    <n v="47.122589235346915"/>
    <n v="16.858237547892706"/>
    <n v="5.7075581931812343"/>
    <n v="90.114219222254079"/>
    <n v="50.304408810210148"/>
    <n v="10.044583333333334"/>
    <n v="-0.26458333333333428"/>
    <n v="1121"/>
    <n v="34"/>
    <s v="Open ended"/>
    <s v="NIFTY 100 - TRI"/>
    <n v="1000"/>
    <n v="1000"/>
  </r>
  <r>
    <x v="1121"/>
    <x v="18"/>
    <n v="-0.12"/>
    <n v="0.37"/>
    <n v="6.13"/>
    <n v="1.24"/>
    <n v="52.030075187969928"/>
    <n v="20.315717227179139"/>
    <n v="38.695960311835577"/>
    <n v="35.848710361665518"/>
    <n v="57.088122605363978"/>
    <n v="15.923946622650755"/>
    <n v="72.418915392554055"/>
    <n v="50.301114680312267"/>
    <n v="6.9120588235294118"/>
    <n v="-0.78205882352941192"/>
    <n v="1122"/>
    <n v="13"/>
    <s v="Open ended"/>
    <s v="MSCI World"/>
    <n v="1000"/>
    <n v="1000"/>
  </r>
  <r>
    <x v="1122"/>
    <x v="36"/>
    <n v="2.86"/>
    <n v="7.66"/>
    <n v="8.14"/>
    <n v="1.83"/>
    <n v="58.431793770139627"/>
    <n v="32.824296499656839"/>
    <n v="45.818568391211905"/>
    <n v="44.442931899530933"/>
    <n v="34.482758620689658"/>
    <n v="12.804221132820926"/>
    <n v="77.822438446607038"/>
    <n v="50.297765216589639"/>
    <n v="5.7759259259259252"/>
    <n v="2.3640740740740753"/>
    <n v="1123"/>
    <n v="12"/>
    <s v="Open ended"/>
    <s v="CRISIL Hybrid 85+15 - Conservative Index"/>
    <n v="5000"/>
    <n v="1000"/>
  </r>
  <r>
    <x v="1123"/>
    <x v="25"/>
    <n v="5.56"/>
    <n v="4.1399999999999997"/>
    <n v="4.8899999999999997"/>
    <n v="1.18"/>
    <n v="64.232008592910844"/>
    <n v="26.784488675360329"/>
    <n v="34.301913536498937"/>
    <n v="38.032705089439737"/>
    <n v="59.38697318007663"/>
    <n v="19.810094289713597"/>
    <n v="65.687910187485954"/>
    <n v="50.285073386610513"/>
    <n v="5.1221052631578941"/>
    <n v="-0.23210526315789437"/>
    <n v="1124"/>
    <n v="65"/>
    <s v="Open ended"/>
    <s v="NIFTY Low Duration Debt Index"/>
    <n v="5000"/>
    <n v="1000"/>
  </r>
  <r>
    <x v="1124"/>
    <x v="25"/>
    <n v="5.44"/>
    <n v="4.51"/>
    <n v="5.01"/>
    <n v="1.22"/>
    <n v="63.974221267454347"/>
    <n v="27.41935483870968"/>
    <n v="34.727143869596027"/>
    <n v="38.384222639901793"/>
    <n v="57.854406130268202"/>
    <n v="19.343619001536492"/>
    <n v="66.495869087084031"/>
    <n v="50.279680124288959"/>
    <n v="5.1221052631578941"/>
    <n v="-0.11210526315789426"/>
    <n v="1125"/>
    <n v="66"/>
    <s v="Open ended"/>
    <s v="CRISIL Low Duration Debt Index"/>
    <n v="1000"/>
    <n v="1000"/>
  </r>
  <r>
    <x v="1125"/>
    <x v="35"/>
    <n v="4.5599999999999996"/>
    <n v="16.670000000000002"/>
    <n v="9.7799999999999994"/>
    <n v="2.52"/>
    <n v="62.083780880773354"/>
    <n v="48.284145504461229"/>
    <n v="51.630049610205518"/>
    <n v="52.717024632595795"/>
    <n v="8.045977011494255"/>
    <n v="7.1984432145806059"/>
    <n v="87.531930616946951"/>
    <n v="50.2529892234082"/>
    <n v="8.6269999999999989"/>
    <n v="1.1530000000000005"/>
    <n v="1126"/>
    <n v="4"/>
    <s v="Open ended"/>
    <s v="NIFTY 500 - TRI"/>
    <n v="1000"/>
    <n v="1000"/>
  </r>
  <r>
    <x v="1126"/>
    <x v="13"/>
    <n v="6.73"/>
    <n v="15.2"/>
    <n v="12.29"/>
    <n v="2.6"/>
    <n v="66.745435016111713"/>
    <n v="45.761839396019219"/>
    <n v="60.524450744153071"/>
    <n v="57.339864194104649"/>
    <n v="4.9808429118773923"/>
    <n v="10.777651446980244"/>
    <n v="81.332560107561989"/>
    <n v="50.248282851912165"/>
    <n v="10.461"/>
    <n v="1.8289999999999988"/>
    <n v="1127"/>
    <n v="33"/>
    <s v="Open ended"/>
    <s v="S&amp;P BSE 500 - TRI"/>
    <n v="5000"/>
    <n v="1000"/>
  </r>
  <r>
    <x v="1127"/>
    <x v="48"/>
    <n v="5.54"/>
    <n v="2.86"/>
    <n v="3.73"/>
    <n v="0.97"/>
    <n v="64.189044038668101"/>
    <n v="24.588194921070698"/>
    <n v="30.191353649893692"/>
    <n v="35.309944109001677"/>
    <n v="67.432950191570868"/>
    <n v="21.429985185661639"/>
    <n v="62.88217685298568"/>
    <n v="50.233753815639979"/>
    <n v="3.5597297297297299"/>
    <n v="0.17027027027027009"/>
    <n v="1128"/>
    <n v="8"/>
    <s v="Open ended"/>
    <s v="CRISIL Medium Term Debt Index"/>
    <n v="5000"/>
    <n v="1000"/>
  </r>
  <r>
    <x v="1128"/>
    <x v="48"/>
    <n v="5.54"/>
    <n v="2.86"/>
    <n v="3.73"/>
    <n v="0.97"/>
    <n v="64.189044038668101"/>
    <n v="24.588194921070698"/>
    <n v="30.191353649893692"/>
    <n v="35.309944109001677"/>
    <n v="67.432950191570868"/>
    <n v="21.429985185661639"/>
    <n v="62.88217685298568"/>
    <n v="50.233753815639979"/>
    <n v="3.5597297297297299"/>
    <n v="0.17027027027027009"/>
    <n v="1128"/>
    <n v="8"/>
    <s v="Open ended"/>
    <s v="CRISIL Medium Term Debt Index"/>
    <n v="5000"/>
    <n v="1000"/>
  </r>
  <r>
    <x v="1129"/>
    <x v="48"/>
    <n v="5.54"/>
    <n v="2.86"/>
    <n v="3.73"/>
    <n v="0.97"/>
    <n v="64.189044038668101"/>
    <n v="24.588194921070698"/>
    <n v="30.191353649893692"/>
    <n v="35.309944109001677"/>
    <n v="67.432950191570868"/>
    <n v="21.429985185661639"/>
    <n v="62.88217685298568"/>
    <n v="50.233753815639979"/>
    <n v="3.5597297297297299"/>
    <n v="0.17027027027027009"/>
    <n v="1128"/>
    <n v="8"/>
    <s v="Open ended"/>
    <s v="CRISIL Medium Term Debt Index"/>
    <n v="5000"/>
    <n v="1000"/>
  </r>
  <r>
    <x v="1130"/>
    <x v="48"/>
    <n v="5.53"/>
    <n v="2.85"/>
    <n v="3.73"/>
    <n v="0.97"/>
    <n v="64.167561761546722"/>
    <n v="24.571036376115309"/>
    <n v="30.191353649893692"/>
    <n v="35.300500090090779"/>
    <n v="67.432950191570868"/>
    <n v="21.42372324668537"/>
    <n v="62.893022849446474"/>
    <n v="50.23174330529973"/>
    <n v="3.5597297297297299"/>
    <n v="0.17027027027027009"/>
    <n v="1131"/>
    <n v="11"/>
    <s v="Open ended"/>
    <s v="CRISIL Medium Term Debt Index"/>
    <n v="5000"/>
    <n v="1000"/>
  </r>
  <r>
    <x v="1131"/>
    <x v="23"/>
    <n v="1.54"/>
    <n v="11.86"/>
    <n v="6.78"/>
    <n v="1.98"/>
    <n v="55.596133190118145"/>
    <n v="40.030885380919699"/>
    <n v="40.999291282778174"/>
    <n v="43.628137893688624"/>
    <n v="28.735632183908045"/>
    <n v="8.7204982944438427"/>
    <n v="84.895653886705531"/>
    <n v="50.221890464497704"/>
    <n v="10.023387096774194"/>
    <n v="-3.2433870967741933"/>
    <n v="1132"/>
    <n v="46"/>
    <s v="Open ended"/>
    <s v="NIFTY 500 - TRI"/>
    <n v="1000"/>
    <n v="1000"/>
  </r>
  <r>
    <x v="1132"/>
    <x v="15"/>
    <n v="4.22"/>
    <n v="3.09"/>
    <n v="4.62"/>
    <n v="1.1399999999999999"/>
    <n v="61.353383458646618"/>
    <n v="24.982841455044618"/>
    <n v="33.345145287030476"/>
    <n v="36.43810177175795"/>
    <n v="60.919540229885058"/>
    <n v="19.04908508954432"/>
    <n v="67.006016787206505"/>
    <n v="50.200440140151862"/>
    <n v="5.2086538461538465"/>
    <n v="-0.58865384615384642"/>
    <n v="1133"/>
    <n v="36"/>
    <s v="Open ended"/>
    <s v=""/>
    <n v="5000"/>
    <n v="1000"/>
  </r>
  <r>
    <x v="1133"/>
    <x v="36"/>
    <n v="2.77"/>
    <n v="6.01"/>
    <n v="3.58"/>
    <n v="1.21"/>
    <n v="58.238453276047252"/>
    <n v="29.993136582017847"/>
    <n v="29.659815733522322"/>
    <n v="35.475539496575969"/>
    <n v="58.237547892720308"/>
    <n v="16.404509246551051"/>
    <n v="71.586556511740127"/>
    <n v="50.193795849403095"/>
    <n v="5.7759259259259252"/>
    <n v="-2.1959259259259252"/>
    <n v="1134"/>
    <n v="13"/>
    <s v="Open ended"/>
    <s v="CRISIL Hybrid 85+15 - Conservative Index"/>
    <n v="1000"/>
    <n v="1000"/>
  </r>
  <r>
    <x v="1134"/>
    <x v="15"/>
    <n v="4.63"/>
    <n v="2.99"/>
    <n v="4.92"/>
    <n v="1.1599999999999999"/>
    <n v="62.234156820622985"/>
    <n v="24.811256005490741"/>
    <n v="34.408221119773209"/>
    <n v="37.094318725658425"/>
    <n v="60.153256704980841"/>
    <n v="19.437326387013751"/>
    <n v="66.333563134392989"/>
    <n v="50.168864322672668"/>
    <n v="5.2086538461538465"/>
    <n v="-0.28865384615384659"/>
    <n v="1135"/>
    <n v="37"/>
    <s v="Open ended"/>
    <s v="Nifty Short Duration Debt Index"/>
    <n v="5000"/>
    <n v="1000"/>
  </r>
  <r>
    <x v="1135"/>
    <x v="36"/>
    <n v="4.71"/>
    <n v="8.09"/>
    <n v="7.37"/>
    <n v="1.74"/>
    <n v="62.406015037593974"/>
    <n v="33.562113932738505"/>
    <n v="43.090007087172218"/>
    <n v="44.09484073092645"/>
    <n v="37.931034482758605"/>
    <n v="14.696142022368454"/>
    <n v="74.545535342009799"/>
    <n v="50.166562821655326"/>
    <n v="5.7759259259259252"/>
    <n v="1.5940740740740749"/>
    <n v="1136"/>
    <n v="14"/>
    <s v="Open ended"/>
    <s v="NIFTY 50 Hybrid Composite Debt 15:85 Index"/>
    <n v="5000"/>
    <n v="1000"/>
  </r>
  <r>
    <x v="1136"/>
    <x v="15"/>
    <n v="4.18"/>
    <n v="3.03"/>
    <n v="4.59"/>
    <n v="1.1399999999999999"/>
    <n v="61.26745435016111"/>
    <n v="24.879890185312288"/>
    <n v="33.238837703756197"/>
    <n v="36.336876777504003"/>
    <n v="60.919540229885058"/>
    <n v="19.05925051245115"/>
    <n v="66.988409758251436"/>
    <n v="50.145425885786125"/>
    <n v="5.2086538461538465"/>
    <n v="-0.61865384615384666"/>
    <n v="1137"/>
    <n v="38"/>
    <s v="Open ended"/>
    <s v=""/>
    <n v="5000"/>
    <n v="1000"/>
  </r>
  <r>
    <x v="1137"/>
    <x v="36"/>
    <n v="5.52"/>
    <n v="9.3800000000000008"/>
    <n v="7.68"/>
    <n v="1.83"/>
    <n v="64.146079484425343"/>
    <n v="35.775566231983532"/>
    <n v="44.188518781006373"/>
    <n v="45.656145156983314"/>
    <n v="34.482758620689658"/>
    <n v="14.571479117496041"/>
    <n v="74.761457827067943"/>
    <n v="50.139126690431056"/>
    <n v="5.7759259259259252"/>
    <n v="1.9040740740740745"/>
    <n v="1138"/>
    <n v="15"/>
    <s v="Open ended"/>
    <s v="NIFTY 50 Hybrid Composite Debt 15:85 Index"/>
    <n v="1000"/>
    <n v="1000"/>
  </r>
  <r>
    <x v="1138"/>
    <x v="46"/>
    <n v="4.45"/>
    <n v="3.17"/>
    <n v="4.0199999999999996"/>
    <n v="1.07"/>
    <n v="61.847475832438235"/>
    <n v="25.120109814687719"/>
    <n v="31.218993621545"/>
    <n v="35.515024921666459"/>
    <n v="63.601532567049816"/>
    <n v="19.68163154159382"/>
    <n v="65.910414194109336"/>
    <n v="50.135499151123021"/>
    <n v="4.4820000000000002"/>
    <n v="-0.46200000000000063"/>
    <n v="1139"/>
    <n v="37"/>
    <s v="Open ended"/>
    <s v="Nifty 50 Arbitrage"/>
    <n v="5000"/>
    <n v="1000"/>
  </r>
  <r>
    <x v="1139"/>
    <x v="46"/>
    <n v="4.45"/>
    <n v="3.17"/>
    <n v="4.0199999999999996"/>
    <n v="1.07"/>
    <n v="61.847475832438235"/>
    <n v="25.120109814687719"/>
    <n v="31.218993621545"/>
    <n v="35.515024921666459"/>
    <n v="63.601532567049816"/>
    <n v="19.68163154159382"/>
    <n v="65.910414194109336"/>
    <n v="50.135499151123021"/>
    <n v="4.4820000000000002"/>
    <n v="-0.46200000000000063"/>
    <n v="1139"/>
    <n v="37"/>
    <s v="Open ended"/>
    <s v="Nifty 50 Arbitrage"/>
    <n v="5000"/>
    <n v="1000"/>
  </r>
  <r>
    <x v="1140"/>
    <x v="25"/>
    <n v="5.44"/>
    <n v="4.4800000000000004"/>
    <n v="4.8899999999999997"/>
    <n v="1.22"/>
    <n v="63.974221267454347"/>
    <n v="27.367879203843522"/>
    <n v="34.301913536498937"/>
    <n v="38.156164782893399"/>
    <n v="57.854406130268202"/>
    <n v="19.4445834680897"/>
    <n v="66.32099350125479"/>
    <n v="50.121932299327455"/>
    <n v="5.1221052631578941"/>
    <n v="-0.23210526315789437"/>
    <n v="1141"/>
    <n v="67"/>
    <s v="Open ended"/>
    <s v="CRISIL Low Duration Debt Index"/>
    <n v="1000"/>
    <n v="1000"/>
  </r>
  <r>
    <x v="1141"/>
    <x v="25"/>
    <n v="5.44"/>
    <n v="4.5"/>
    <n v="4.88"/>
    <n v="1.22"/>
    <n v="63.974221267454347"/>
    <n v="27.402196293754294"/>
    <n v="34.266477675407508"/>
    <n v="38.148741979320917"/>
    <n v="57.854406130268202"/>
    <n v="19.438713087094403"/>
    <n v="66.331161299398431"/>
    <n v="50.120762847077117"/>
    <n v="5.1221052631578941"/>
    <n v="-0.24210526315789416"/>
    <n v="1142"/>
    <n v="68"/>
    <s v="Open ended"/>
    <s v="NIFTY Low Duration Debt Index"/>
    <n v="1000"/>
    <n v="1000"/>
  </r>
  <r>
    <x v="1142"/>
    <x v="15"/>
    <n v="4.1900000000000004"/>
    <n v="3.05"/>
    <n v="4.5599999999999996"/>
    <n v="1.1399999999999999"/>
    <n v="61.288936627282489"/>
    <n v="24.914207275223067"/>
    <n v="33.132530120481924"/>
    <n v="36.298314568264374"/>
    <n v="60.919540229885058"/>
    <n v="19.076359685924871"/>
    <n v="66.958775800519447"/>
    <n v="50.118736291733313"/>
    <n v="5.2086538461538465"/>
    <n v="-0.64865384615384691"/>
    <n v="1143"/>
    <n v="39"/>
    <s v="Open ended"/>
    <s v=""/>
    <n v="5000"/>
    <n v="1000"/>
  </r>
  <r>
    <x v="1143"/>
    <x v="19"/>
    <n v="9.48"/>
    <n v="20.41"/>
    <n v="9.73"/>
    <n v="2.5499999999999998"/>
    <n v="72.65306122448979"/>
    <n v="54.701441317776258"/>
    <n v="51.452870304748409"/>
    <n v="56.667479792605036"/>
    <n v="6.8965517241379448"/>
    <n v="11.41827457729701"/>
    <n v="80.222968297349524"/>
    <n v="50.113619901674383"/>
    <n v="9.4014285714285712"/>
    <n v="0.32857142857142918"/>
    <n v="1144"/>
    <n v="20"/>
    <s v="Open ended"/>
    <s v="S&amp;P BSE India Infrastructure Index - TRI"/>
    <n v="5000"/>
    <n v="1000"/>
  </r>
  <r>
    <x v="1144"/>
    <x v="7"/>
    <n v="2.16"/>
    <n v="16.89"/>
    <n v="9.07"/>
    <n v="2.54"/>
    <n v="56.928034371643385"/>
    <n v="48.661633493479762"/>
    <n v="49.114103472714383"/>
    <n v="50.541148658729796"/>
    <n v="7.2796934865900331"/>
    <n v="4.6475016344600011"/>
    <n v="91.950291040855873"/>
    <n v="50.078070461226375"/>
    <n v="8.6526315789473696"/>
    <n v="0.41736842105263072"/>
    <n v="1145"/>
    <n v="8"/>
    <s v="Open ended"/>
    <s v="NIFTY 500 - TRI"/>
    <n v="5000"/>
    <n v="1000"/>
  </r>
  <r>
    <x v="1145"/>
    <x v="48"/>
    <n v="5.55"/>
    <n v="2.86"/>
    <n v="3.6"/>
    <n v="0.97"/>
    <n v="64.21052631578948"/>
    <n v="24.588194921070698"/>
    <n v="29.730687455705173"/>
    <n v="35.083907467331699"/>
    <n v="67.432950191570868"/>
    <n v="21.545431311684421"/>
    <n v="62.682218297177222"/>
    <n v="50.07074585585287"/>
    <n v="3.5597297297297299"/>
    <n v="4.0270270270270192E-2"/>
    <n v="1146"/>
    <n v="12"/>
    <s v="Open ended"/>
    <s v="CRISIL Medium Term Debt Index"/>
    <n v="5000"/>
    <n v="1000"/>
  </r>
  <r>
    <x v="1146"/>
    <x v="15"/>
    <n v="4.55"/>
    <n v="3.32"/>
    <n v="4.55"/>
    <n v="1.1499999999999999"/>
    <n v="62.062298603651975"/>
    <n v="25.377487989018533"/>
    <n v="33.097094259390502"/>
    <n v="36.57425324713121"/>
    <n v="60.536398467432953"/>
    <n v="19.340590793742198"/>
    <n v="66.501114096839629"/>
    <n v="50.046504764633752"/>
    <n v="5.2086538461538465"/>
    <n v="-0.6586538461538467"/>
    <n v="1147"/>
    <n v="40"/>
    <s v="Open ended"/>
    <s v=""/>
    <n v="5000"/>
    <n v="1000"/>
  </r>
  <r>
    <x v="1147"/>
    <x v="15"/>
    <n v="4.55"/>
    <n v="3.32"/>
    <n v="4.55"/>
    <n v="1.1499999999999999"/>
    <n v="62.062298603651975"/>
    <n v="25.377487989018533"/>
    <n v="33.097094259390502"/>
    <n v="36.57425324713121"/>
    <n v="60.536398467432953"/>
    <n v="19.340590793742198"/>
    <n v="66.501114096839629"/>
    <n v="50.046504764633752"/>
    <n v="5.2086538461538465"/>
    <n v="-0.6586538461538467"/>
    <n v="1147"/>
    <n v="40"/>
    <s v="Open ended"/>
    <s v=""/>
    <n v="5000"/>
    <n v="1000"/>
  </r>
  <r>
    <x v="1148"/>
    <x v="18"/>
    <n v="-12.94"/>
    <n v="6.08"/>
    <n v="12.08"/>
    <n v="1.55"/>
    <n v="24.489795918367346"/>
    <n v="30.113246396705563"/>
    <n v="59.780297661233163"/>
    <n v="43.822081933301718"/>
    <n v="45.21072796934866"/>
    <n v="18.961261558229918"/>
    <n v="67.158131605543161"/>
    <n v="50.003255860373812"/>
    <n v="6.9120588235294118"/>
    <n v="5.1679411764705883"/>
    <n v="1149"/>
    <n v="14"/>
    <s v="Open ended"/>
    <s v="Russell 3000 Growth Index"/>
    <n v="5000"/>
    <n v="1000"/>
  </r>
  <r>
    <x v="1149"/>
    <x v="18"/>
    <n v="-12.94"/>
    <n v="6.08"/>
    <n v="12.08"/>
    <n v="1.55"/>
    <n v="24.489795918367346"/>
    <n v="30.113246396705563"/>
    <n v="59.780297661233163"/>
    <n v="43.822081933301718"/>
    <n v="45.21072796934866"/>
    <n v="18.961261558229918"/>
    <n v="67.158131605543161"/>
    <n v="50.003255860373812"/>
    <n v="6.9120588235294118"/>
    <n v="5.1679411764705883"/>
    <n v="1149"/>
    <n v="14"/>
    <s v="Open ended"/>
    <s v="Russell 3000 Growth Index"/>
    <n v="5000"/>
    <n v="1000"/>
  </r>
  <r>
    <x v="1150"/>
    <x v="6"/>
    <n v="10.5"/>
    <n v="23.07"/>
    <n v="10.01"/>
    <n v="2.68"/>
    <n v="74.844253490870031"/>
    <n v="59.265614275909407"/>
    <n v="52.445074415308291"/>
    <n v="58.971072188600971"/>
    <n v="1.9157088122605304"/>
    <n v="11.48141242065511"/>
    <n v="80.113610344772979"/>
    <n v="49.992865883558864"/>
    <n v="9.0435999999999996"/>
    <n v="0.96640000000000015"/>
    <n v="1151"/>
    <n v="21"/>
    <s v="Open ended"/>
    <s v="NIFTY500 Value 50 - TRI"/>
    <n v="5000"/>
    <n v="1000"/>
  </r>
  <r>
    <x v="1151"/>
    <x v="37"/>
    <n v="8.35"/>
    <n v="14.85"/>
    <n v="10.74"/>
    <n v="2.4300000000000002"/>
    <n v="70.225563909774436"/>
    <n v="45.161290322580648"/>
    <n v="55.031892274982283"/>
    <n v="55.109446016220225"/>
    <n v="11.494252873563205"/>
    <n v="12.625993367535765"/>
    <n v="78.131137991400394"/>
    <n v="49.961070724351018"/>
    <n v="7.1099999999999994"/>
    <n v="3.6300000000000008"/>
    <n v="1152"/>
    <n v="4"/>
    <s v="Open ended"/>
    <s v="NIFTY 50 Hybrid Composite Debt 65:35 Index"/>
    <n v="1000"/>
    <n v="1000"/>
  </r>
  <r>
    <x v="1152"/>
    <x v="13"/>
    <n v="6.73"/>
    <n v="15.2"/>
    <n v="11.85"/>
    <n v="2.6"/>
    <n v="66.745435016111713"/>
    <n v="45.761839396019219"/>
    <n v="58.965272856130404"/>
    <n v="56.560275250093312"/>
    <n v="4.9808429118773923"/>
    <n v="10.607959774926512"/>
    <n v="81.626474705180371"/>
    <n v="49.931967029311096"/>
    <n v="10.461"/>
    <n v="1.3889999999999993"/>
    <n v="1153"/>
    <n v="34"/>
    <s v="Open ended"/>
    <s v="S&amp;P BSE 500 - TRI"/>
    <n v="5000"/>
    <n v="1000"/>
  </r>
  <r>
    <x v="1153"/>
    <x v="12"/>
    <n v="2.85"/>
    <n v="12.06"/>
    <n v="7.36"/>
    <n v="2.06"/>
    <n v="58.410311493018256"/>
    <n v="40.37405628002746"/>
    <n v="43.054571226080789"/>
    <n v="45.321564795652279"/>
    <n v="25.670498084291182"/>
    <n v="9.7321667819470168"/>
    <n v="83.143392665933675"/>
    <n v="49.864255085382354"/>
    <n v="9.219019607843137"/>
    <n v="-1.8590196078431367"/>
    <n v="1154"/>
    <n v="36"/>
    <s v="Open ended"/>
    <s v="CRISIL Hybrid 35+65 - Aggressive Index"/>
    <n v="1000"/>
    <n v="1000"/>
  </r>
  <r>
    <x v="1154"/>
    <x v="50"/>
    <n v="3.51"/>
    <n v="2.57"/>
    <n v="3.41"/>
    <n v="1.02"/>
    <n v="59.828141783028997"/>
    <n v="24.09059711736445"/>
    <n v="29.057406094968108"/>
    <n v="33.721510539299189"/>
    <n v="65.517241379310349"/>
    <n v="19.359233218866894"/>
    <n v="66.468824469347368"/>
    <n v="49.857271731814023"/>
    <n v="4.3111111111111109"/>
    <n v="-0.90111111111111075"/>
    <n v="1155"/>
    <n v="16"/>
    <s v="Open ended"/>
    <s v="Nifty All Duration G-Sec Index"/>
    <n v="10000"/>
    <n v="1000"/>
  </r>
  <r>
    <x v="1155"/>
    <x v="21"/>
    <n v="4.3600000000000003"/>
    <n v="14.74"/>
    <n v="6.92"/>
    <n v="2.08"/>
    <n v="61.65413533834586"/>
    <n v="44.972546328071381"/>
    <n v="41.495393338058115"/>
    <n v="46.570287635119641"/>
    <n v="24.904214559386961"/>
    <n v="10.776060534489043"/>
    <n v="81.335315648827148"/>
    <n v="49.84502636961335"/>
    <n v="10.412619047619048"/>
    <n v="-3.4926190476190477"/>
    <n v="1156"/>
    <n v="36"/>
    <s v="Open ended"/>
    <s v="NIFTY LargeMidcap 250 - TRI"/>
    <n v="5000"/>
    <n v="1000"/>
  </r>
  <r>
    <x v="1156"/>
    <x v="27"/>
    <n v="5.08"/>
    <n v="13.26"/>
    <n v="11.07"/>
    <n v="2.4500000000000002"/>
    <n v="63.200859291084853"/>
    <n v="42.433081674673986"/>
    <n v="56.201275690999289"/>
    <n v="53.470734206118806"/>
    <n v="10.727969348658984"/>
    <n v="10.566124519507763"/>
    <n v="81.698935493113254"/>
    <n v="49.84209331350246"/>
    <n v="10.044583333333334"/>
    <n v="1.0254166666666666"/>
    <n v="1157"/>
    <n v="35"/>
    <s v="Open ended"/>
    <s v="NIFTY 100 - TRI"/>
    <n v="5000"/>
    <n v="1000"/>
  </r>
  <r>
    <x v="1157"/>
    <x v="28"/>
    <n v="8.6"/>
    <n v="19.989999999999998"/>
    <n v="7.84"/>
    <n v="2.2999999999999998"/>
    <n v="70.762620837808797"/>
    <n v="53.980782429649963"/>
    <n v="44.755492558469165"/>
    <n v="52.724505175691334"/>
    <n v="16.475095785440619"/>
    <n v="13.185261942176785"/>
    <n v="77.162456405045518"/>
    <n v="49.7716406354672"/>
    <n v="10.248999999999999"/>
    <n v="-2.4089999999999989"/>
    <n v="1158"/>
    <n v="8"/>
    <s v="Open ended"/>
    <s v="NIFTY 500 - TRI"/>
    <n v="5000"/>
    <n v="1000"/>
  </r>
  <r>
    <x v="1158"/>
    <x v="33"/>
    <n v="5.33"/>
    <n v="4.38"/>
    <n v="4.0599999999999996"/>
    <n v="1.1499999999999999"/>
    <n v="63.737916219119214"/>
    <n v="27.196293754289641"/>
    <n v="31.360737065910698"/>
    <n v="36.586839903066085"/>
    <n v="60.536398467432953"/>
    <n v="20.003810013664911"/>
    <n v="65.352384711377297"/>
    <n v="49.765615746235611"/>
    <n v="4.4264935064935065"/>
    <n v="-0.36649350649350687"/>
    <n v="1159"/>
    <n v="67"/>
    <s v="Open ended"/>
    <s v="CRISIL Ultra Short Term Debt Index"/>
    <n v="5000"/>
    <n v="1000"/>
  </r>
  <r>
    <x v="1159"/>
    <x v="47"/>
    <n v="-3.45"/>
    <n v="22.15"/>
    <n v="12.3"/>
    <n v="2.72"/>
    <n v="44.876476906552085"/>
    <n v="57.68702814001373"/>
    <n v="60.559886605244508"/>
    <n v="56.561347125936791"/>
    <n v="0.38314176245208831"/>
    <n v="8.3499788267539259"/>
    <n v="85.537412429937831"/>
    <n v="49.760812111065874"/>
    <n v="9.6316666666666659"/>
    <n v="2.6683333333333348"/>
    <n v="1160"/>
    <n v="3"/>
    <s v="Open ended"/>
    <s v="NIFTY COMMODITIES - TRI"/>
    <n v="5000"/>
    <n v="1000"/>
  </r>
  <r>
    <x v="1160"/>
    <x v="31"/>
    <n v="7.47"/>
    <n v="4.6500000000000004"/>
    <n v="5.53"/>
    <n v="1.28"/>
    <n v="68.335123523093444"/>
    <n v="27.659574468085111"/>
    <n v="36.569808646350104"/>
    <n v="40.249801368219281"/>
    <n v="55.555555555555557"/>
    <n v="21.381174715375838"/>
    <n v="62.966719067462016"/>
    <n v="49.755469339864035"/>
    <n v="5.2778260869565221"/>
    <n v="0.25217391304347814"/>
    <n v="1161"/>
    <n v="21"/>
    <s v="Open ended"/>
    <s v="CRISIL Low Duration Debt Index"/>
    <n v="1000"/>
    <n v="1000"/>
  </r>
  <r>
    <x v="1161"/>
    <x v="38"/>
    <n v="3.83"/>
    <n v="1.97"/>
    <n v="4.49"/>
    <n v="1.1200000000000001"/>
    <n v="60.515574650912995"/>
    <n v="23.061084420041183"/>
    <n v="32.884479092841957"/>
    <n v="35.463679802615928"/>
    <n v="61.685823754789261"/>
    <n v="19.419986968290065"/>
    <n v="66.363595888596123"/>
    <n v="49.744194812154305"/>
    <n v="4.625"/>
    <n v="-0.13499999999999979"/>
    <n v="1162"/>
    <n v="27"/>
    <s v="Open ended"/>
    <s v="CRISIL Dynamic Debt Index"/>
    <n v="1000"/>
    <n v="1000"/>
  </r>
  <r>
    <x v="1162"/>
    <x v="33"/>
    <n v="5.32"/>
    <n v="4.37"/>
    <n v="4.04"/>
    <n v="1.1499999999999999"/>
    <n v="63.716433941997849"/>
    <n v="27.179135209334255"/>
    <n v="31.28986534372785"/>
    <n v="36.541960023063773"/>
    <n v="60.536398467432953"/>
    <n v="20.013972835563418"/>
    <n v="65.334782187500807"/>
    <n v="49.738775175265332"/>
    <n v="4.4264935064935065"/>
    <n v="-0.38649350649350644"/>
    <n v="1163"/>
    <n v="68"/>
    <s v="Open ended"/>
    <s v="CRISIL Ultra Short Term Debt Index"/>
    <n v="5000"/>
    <n v="1000"/>
  </r>
  <r>
    <x v="1163"/>
    <x v="25"/>
    <n v="5.18"/>
    <n v="4.05"/>
    <n v="4.29"/>
    <n v="1.17"/>
    <n v="63.415682062298593"/>
    <n v="26.630061770761841"/>
    <n v="32.175761871013464"/>
    <n v="36.760035879195001"/>
    <n v="59.770114942528728"/>
    <n v="19.832083700378515"/>
    <n v="65.649823410985817"/>
    <n v="49.735002527976135"/>
    <n v="5.1221052631578941"/>
    <n v="-0.83210526315789402"/>
    <n v="1164"/>
    <n v="69"/>
    <s v="Open ended"/>
    <s v="CRISIL Low Duration Debt Index"/>
    <n v="1000"/>
    <n v="1000"/>
  </r>
  <r>
    <x v="1164"/>
    <x v="31"/>
    <n v="7.47"/>
    <n v="4.6500000000000004"/>
    <n v="5.51"/>
    <n v="1.28"/>
    <n v="68.335123523093444"/>
    <n v="27.659574468085111"/>
    <n v="36.498936924167261"/>
    <n v="40.214365507127852"/>
    <n v="55.555555555555557"/>
    <n v="21.393836326997047"/>
    <n v="62.944788512828381"/>
    <n v="49.732268770659914"/>
    <n v="5.2778260869565221"/>
    <n v="0.23217391304347768"/>
    <n v="1165"/>
    <n v="22"/>
    <s v="Open ended"/>
    <s v="CRISIL Low Duration Debt Index"/>
    <n v="1000"/>
    <n v="1000"/>
  </r>
  <r>
    <x v="1165"/>
    <x v="47"/>
    <n v="-3.5"/>
    <n v="22.21"/>
    <n v="12.23"/>
    <n v="2.72"/>
    <n v="44.769065520945219"/>
    <n v="57.78997940974606"/>
    <n v="60.311835577604533"/>
    <n v="56.446724715915124"/>
    <n v="0.38314176245208831"/>
    <n v="8.3414792659447574"/>
    <n v="85.552134101101331"/>
    <n v="49.707181323845916"/>
    <n v="9.6316666666666659"/>
    <n v="2.5983333333333345"/>
    <n v="1166"/>
    <n v="4"/>
    <s v="Open ended"/>
    <s v="NIFTY COMMODITIES - TRI"/>
    <n v="5000"/>
    <n v="1000"/>
  </r>
  <r>
    <x v="1166"/>
    <x v="36"/>
    <n v="3.7"/>
    <n v="8.8699999999999992"/>
    <n v="6.71"/>
    <n v="1.79"/>
    <n v="60.236305048335126"/>
    <n v="34.90048043925875"/>
    <n v="40.7512402551382"/>
    <n v="42.893025269013748"/>
    <n v="36.015325670498079"/>
    <n v="13.265262587174016"/>
    <n v="77.023891223272031"/>
    <n v="49.706316857949403"/>
    <n v="5.7759259259259252"/>
    <n v="0.93407407407407472"/>
    <n v="1167"/>
    <n v="16"/>
    <s v="Open ended"/>
    <s v="NIFTY 50 Hybrid Composite Debt 15:85 Index"/>
    <n v="5000"/>
    <n v="1000"/>
  </r>
  <r>
    <x v="1167"/>
    <x v="53"/>
    <n v="6.23"/>
    <n v="4.41"/>
    <n v="8.2100000000000009"/>
    <n v="1.6"/>
    <n v="65.671321160042964"/>
    <n v="27.247769389155806"/>
    <n v="46.066619418851879"/>
    <n v="44.341904758181272"/>
    <n v="43.295019157088113"/>
    <n v="19.213115214575428"/>
    <n v="66.72190827668075"/>
    <n v="49.675184237532854"/>
    <n v="4.7778125000000005"/>
    <n v="3.4321875000000004"/>
    <n v="1168"/>
    <n v="1"/>
    <s v="Open ended"/>
    <s v="CRISIL Short Term Credit Risk Fund"/>
    <n v="5000"/>
    <n v="1000"/>
  </r>
  <r>
    <x v="1168"/>
    <x v="53"/>
    <n v="6.24"/>
    <n v="4.41"/>
    <n v="8.2100000000000009"/>
    <n v="1.6"/>
    <n v="65.692803437164343"/>
    <n v="27.247769389155806"/>
    <n v="46.066619418851879"/>
    <n v="44.346201213605553"/>
    <n v="43.295019157088113"/>
    <n v="19.223929786047869"/>
    <n v="66.703176889428391"/>
    <n v="49.672649618431905"/>
    <n v="4.7778125000000005"/>
    <n v="3.4321875000000004"/>
    <n v="1169"/>
    <n v="2"/>
    <s v="Open ended"/>
    <s v="CRISIL Short Term Credit Risk Fund"/>
    <n v="5000"/>
    <n v="1000"/>
  </r>
  <r>
    <x v="1169"/>
    <x v="25"/>
    <n v="5.18"/>
    <n v="4.0599999999999996"/>
    <n v="4.22"/>
    <n v="1.17"/>
    <n v="63.415682062298593"/>
    <n v="26.647220315717231"/>
    <n v="31.92771084337349"/>
    <n v="36.641157928861631"/>
    <n v="59.770114942528728"/>
    <n v="19.88003894574631"/>
    <n v="65.566762489519363"/>
    <n v="49.654798322442836"/>
    <n v="5.1221052631578941"/>
    <n v="-0.9021052631578943"/>
    <n v="1170"/>
    <n v="70"/>
    <s v="Open ended"/>
    <s v="CRISIL Low Duration Debt Index"/>
    <n v="1000"/>
    <n v="1000"/>
  </r>
  <r>
    <x v="1170"/>
    <x v="50"/>
    <n v="4.92"/>
    <n v="2.9"/>
    <n v="6.15"/>
    <n v="1.34"/>
    <n v="62.857142857142854"/>
    <n v="24.656829100892246"/>
    <n v="38.766832034018428"/>
    <n v="39.351893318705464"/>
    <n v="53.256704980842919"/>
    <n v="19.316224740718035"/>
    <n v="66.543317338657403"/>
    <n v="49.625952239227814"/>
    <n v="4.3111111111111109"/>
    <n v="1.8388888888888895"/>
    <n v="1171"/>
    <n v="17"/>
    <s v="Open ended"/>
    <s v="Nifty All Duration G-Sec Index"/>
    <n v="5000"/>
    <n v="1000"/>
  </r>
  <r>
    <x v="1171"/>
    <x v="33"/>
    <n v="5.38"/>
    <n v="4.43"/>
    <n v="3.94"/>
    <n v="1.1499999999999999"/>
    <n v="63.845327604726101"/>
    <n v="27.282086479066582"/>
    <n v="30.935506732813607"/>
    <n v="36.421444831071994"/>
    <n v="60.536398467432953"/>
    <n v="20.13816604934097"/>
    <n v="65.119673231282832"/>
    <n v="49.624740340214942"/>
    <n v="4.4264935064935065"/>
    <n v="-0.48649350649350653"/>
    <n v="1172"/>
    <n v="69"/>
    <s v="Open ended"/>
    <s v="CRISIL Ultra Short Term Debt Index"/>
    <n v="5000"/>
    <n v="1000"/>
  </r>
  <r>
    <x v="1172"/>
    <x v="50"/>
    <n v="4.93"/>
    <n v="2.9"/>
    <n v="6.15"/>
    <n v="1.34"/>
    <n v="62.878625134264233"/>
    <n v="24.656829100892246"/>
    <n v="38.766832034018428"/>
    <n v="39.356189774129732"/>
    <n v="53.256704980842919"/>
    <n v="19.327771216993185"/>
    <n v="66.523318255100449"/>
    <n v="49.623100696050713"/>
    <n v="4.3111111111111109"/>
    <n v="1.8388888888888895"/>
    <n v="1173"/>
    <n v="18"/>
    <s v="Open ended"/>
    <s v="Nifty All Duration G-Sec Index"/>
    <n v="5000"/>
    <n v="1000"/>
  </r>
  <r>
    <x v="1173"/>
    <x v="31"/>
    <n v="7.34"/>
    <n v="4.58"/>
    <n v="5.41"/>
    <n v="1.28"/>
    <n v="68.055853920515574"/>
    <n v="27.539464653397395"/>
    <n v="36.144578313253007"/>
    <n v="39.945299336748839"/>
    <n v="55.555555555555557"/>
    <n v="21.346175657583075"/>
    <n v="63.027339213776123"/>
    <n v="49.618373360707338"/>
    <n v="5.2778260869565221"/>
    <n v="0.13217391304347803"/>
    <n v="1174"/>
    <n v="23"/>
    <s v="Open ended"/>
    <s v="CRISIL Low Duration Debt Index"/>
    <n v="1000"/>
    <n v="1000"/>
  </r>
  <r>
    <x v="1174"/>
    <x v="25"/>
    <n v="5.18"/>
    <n v="4.05"/>
    <n v="4.1900000000000004"/>
    <n v="1.17"/>
    <n v="63.415682062298593"/>
    <n v="26.630061770761841"/>
    <n v="31.821403260099224"/>
    <n v="36.582856573737885"/>
    <n v="59.770114942528728"/>
    <n v="19.909505015289977"/>
    <n v="65.515725759970394"/>
    <n v="49.612888462493721"/>
    <n v="5.1221052631578941"/>
    <n v="-0.93210526315789366"/>
    <n v="1175"/>
    <n v="71"/>
    <s v="Open ended"/>
    <s v="CRISIL Low Duration Debt Index"/>
    <n v="1000"/>
    <n v="1000"/>
  </r>
  <r>
    <x v="1175"/>
    <x v="53"/>
    <n v="6.24"/>
    <n v="4.41"/>
    <n v="8.14"/>
    <n v="1.6"/>
    <n v="65.692803437164343"/>
    <n v="27.247769389155806"/>
    <n v="45.818568391211905"/>
    <n v="44.222175699785566"/>
    <n v="43.295019157088113"/>
    <n v="19.226199300213011"/>
    <n v="66.699245975585868"/>
    <n v="49.609654133061284"/>
    <n v="4.7778125000000005"/>
    <n v="3.3621875000000001"/>
    <n v="1176"/>
    <n v="3"/>
    <s v="Open ended"/>
    <s v="CRISIL Short Term Credit Risk Fund"/>
    <n v="5000"/>
    <n v="1000"/>
  </r>
  <r>
    <x v="1176"/>
    <x v="21"/>
    <n v="0.74"/>
    <n v="9.48"/>
    <n v="7.64"/>
    <n v="2.0299999999999998"/>
    <n v="53.877551020408163"/>
    <n v="35.947151681537413"/>
    <n v="44.046775336640678"/>
    <n v="43.583043376863195"/>
    <n v="26.819923371647512"/>
    <n v="8.9791172018767984"/>
    <n v="84.447712799233699"/>
    <n v="49.608430731151898"/>
    <n v="10.412619047619048"/>
    <n v="-2.772619047619048"/>
    <n v="1177"/>
    <n v="37"/>
    <s v="Open ended"/>
    <s v="CRISIL Short Term Debt Hybrid 75+25 Fund Index"/>
    <n v="5000"/>
    <n v="1000"/>
  </r>
  <r>
    <x v="1177"/>
    <x v="25"/>
    <n v="5.17"/>
    <n v="4.04"/>
    <n v="4.18"/>
    <n v="1.17"/>
    <n v="63.394199785177229"/>
    <n v="26.612903225806456"/>
    <n v="31.785967399007792"/>
    <n v="36.55569462428128"/>
    <n v="59.770114942528728"/>
    <n v="19.91107197895403"/>
    <n v="65.513011699290615"/>
    <n v="49.598628972595478"/>
    <n v="5.1221052631578941"/>
    <n v="-0.94210526315789433"/>
    <n v="1178"/>
    <n v="72"/>
    <s v="Open ended"/>
    <s v="CRISIL Low Duration Debt Index"/>
    <n v="1000"/>
    <n v="1000"/>
  </r>
  <r>
    <x v="1178"/>
    <x v="48"/>
    <n v="5.53"/>
    <n v="4.42"/>
    <n v="6.08"/>
    <n v="1.41"/>
    <n v="64.167561761546722"/>
    <n v="27.264927934111192"/>
    <n v="38.518781006378454"/>
    <n v="40.272381235731928"/>
    <n v="50.574712643678168"/>
    <n v="18.913458817293126"/>
    <n v="67.240928381586741"/>
    <n v="49.590100874182191"/>
    <n v="3.5597297297297299"/>
    <n v="2.5202702702702702"/>
    <n v="1179"/>
    <n v="13"/>
    <s v="Open ended"/>
    <s v="CRISIL Medium Term Debt Index"/>
    <n v="5000"/>
    <n v="1000"/>
  </r>
  <r>
    <x v="1179"/>
    <x v="48"/>
    <n v="5.53"/>
    <n v="4.42"/>
    <n v="6.08"/>
    <n v="1.41"/>
    <n v="64.167561761546722"/>
    <n v="27.264927934111192"/>
    <n v="38.518781006378454"/>
    <n v="40.272381235731928"/>
    <n v="50.574712643678168"/>
    <n v="18.913458817293126"/>
    <n v="67.240928381586741"/>
    <n v="49.590100874182191"/>
    <n v="3.5597297297297299"/>
    <n v="2.5202702702702702"/>
    <n v="1179"/>
    <n v="13"/>
    <s v="Open ended"/>
    <s v="CRISIL Medium Term Debt Index"/>
    <n v="5000"/>
    <n v="1000"/>
  </r>
  <r>
    <x v="1180"/>
    <x v="33"/>
    <n v="5.38"/>
    <n v="4.47"/>
    <n v="4.16"/>
    <n v="1.19"/>
    <n v="63.845327604726101"/>
    <n v="27.350720658888129"/>
    <n v="31.715095676824944"/>
    <n v="36.831829557024129"/>
    <n v="59.003831417624518"/>
    <n v="19.930110842512956"/>
    <n v="65.480035420288203"/>
    <n v="49.536881487990243"/>
    <n v="4.4264935064935065"/>
    <n v="-0.26649350649350634"/>
    <n v="1181"/>
    <n v="70"/>
    <s v="Open ended"/>
    <s v="NIFTY Ultra Short Duration Debt Index"/>
    <n v="5000"/>
    <n v="1000"/>
  </r>
  <r>
    <x v="1181"/>
    <x v="33"/>
    <n v="5.38"/>
    <n v="4.47"/>
    <n v="4.16"/>
    <n v="1.19"/>
    <n v="63.845327604726101"/>
    <n v="27.350720658888129"/>
    <n v="31.715095676824944"/>
    <n v="36.831829557024129"/>
    <n v="59.003831417624518"/>
    <n v="19.930110842512956"/>
    <n v="65.480035420288203"/>
    <n v="49.536881487990243"/>
    <n v="4.4264935064935065"/>
    <n v="-0.26649350649350634"/>
    <n v="1181"/>
    <n v="70"/>
    <s v="Open ended"/>
    <s v="NIFTY Ultra Short Duration Debt Index"/>
    <n v="5000"/>
    <n v="1000"/>
  </r>
  <r>
    <x v="1182"/>
    <x v="33"/>
    <n v="5.38"/>
    <n v="4.47"/>
    <n v="4.1100000000000003"/>
    <n v="1.19"/>
    <n v="63.845327604726101"/>
    <n v="27.350720658888129"/>
    <n v="31.537916371367825"/>
    <n v="36.743239904295571"/>
    <n v="59.003831417624518"/>
    <n v="19.971470337572118"/>
    <n v="65.408398673470344"/>
    <n v="49.474677474921499"/>
    <n v="4.4264935064935065"/>
    <n v="-0.31649350649350616"/>
    <n v="1183"/>
    <n v="72"/>
    <s v="Open ended"/>
    <s v="NIFTY Ultra Short Duration Debt Index"/>
    <n v="5000"/>
    <n v="1000"/>
  </r>
  <r>
    <x v="1183"/>
    <x v="33"/>
    <n v="5.38"/>
    <n v="4.47"/>
    <n v="4.09"/>
    <n v="1.19"/>
    <n v="63.845327604726101"/>
    <n v="27.350720658888129"/>
    <n v="31.46704464918497"/>
    <n v="36.707804043204142"/>
    <n v="59.003831417624518"/>
    <n v="19.988136758559996"/>
    <n v="65.379531585538999"/>
    <n v="49.449742772392952"/>
    <n v="4.4264935064935065"/>
    <n v="-0.33649350649350662"/>
    <n v="1184"/>
    <n v="73"/>
    <s v="Open ended"/>
    <s v="NIFTY Ultra Short Duration Debt Index"/>
    <n v="5000"/>
    <n v="1000"/>
  </r>
  <r>
    <x v="1184"/>
    <x v="33"/>
    <n v="5.38"/>
    <n v="4.47"/>
    <n v="4.09"/>
    <n v="1.19"/>
    <n v="63.845327604726101"/>
    <n v="27.350720658888129"/>
    <n v="31.46704464918497"/>
    <n v="36.707804043204142"/>
    <n v="59.003831417624518"/>
    <n v="19.988136758559996"/>
    <n v="65.379531585538999"/>
    <n v="49.449742772392952"/>
    <n v="4.4264935064935065"/>
    <n v="-0.33649350649350662"/>
    <n v="1184"/>
    <n v="73"/>
    <s v="Open ended"/>
    <s v="NIFTY Ultra Short Duration Debt Index"/>
    <n v="5000"/>
    <n v="1000"/>
  </r>
  <r>
    <x v="1185"/>
    <x v="44"/>
    <n v="21.76"/>
    <n v="15.95"/>
    <n v="12.53"/>
    <n v="2.34"/>
    <n v="99.033297529538132"/>
    <n v="47.048730267673307"/>
    <n v="61.374911410347266"/>
    <n v="64.608734291383257"/>
    <n v="14.942528735632177"/>
    <n v="26.850787526123334"/>
    <n v="53.493071781517742"/>
    <n v="49.413267274979106"/>
    <n v="11.035555555555554"/>
    <n v="1.4944444444444454"/>
    <n v="1186"/>
    <n v="13"/>
    <s v="Open ended"/>
    <s v="NIFTY FMCG - TRI"/>
    <n v="5000"/>
    <n v="1000"/>
  </r>
  <r>
    <x v="1186"/>
    <x v="51"/>
    <n v="8.9499999999999993"/>
    <n v="11.57"/>
    <n v="8.49"/>
    <n v="2.02"/>
    <n v="71.514500537056918"/>
    <n v="39.533287577213457"/>
    <n v="47.058823529411761"/>
    <n v="49.692298145281299"/>
    <n v="27.203065134099624"/>
    <n v="16.720804464563262"/>
    <n v="71.038717123951912"/>
    <n v="49.406594637153532"/>
    <n v="8.7813636363636363"/>
    <n v="-0.29136363636363605"/>
    <n v="1187"/>
    <n v="5"/>
    <s v="Open ended"/>
    <s v="Nifty Financial Services - TRI"/>
    <n v="5000"/>
    <n v="1000"/>
  </r>
  <r>
    <x v="1187"/>
    <x v="36"/>
    <n v="3.72"/>
    <n v="5.04"/>
    <n v="4.83"/>
    <n v="1.38"/>
    <n v="60.27926960257787"/>
    <n v="28.328757721345234"/>
    <n v="34.089298369950392"/>
    <n v="37.599130421894344"/>
    <n v="51.724137931034477"/>
    <n v="17.029061586999223"/>
    <n v="70.504800126097848"/>
    <n v="49.356799725230253"/>
    <n v="5.7759259259259252"/>
    <n v="-0.94592592592592517"/>
    <n v="1188"/>
    <n v="17"/>
    <s v="Open ended"/>
    <s v="CRISIL Hybrid 85+15 - Conservative Index"/>
    <n v="10000"/>
    <n v="1000"/>
  </r>
  <r>
    <x v="1188"/>
    <x v="36"/>
    <n v="2.96"/>
    <n v="8.98"/>
    <n v="6.7"/>
    <n v="1.86"/>
    <n v="58.646616541353382"/>
    <n v="35.089224433768017"/>
    <n v="40.715804394046771"/>
    <n v="42.613992835424469"/>
    <n v="33.333333333333329"/>
    <n v="12.302595588072286"/>
    <n v="78.691279376486094"/>
    <n v="49.31314959516709"/>
    <n v="5.7759259259259252"/>
    <n v="0.92407407407407494"/>
    <n v="1189"/>
    <n v="18"/>
    <s v="Open ended"/>
    <s v="CRISIL Hybrid 85+15 - Conservative Index"/>
    <n v="1000"/>
    <n v="1000"/>
  </r>
  <r>
    <x v="1189"/>
    <x v="36"/>
    <n v="2.96"/>
    <n v="8.98"/>
    <n v="6.7"/>
    <n v="1.86"/>
    <n v="58.646616541353382"/>
    <n v="35.089224433768017"/>
    <n v="40.715804394046771"/>
    <n v="42.613992835424469"/>
    <n v="33.333333333333329"/>
    <n v="12.302595588072286"/>
    <n v="78.691279376486094"/>
    <n v="49.31314959516709"/>
    <n v="5.7759259259259252"/>
    <n v="0.92407407407407494"/>
    <n v="1189"/>
    <n v="18"/>
    <s v="Open ended"/>
    <s v="CRISIL Hybrid 85+15 - Conservative Index"/>
    <n v="1000"/>
    <n v="1000"/>
  </r>
  <r>
    <x v="1190"/>
    <x v="12"/>
    <n v="6.5"/>
    <n v="14.17"/>
    <n v="11"/>
    <n v="2.5299999999999998"/>
    <n v="66.251342642320083"/>
    <n v="43.994509265614276"/>
    <n v="55.953224663359322"/>
    <n v="54.425233639827965"/>
    <n v="7.6628352490421436"/>
    <n v="11.138736761345553"/>
    <n v="80.707141997214293"/>
    <n v="49.305111131478093"/>
    <n v="9.219019607843137"/>
    <n v="1.780980392156863"/>
    <n v="1191"/>
    <n v="37"/>
    <s v="Open ended"/>
    <s v="CRISIL Hybrid 35+65 - Aggressive Index"/>
    <n v="5000"/>
    <n v="1000"/>
  </r>
  <r>
    <x v="1191"/>
    <x v="50"/>
    <n v="3.65"/>
    <n v="2.64"/>
    <n v="2.97"/>
    <n v="1.02"/>
    <n v="60.128893662728245"/>
    <n v="24.210706932052169"/>
    <n v="27.498228206945431"/>
    <n v="33.038104915634015"/>
    <n v="65.517241379310349"/>
    <n v="19.856502974423805"/>
    <n v="65.60752798765543"/>
    <n v="49.300244799558456"/>
    <n v="4.3111111111111109"/>
    <n v="-1.3411111111111107"/>
    <n v="1192"/>
    <n v="19"/>
    <s v="Open ended"/>
    <s v="Nifty All Duration G-Sec Index"/>
    <n v="25000"/>
    <n v="1000"/>
  </r>
  <r>
    <x v="1192"/>
    <x v="50"/>
    <n v="4.92"/>
    <n v="2.9"/>
    <n v="5.79"/>
    <n v="1.34"/>
    <n v="62.857142857142854"/>
    <n v="24.656829100892246"/>
    <n v="37.491141034727136"/>
    <n v="38.714047819059815"/>
    <n v="53.256704980842919"/>
    <n v="19.439725573962217"/>
    <n v="66.329407620701389"/>
    <n v="49.25355205991599"/>
    <n v="4.3111111111111109"/>
    <n v="1.4788888888888891"/>
    <n v="1193"/>
    <n v="20"/>
    <s v="Open ended"/>
    <s v="Nifty All Duration G-Sec Index"/>
    <n v="5000"/>
    <n v="1000"/>
  </r>
  <r>
    <x v="1193"/>
    <x v="44"/>
    <n v="21.77"/>
    <n v="15.96"/>
    <n v="12.3"/>
    <n v="2.34"/>
    <n v="99.054779806659511"/>
    <n v="47.0658888126287"/>
    <n v="60.559886605244508"/>
    <n v="64.210665907742765"/>
    <n v="14.942528735632177"/>
    <n v="26.977736394431751"/>
    <n v="53.273189891644193"/>
    <n v="49.159262610690476"/>
    <n v="11.035555555555554"/>
    <n v="1.2644444444444467"/>
    <n v="1194"/>
    <n v="14"/>
    <s v="Open ended"/>
    <s v="NIFTY FMCG - TRI"/>
    <n v="5000"/>
    <n v="1000"/>
  </r>
  <r>
    <x v="1194"/>
    <x v="49"/>
    <n v="3.71"/>
    <n v="1.1299999999999999"/>
    <n v="3.57"/>
    <n v="1.03"/>
    <n v="60.257787325456491"/>
    <n v="21.619766643788608"/>
    <n v="29.624379872430893"/>
    <n v="33.349677394443333"/>
    <n v="65.134099616858236"/>
    <n v="20.393528905514099"/>
    <n v="64.677371790025063"/>
    <n v="49.127706548942491"/>
    <n v="4.3271875"/>
    <n v="-0.75718750000000012"/>
    <n v="1195"/>
    <n v="11"/>
    <s v="Open ended"/>
    <s v="CRISIL Medium to Long Term Debt Index"/>
    <n v="5000"/>
    <n v="1000"/>
  </r>
  <r>
    <x v="1195"/>
    <x v="49"/>
    <n v="3.71"/>
    <n v="1.1299999999999999"/>
    <n v="3.57"/>
    <n v="1.03"/>
    <n v="60.257787325456491"/>
    <n v="21.619766643788608"/>
    <n v="29.624379872430893"/>
    <n v="33.349677394443333"/>
    <n v="65.134099616858236"/>
    <n v="20.393528905514099"/>
    <n v="64.677371790025063"/>
    <n v="49.127706548942491"/>
    <n v="4.3271875"/>
    <n v="-0.75718750000000012"/>
    <n v="1195"/>
    <n v="11"/>
    <s v="Open ended"/>
    <s v="CRISIL Medium to Long Term Debt Index"/>
    <n v="5000"/>
    <n v="1000"/>
  </r>
  <r>
    <x v="1196"/>
    <x v="51"/>
    <n v="6.15"/>
    <n v="8.81"/>
    <n v="8.2200000000000006"/>
    <n v="1.95"/>
    <n v="65.499462943071961"/>
    <n v="34.797529169526427"/>
    <n v="46.102055279943301"/>
    <n v="46.590178979443969"/>
    <n v="29.885057471264375"/>
    <n v="15.527719686987071"/>
    <n v="73.105200576450898"/>
    <n v="49.042654001650803"/>
    <n v="8.7813636363636363"/>
    <n v="-0.56136363636363562"/>
    <n v="1197"/>
    <n v="6"/>
    <s v="Open ended"/>
    <s v="Nifty Financial Services - TRI"/>
    <n v="5000"/>
    <n v="1000"/>
  </r>
  <r>
    <x v="1197"/>
    <x v="15"/>
    <n v="4.26"/>
    <n v="2.5499999999999998"/>
    <n v="4.32"/>
    <n v="1.2"/>
    <n v="61.439312567132106"/>
    <n v="24.056280027453674"/>
    <n v="32.282069454287736"/>
    <n v="35.645781248806394"/>
    <n v="58.62068965517242"/>
    <n v="19.643911522822123"/>
    <n v="65.975747183084366"/>
    <n v="48.971999833967395"/>
    <n v="5.2086538461538465"/>
    <n v="-0.88865384615384624"/>
    <n v="1198"/>
    <n v="42"/>
    <s v="Open ended"/>
    <s v="Nifty Short Duration Debt Index"/>
    <n v="1000"/>
    <n v="1000"/>
  </r>
  <r>
    <x v="1198"/>
    <x v="36"/>
    <n v="3.7"/>
    <n v="8.8699999999999992"/>
    <n v="6.07"/>
    <n v="1.79"/>
    <n v="60.236305048335126"/>
    <n v="34.90048043925875"/>
    <n v="38.483345145287032"/>
    <n v="41.759077714088164"/>
    <n v="36.015325670498079"/>
    <n v="13.710897081440983"/>
    <n v="76.25202963759638"/>
    <n v="48.946377684067699"/>
    <n v="5.7759259259259252"/>
    <n v="0.29407407407407504"/>
    <n v="1199"/>
    <n v="20"/>
    <s v="Open ended"/>
    <s v="NIFTY 50 Hybrid Composite Debt 15:85 Index"/>
    <n v="5000"/>
    <n v="1000"/>
  </r>
  <r>
    <x v="1199"/>
    <x v="15"/>
    <n v="4.26"/>
    <n v="2.5499999999999998"/>
    <n v="4.29"/>
    <n v="1.2"/>
    <n v="61.439312567132106"/>
    <n v="24.056280027453674"/>
    <n v="32.175761871013464"/>
    <n v="35.592627457169257"/>
    <n v="58.62068965517242"/>
    <n v="19.662877487857077"/>
    <n v="65.942897168029248"/>
    <n v="48.937210434385044"/>
    <n v="5.2086538461538465"/>
    <n v="-0.91865384615384649"/>
    <n v="1200"/>
    <n v="43"/>
    <s v="Open ended"/>
    <s v="Nifty Short Duration Debt Index"/>
    <n v="1000"/>
    <n v="1000"/>
  </r>
  <r>
    <x v="1200"/>
    <x v="53"/>
    <n v="5.0999999999999996"/>
    <n v="4.59"/>
    <n v="6.49"/>
    <n v="1.55"/>
    <n v="63.243823845327597"/>
    <n v="27.556623198352781"/>
    <n v="39.971651311126855"/>
    <n v="40.901577384134782"/>
    <n v="45.21072796934866"/>
    <n v="18.116765842353583"/>
    <n v="68.620841092215215"/>
    <n v="48.908680957458358"/>
    <n v="4.7778125000000005"/>
    <n v="1.7121874999999998"/>
    <n v="1201"/>
    <n v="4"/>
    <s v="Open ended"/>
    <s v="CRISIL Short Term Credit Risk Fund"/>
    <n v="1000"/>
    <n v="1000"/>
  </r>
  <r>
    <x v="1201"/>
    <x v="51"/>
    <n v="8.9499999999999993"/>
    <n v="11.58"/>
    <n v="8.0500000000000007"/>
    <n v="2.02"/>
    <n v="71.514500537056918"/>
    <n v="39.55044612216885"/>
    <n v="45.499645641389087"/>
    <n v="48.917856764756579"/>
    <n v="27.203065134099624"/>
    <n v="16.99934520699777"/>
    <n v="70.556270406077388"/>
    <n v="48.898762267422541"/>
    <n v="8.7813636363636363"/>
    <n v="-0.73136363636363555"/>
    <n v="1202"/>
    <n v="7"/>
    <s v="Open ended"/>
    <s v="Nifty Financial Services - TRI"/>
    <n v="5000"/>
    <n v="1000"/>
  </r>
  <r>
    <x v="1202"/>
    <x v="48"/>
    <n v="5.0199999999999996"/>
    <n v="3.01"/>
    <n v="5.32"/>
    <n v="1.33"/>
    <n v="63.071965628356594"/>
    <n v="24.845573095401512"/>
    <n v="35.825655563430189"/>
    <n v="37.980892836006866"/>
    <n v="53.639846743295003"/>
    <n v="19.681551045087819"/>
    <n v="65.91055361814756"/>
    <n v="48.878046508364072"/>
    <n v="3.5597297297297299"/>
    <n v="1.7602702702702704"/>
    <n v="1203"/>
    <n v="15"/>
    <s v="Open ended"/>
    <s v="NIFTY Medium Duration Debt Index"/>
    <n v="1000"/>
    <n v="1000"/>
  </r>
  <r>
    <x v="1203"/>
    <x v="53"/>
    <n v="5.0999999999999996"/>
    <n v="4.59"/>
    <n v="6.46"/>
    <n v="1.55"/>
    <n v="63.243823845327597"/>
    <n v="27.556623198352781"/>
    <n v="39.86534372785259"/>
    <n v="40.848423592497653"/>
    <n v="45.21072796934866"/>
    <n v="18.127484766204898"/>
    <n v="68.602275371502287"/>
    <n v="48.877462631461562"/>
    <n v="4.7778125000000005"/>
    <n v="1.6821874999999995"/>
    <n v="1204"/>
    <n v="5"/>
    <s v="Open ended"/>
    <s v="CRISIL Short Term Credit Risk Fund"/>
    <n v="1000"/>
    <n v="1000"/>
  </r>
  <r>
    <x v="1204"/>
    <x v="36"/>
    <n v="3.04"/>
    <n v="4.45"/>
    <n v="4.51"/>
    <n v="1.38"/>
    <n v="58.818474758324378"/>
    <n v="27.316403568977353"/>
    <n v="32.955350815024801"/>
    <n v="36.436291429870479"/>
    <n v="51.724137931034477"/>
    <n v="16.798211191318703"/>
    <n v="70.904644740363892"/>
    <n v="48.875341382784832"/>
    <n v="5.7759259259259252"/>
    <n v="-1.2659259259259255"/>
    <n v="1205"/>
    <n v="21"/>
    <s v="Open ended"/>
    <s v="CRISIL Hybrid 85+15 - Conservative Index"/>
    <n v="10000"/>
    <n v="1000"/>
  </r>
  <r>
    <x v="1205"/>
    <x v="38"/>
    <n v="3.85"/>
    <n v="1.4"/>
    <n v="4"/>
    <n v="1.1200000000000001"/>
    <n v="60.558539205155746"/>
    <n v="22.083047357584078"/>
    <n v="31.148121899362152"/>
    <n v="34.310682997987449"/>
    <n v="61.685823754789261"/>
    <n v="20.114305421189957"/>
    <n v="65.161001051540893"/>
    <n v="48.867047700576265"/>
    <n v="4.625"/>
    <n v="-0.625"/>
    <n v="1206"/>
    <n v="28"/>
    <s v="Open ended"/>
    <s v="CRISIL Dynamic Debt Index"/>
    <n v="5000"/>
    <n v="1000"/>
  </r>
  <r>
    <x v="1206"/>
    <x v="38"/>
    <n v="3.85"/>
    <n v="1.4"/>
    <n v="4"/>
    <n v="1.1200000000000001"/>
    <n v="60.558539205155746"/>
    <n v="22.083047357584078"/>
    <n v="31.148121899362152"/>
    <n v="34.310682997987449"/>
    <n v="61.685823754789261"/>
    <n v="20.114305421189957"/>
    <n v="65.161001051540893"/>
    <n v="48.867047700576265"/>
    <n v="4.625"/>
    <n v="-0.625"/>
    <n v="1206"/>
    <n v="28"/>
    <s v="Open ended"/>
    <s v="CRISIL Dynamic Debt Index"/>
    <n v="5000"/>
    <n v="1000"/>
  </r>
  <r>
    <x v="1207"/>
    <x v="23"/>
    <n v="-2.14"/>
    <n v="10.49"/>
    <n v="9.1300000000000008"/>
    <n v="2.33"/>
    <n v="47.690655209452196"/>
    <n v="37.68016472203157"/>
    <n v="49.326718639262936"/>
    <n v="45.505539778131379"/>
    <n v="15.325670498084287"/>
    <n v="6.3051413081188512"/>
    <n v="89.079174905436858"/>
    <n v="48.853981239945981"/>
    <n v="10.023387096774194"/>
    <n v="-0.89338709677419281"/>
    <n v="1208"/>
    <n v="47"/>
    <s v="Open ended"/>
    <s v="NIFTY 500 - TRI"/>
    <n v="1000"/>
    <n v="1000"/>
  </r>
  <r>
    <x v="1208"/>
    <x v="15"/>
    <n v="4.2699999999999996"/>
    <n v="2.5499999999999998"/>
    <n v="4.2"/>
    <n v="1.2"/>
    <n v="61.460794844253485"/>
    <n v="24.056280027453674"/>
    <n v="31.856839121190646"/>
    <n v="35.437462537682123"/>
    <n v="58.62068965517242"/>
    <n v="19.732970064117499"/>
    <n v="65.821493264712814"/>
    <n v="48.829276998812368"/>
    <n v="5.2086538461538465"/>
    <n v="-1.0086538461538463"/>
    <n v="1209"/>
    <n v="44"/>
    <s v="Open ended"/>
    <s v="Nifty Short Duration Debt Index"/>
    <n v="1000"/>
    <n v="1000"/>
  </r>
  <r>
    <x v="1209"/>
    <x v="28"/>
    <n v="9.82"/>
    <n v="17.93"/>
    <n v="8.69"/>
    <n v="2.41"/>
    <n v="73.383458646616546"/>
    <n v="50.446122168840077"/>
    <n v="47.767540751240247"/>
    <n v="53.694298755595455"/>
    <n v="12.260536398467426"/>
    <n v="14.079958882090208"/>
    <n v="75.612795847739065"/>
    <n v="48.815482439349353"/>
    <n v="10.248999999999999"/>
    <n v="-1.5589999999999993"/>
    <n v="1210"/>
    <n v="9"/>
    <s v="Open ended"/>
    <s v="NIFTY 500 - TRI"/>
    <n v="1000"/>
    <n v="1000"/>
  </r>
  <r>
    <x v="1210"/>
    <x v="48"/>
    <n v="5.0199999999999996"/>
    <n v="3.01"/>
    <n v="5.26"/>
    <n v="1.33"/>
    <n v="63.071965628356594"/>
    <n v="24.845573095401512"/>
    <n v="35.613040396881637"/>
    <n v="37.874585252732587"/>
    <n v="53.639846743295003"/>
    <n v="19.71119822604966"/>
    <n v="65.859203194420459"/>
    <n v="48.812055110795157"/>
    <n v="3.5597297297297299"/>
    <n v="1.7002702702702699"/>
    <n v="1211"/>
    <n v="16"/>
    <s v="Open ended"/>
    <s v="NIFTY Medium Duration Debt Index"/>
    <n v="1000"/>
    <n v="1000"/>
  </r>
  <r>
    <x v="1211"/>
    <x v="17"/>
    <n v="-8.6999999999999993"/>
    <n v="19.03"/>
    <n v="16.829999999999998"/>
    <n v="2.44"/>
    <n v="33.598281417830286"/>
    <n v="52.333562113932743"/>
    <n v="76.612331679659789"/>
    <n v="60.725890757575769"/>
    <n v="11.111111111111116"/>
    <n v="21.566478287358439"/>
    <n v="62.645763865964156"/>
    <n v="48.802164123056698"/>
    <n v="20.878999999999998"/>
    <n v="-4.0489999999999995"/>
    <n v="1212"/>
    <n v="9"/>
    <s v="Open ended"/>
    <s v="S&amp;P BSE TECk Index - TRI"/>
    <n v="5000"/>
    <n v="1000"/>
  </r>
  <r>
    <x v="1212"/>
    <x v="46"/>
    <n v="3.13"/>
    <n v="2.67"/>
    <n v="3.9"/>
    <n v="1.21"/>
    <n v="59.011815252416753"/>
    <n v="24.262182566918327"/>
    <n v="30.793763288447906"/>
    <n v="34.477899464782801"/>
    <n v="58.237547892720308"/>
    <n v="18.468247413421789"/>
    <n v="68.012057153200956"/>
    <n v="48.801350993871722"/>
    <n v="4.4820000000000002"/>
    <n v="-0.58200000000000029"/>
    <n v="1213"/>
    <n v="39"/>
    <s v="Open ended"/>
    <s v="Nifty 50 Arbitrage"/>
    <n v="1000"/>
    <n v="1000"/>
  </r>
  <r>
    <x v="1213"/>
    <x v="38"/>
    <n v="3.83"/>
    <n v="1.97"/>
    <n v="3.67"/>
    <n v="1.1200000000000001"/>
    <n v="60.515574650912995"/>
    <n v="23.061084420041183"/>
    <n v="29.978738483345147"/>
    <n v="34.010809497867527"/>
    <n v="61.685823754789261"/>
    <n v="19.929840019925305"/>
    <n v="65.480504498769847"/>
    <n v="48.796986812323539"/>
    <n v="4.625"/>
    <n v="-0.95500000000000007"/>
    <n v="1214"/>
    <n v="30"/>
    <s v="Open ended"/>
    <s v="CRISIL Dynamic Debt Index"/>
    <n v="1000"/>
    <n v="1000"/>
  </r>
  <r>
    <x v="1214"/>
    <x v="18"/>
    <n v="-0.38"/>
    <n v="7.13"/>
    <n v="7.94"/>
    <n v="2.0099999999999998"/>
    <n v="51.471535982814174"/>
    <n v="31.914893617021278"/>
    <n v="45.109851169383411"/>
    <n v="42.423700866360925"/>
    <n v="27.586206896551737"/>
    <n v="9.9753044990917417"/>
    <n v="82.722265786602691"/>
    <n v="48.788968603969067"/>
    <n v="6.9120588235294118"/>
    <n v="1.0279411764705886"/>
    <n v="1215"/>
    <n v="16"/>
    <s v="Open ended"/>
    <s v=""/>
    <n v="1000"/>
    <n v="1000"/>
  </r>
  <r>
    <x v="1215"/>
    <x v="18"/>
    <n v="-0.38"/>
    <n v="7.13"/>
    <n v="7.94"/>
    <n v="2.0099999999999998"/>
    <n v="51.471535982814174"/>
    <n v="31.914893617021278"/>
    <n v="45.109851169383411"/>
    <n v="42.423700866360925"/>
    <n v="27.586206896551737"/>
    <n v="9.9753044990917417"/>
    <n v="82.722265786602691"/>
    <n v="48.788968603969067"/>
    <n v="6.9120588235294118"/>
    <n v="1.0279411764705886"/>
    <n v="1215"/>
    <n v="16"/>
    <s v="Open ended"/>
    <s v=""/>
    <n v="1000"/>
    <n v="1000"/>
  </r>
  <r>
    <x v="1216"/>
    <x v="17"/>
    <n v="-8.6999999999999993"/>
    <n v="19.04"/>
    <n v="16.399999999999999"/>
    <n v="2.44"/>
    <n v="33.598281417830286"/>
    <n v="52.350720658888129"/>
    <n v="75.088589652728558"/>
    <n v="59.969167307596777"/>
    <n v="11.111111111111116"/>
    <n v="20.777031955573296"/>
    <n v="64.013125022464891"/>
    <n v="48.76564268719239"/>
    <n v="20.878999999999998"/>
    <n v="-4.4789999999999992"/>
    <n v="1217"/>
    <n v="10"/>
    <s v="Open ended"/>
    <s v="S&amp;P BSE TECk Index - TRI"/>
    <n v="5000"/>
    <n v="1000"/>
  </r>
  <r>
    <x v="1217"/>
    <x v="23"/>
    <n v="1.97"/>
    <n v="12.65"/>
    <n v="8.49"/>
    <n v="2.37"/>
    <n v="56.51987110633727"/>
    <n v="41.386410432395337"/>
    <n v="47.058823529411761"/>
    <n v="47.249309115691936"/>
    <n v="13.793103448275845"/>
    <n v="7.6453615956103143"/>
    <n v="86.757845274167067"/>
    <n v="48.762391738456699"/>
    <n v="10.023387096774194"/>
    <n v="-1.5333870967741934"/>
    <n v="1218"/>
    <n v="48"/>
    <s v="Open ended"/>
    <s v="NIFTY 500 - TRI"/>
    <n v="1000"/>
    <n v="1000"/>
  </r>
  <r>
    <x v="1218"/>
    <x v="22"/>
    <n v="3.56"/>
    <n v="14.63"/>
    <n v="9.27"/>
    <n v="2.5299999999999998"/>
    <n v="59.93555316863587"/>
    <n v="44.783802333562122"/>
    <n v="49.822820694542877"/>
    <n v="50.333661681067255"/>
    <n v="7.6628352490421436"/>
    <n v="7.7161585596184041"/>
    <n v="86.635221335483436"/>
    <n v="48.741344986665027"/>
    <n v="9.83"/>
    <n v="-0.5600000000000005"/>
    <n v="1219"/>
    <n v="18"/>
    <s v="Open ended"/>
    <s v="NIFTY 500 - TRI"/>
    <n v="5000"/>
    <n v="1000"/>
  </r>
  <r>
    <x v="1219"/>
    <x v="22"/>
    <n v="3.56"/>
    <n v="14.63"/>
    <n v="9.27"/>
    <n v="2.5299999999999998"/>
    <n v="59.93555316863587"/>
    <n v="44.783802333562122"/>
    <n v="49.822820694542877"/>
    <n v="50.333661681067255"/>
    <n v="7.6628352490421436"/>
    <n v="7.7161585596184041"/>
    <n v="86.635221335483436"/>
    <n v="48.741344986665027"/>
    <n v="9.83"/>
    <n v="-0.5600000000000005"/>
    <n v="1219"/>
    <n v="18"/>
    <s v="Open ended"/>
    <s v="NIFTY 500 - TRI"/>
    <n v="5000"/>
    <n v="1000"/>
  </r>
  <r>
    <x v="1220"/>
    <x v="23"/>
    <n v="-2.14"/>
    <n v="10.49"/>
    <n v="8.76"/>
    <n v="2.33"/>
    <n v="47.690655209452196"/>
    <n v="37.68016472203157"/>
    <n v="48.015591778880221"/>
    <n v="44.849976347940022"/>
    <n v="15.325670498084287"/>
    <n v="5.8756071462208581"/>
    <n v="89.823149897430696"/>
    <n v="48.712193272848758"/>
    <n v="10.023387096774194"/>
    <n v="-1.2633870967741938"/>
    <n v="1221"/>
    <n v="49"/>
    <s v="Open ended"/>
    <s v="NIFTY 500 - TRI"/>
    <n v="1000"/>
    <n v="1000"/>
  </r>
  <r>
    <x v="1221"/>
    <x v="47"/>
    <n v="15.66"/>
    <n v="20.96"/>
    <n v="7.67"/>
    <n v="2.2000000000000002"/>
    <n v="85.929108485499455"/>
    <n v="55.645161290322584"/>
    <n v="44.153082919914951"/>
    <n v="55.955911544154141"/>
    <n v="20.306513409961681"/>
    <n v="21.580939256082058"/>
    <n v="62.62071673340818"/>
    <n v="48.709763307919538"/>
    <n v="9.6316666666666659"/>
    <n v="-1.961666666666666"/>
    <n v="1222"/>
    <n v="5"/>
    <s v="Open ended"/>
    <s v="Nifty Infrastructure - TRI"/>
    <n v="5000"/>
    <n v="1000"/>
  </r>
  <r>
    <x v="1222"/>
    <x v="27"/>
    <n v="5.31"/>
    <n v="14.58"/>
    <n v="9.75"/>
    <n v="2.5299999999999998"/>
    <n v="63.694951664876477"/>
    <n v="44.698009608785178"/>
    <n v="51.523742026931252"/>
    <n v="51.910264229076475"/>
    <n v="7.6628352490421436"/>
    <n v="9.6230000050004438"/>
    <n v="83.332475070103669"/>
    <n v="48.703959694324695"/>
    <n v="10.044583333333334"/>
    <n v="-0.29458333333333364"/>
    <n v="1223"/>
    <n v="36"/>
    <s v="Open ended"/>
    <s v="S&amp;P BSE 100 - TRI"/>
    <n v="5000"/>
    <n v="1000"/>
  </r>
  <r>
    <x v="1223"/>
    <x v="36"/>
    <n v="2.87"/>
    <n v="7.23"/>
    <n v="6.74"/>
    <n v="1.83"/>
    <n v="58.453276047261014"/>
    <n v="32.086479066575158"/>
    <n v="40.857547838412472"/>
    <n v="41.745372848630986"/>
    <n v="34.482758620689658"/>
    <n v="13.427268781728422"/>
    <n v="76.74328826316291"/>
    <n v="48.679198145278633"/>
    <n v="5.7759259259259252"/>
    <n v="0.96407407407407497"/>
    <n v="1224"/>
    <n v="22"/>
    <s v="Open ended"/>
    <s v="CRISIL Hybrid 85+15 - Conservative Index"/>
    <n v="5000"/>
    <n v="1000"/>
  </r>
  <r>
    <x v="1224"/>
    <x v="36"/>
    <n v="3.7"/>
    <n v="8.75"/>
    <n v="5.89"/>
    <n v="1.79"/>
    <n v="60.236305048335126"/>
    <n v="34.694577899794098"/>
    <n v="37.845499645641389"/>
    <n v="41.378384202425949"/>
    <n v="36.015325670498079"/>
    <n v="13.926331774497489"/>
    <n v="75.878885803509505"/>
    <n v="48.662744969714865"/>
    <n v="5.7759259259259252"/>
    <n v="0.11407407407407444"/>
    <n v="1225"/>
    <n v="23"/>
    <s v="Open ended"/>
    <s v="NIFTY 50 Hybrid Composite Debt 15:85 Index"/>
    <n v="25000"/>
    <n v="1000"/>
  </r>
  <r>
    <x v="1225"/>
    <x v="21"/>
    <n v="-10.5"/>
    <n v="9.6999999999999993"/>
    <n v="7.14"/>
    <n v="1.96"/>
    <n v="29.731471535982813"/>
    <n v="36.324639670555939"/>
    <n v="42.274982282069452"/>
    <n v="37.981177349398067"/>
    <n v="29.501915708812266"/>
    <n v="6.27450004757796"/>
    <n v="89.132247125501635"/>
    <n v="48.649129383277511"/>
    <n v="10.412619047619048"/>
    <n v="-3.272619047619048"/>
    <n v="1226"/>
    <n v="38"/>
    <s v="Open ended"/>
    <s v="S&amp;P BSE 250 LargeMidCap Index - TRI"/>
    <n v="1000"/>
    <n v="1000"/>
  </r>
  <r>
    <x v="1226"/>
    <x v="34"/>
    <n v="1.1200000000000001"/>
    <n v="7.44"/>
    <n v="7.22"/>
    <n v="1.95"/>
    <n v="54.693877551020407"/>
    <n v="32.446808510638306"/>
    <n v="42.558469170800848"/>
    <n v="41.952052648795998"/>
    <n v="29.885057471264375"/>
    <n v="11.138865133310707"/>
    <n v="80.706919650448384"/>
    <n v="48.624020604826185"/>
    <n v="7.9378947368421047"/>
    <n v="-0.71789473684210492"/>
    <n v="1227"/>
    <n v="12"/>
    <s v="Open ended"/>
    <s v="NIFTY 50 Hybrid Composite Debt 50:50 Index"/>
    <n v="1000"/>
    <n v="1000"/>
  </r>
  <r>
    <x v="1227"/>
    <x v="15"/>
    <n v="4.84"/>
    <n v="3.46"/>
    <n v="4.49"/>
    <n v="1.29"/>
    <n v="62.685284640171858"/>
    <n v="25.617707618393965"/>
    <n v="32.884479092841957"/>
    <n v="36.66460875997354"/>
    <n v="55.172413793103445"/>
    <n v="19.642213237468329"/>
    <n v="65.978688699602884"/>
    <n v="48.620080003163352"/>
    <n v="5.2086538461538465"/>
    <n v="-0.71865384615384631"/>
    <n v="1228"/>
    <n v="45"/>
    <s v="Open ended"/>
    <s v=""/>
    <n v="5000"/>
    <n v="1000"/>
  </r>
  <r>
    <x v="1228"/>
    <x v="23"/>
    <n v="3.83"/>
    <n v="13.63"/>
    <n v="4.26"/>
    <n v="1.76"/>
    <n v="60.515574650912995"/>
    <n v="43.067947838023343"/>
    <n v="32.069454287739184"/>
    <n v="41.058226425459196"/>
    <n v="37.164750957854409"/>
    <n v="14.344385112264193"/>
    <n v="75.154796182223819"/>
    <n v="48.608999997749152"/>
    <n v="10.023387096774194"/>
    <n v="-5.7633870967741938"/>
    <n v="1229"/>
    <n v="50"/>
    <s v="Open ended"/>
    <s v="NIFTY 500 - TRI"/>
    <n v="1000"/>
    <n v="1000"/>
  </r>
  <r>
    <x v="1229"/>
    <x v="21"/>
    <n v="-10.5"/>
    <n v="9.6999999999999993"/>
    <n v="6.82"/>
    <n v="1.96"/>
    <n v="29.731471535982813"/>
    <n v="36.324639670555939"/>
    <n v="41.141034727143868"/>
    <n v="37.414203571935275"/>
    <n v="29.501915708812266"/>
    <n v="5.7277927628504557"/>
    <n v="90.079171919517705"/>
    <n v="48.602373693050126"/>
    <n v="10.412619047619048"/>
    <n v="-3.5926190476190474"/>
    <n v="1230"/>
    <n v="39"/>
    <s v="Open ended"/>
    <s v="S&amp;P BSE 250 LargeMidCap Index - TRI"/>
    <n v="1000"/>
    <n v="1000"/>
  </r>
  <r>
    <x v="1230"/>
    <x v="50"/>
    <n v="3.83"/>
    <n v="1.34"/>
    <n v="4.8"/>
    <n v="1.24"/>
    <n v="60.515574650912995"/>
    <n v="21.980096087851752"/>
    <n v="33.982990786676112"/>
    <n v="35.688639149876181"/>
    <n v="57.088122605363978"/>
    <n v="19.71898660237548"/>
    <n v="65.845713330915686"/>
    <n v="48.577778559008003"/>
    <n v="4.3111111111111109"/>
    <n v="0.48888888888888893"/>
    <n v="1231"/>
    <n v="21"/>
    <s v="Open ended"/>
    <s v="CRISIL Dynamic Gilt Index"/>
    <n v="1000"/>
    <n v="1000"/>
  </r>
  <r>
    <x v="1231"/>
    <x v="19"/>
    <n v="8.01"/>
    <n v="17"/>
    <n v="7"/>
    <n v="2.2000000000000002"/>
    <n v="69.49516648764768"/>
    <n v="48.850377487989022"/>
    <n v="41.778880226789504"/>
    <n v="49.443586657320992"/>
    <n v="20.306513409961681"/>
    <n v="14.401423022566295"/>
    <n v="75.056003623623027"/>
    <n v="48.562422587056673"/>
    <n v="9.4014285714285712"/>
    <n v="-2.4014285714285712"/>
    <n v="1232"/>
    <n v="21"/>
    <s v="Open ended"/>
    <s v="Nifty Infrastructure - TRI"/>
    <n v="5000"/>
    <n v="1000"/>
  </r>
  <r>
    <x v="1232"/>
    <x v="12"/>
    <n v="6.49"/>
    <n v="13.62"/>
    <n v="10.52"/>
    <n v="2.5299999999999998"/>
    <n v="66.229860365198718"/>
    <n v="43.05078929306795"/>
    <n v="54.252303330970932"/>
    <n v="53.287360526445596"/>
    <n v="7.6628352490421436"/>
    <n v="11.591700515285398"/>
    <n v="79.922585761403354"/>
    <n v="48.540035515834177"/>
    <n v="9.219019607843137"/>
    <n v="1.3009803921568626"/>
    <n v="1233"/>
    <n v="38"/>
    <s v="Open ended"/>
    <s v="CRISIL Hybrid 35+65 - Aggressive Index"/>
    <n v="5000"/>
    <n v="1000"/>
  </r>
  <r>
    <x v="1233"/>
    <x v="19"/>
    <n v="7.74"/>
    <n v="16.91"/>
    <n v="6.95"/>
    <n v="2.2000000000000002"/>
    <n v="68.915145005370576"/>
    <n v="48.695950583390534"/>
    <n v="41.601700921332387"/>
    <n v="49.19266463675747"/>
    <n v="20.306513409961681"/>
    <n v="14.172558161657111"/>
    <n v="75.45240919078492"/>
    <n v="48.536062968565389"/>
    <n v="9.4014285714285712"/>
    <n v="-2.4514285714285711"/>
    <n v="1234"/>
    <n v="22"/>
    <s v="Open ended"/>
    <s v="Nifty Infrastructure - TRI"/>
    <n v="5000"/>
    <n v="1000"/>
  </r>
  <r>
    <x v="1234"/>
    <x v="25"/>
    <n v="5.59"/>
    <n v="4.46"/>
    <n v="4.0999999999999996"/>
    <n v="1.28"/>
    <n v="64.296455424274967"/>
    <n v="27.333562113932743"/>
    <n v="31.502480510276399"/>
    <n v="36.810599974173016"/>
    <n v="55.555555555555557"/>
    <n v="20.244670710778355"/>
    <n v="64.935201746430351"/>
    <n v="48.527989312582982"/>
    <n v="5.1221052631578941"/>
    <n v="-1.0221052631578944"/>
    <n v="1235"/>
    <n v="73"/>
    <s v="Open ended"/>
    <s v="NIFTY Low Duration Debt Index"/>
    <n v="1000"/>
    <n v="1000"/>
  </r>
  <r>
    <x v="1235"/>
    <x v="25"/>
    <n v="5.59"/>
    <n v="4.46"/>
    <n v="4.0999999999999996"/>
    <n v="1.28"/>
    <n v="64.296455424274967"/>
    <n v="27.333562113932743"/>
    <n v="31.502480510276399"/>
    <n v="36.810599974173016"/>
    <n v="55.555555555555557"/>
    <n v="20.244670710778355"/>
    <n v="64.935201746430351"/>
    <n v="48.527989312582982"/>
    <n v="5.1221052631578941"/>
    <n v="-1.0221052631578944"/>
    <n v="1235"/>
    <n v="73"/>
    <s v="Open ended"/>
    <s v="NIFTY Low Duration Debt Index"/>
    <n v="1000"/>
    <n v="1000"/>
  </r>
  <r>
    <x v="1236"/>
    <x v="25"/>
    <n v="5.59"/>
    <n v="4.46"/>
    <n v="4.0999999999999996"/>
    <n v="1.28"/>
    <n v="64.296455424274967"/>
    <n v="27.333562113932743"/>
    <n v="31.502480510276399"/>
    <n v="36.810599974173016"/>
    <n v="55.555555555555557"/>
    <n v="20.244670710778355"/>
    <n v="64.935201746430351"/>
    <n v="48.527989312582982"/>
    <n v="5.1221052631578941"/>
    <n v="-1.0221052631578944"/>
    <n v="1235"/>
    <n v="73"/>
    <s v="Open ended"/>
    <s v="NIFTY Low Duration Debt Index"/>
    <n v="1000"/>
    <n v="1000"/>
  </r>
  <r>
    <x v="1237"/>
    <x v="25"/>
    <n v="5.59"/>
    <n v="4.45"/>
    <n v="4.0999999999999996"/>
    <n v="1.28"/>
    <n v="64.296455424274967"/>
    <n v="27.316403568977353"/>
    <n v="31.502480510276399"/>
    <n v="36.805452410686399"/>
    <n v="55.555555555555557"/>
    <n v="20.250482570541966"/>
    <n v="64.925135310033312"/>
    <n v="48.522898921740413"/>
    <n v="5.1221052631578941"/>
    <n v="-1.0221052631578944"/>
    <n v="1238"/>
    <n v="76"/>
    <s v="Open ended"/>
    <s v="NIFTY Low Duration Debt Index"/>
    <n v="1000"/>
    <n v="1000"/>
  </r>
  <r>
    <x v="1238"/>
    <x v="15"/>
    <n v="4.84"/>
    <n v="3.46"/>
    <n v="4.4000000000000004"/>
    <n v="1.29"/>
    <n v="62.685284640171858"/>
    <n v="25.617707618393965"/>
    <n v="32.565556343019132"/>
    <n v="36.505147385062131"/>
    <n v="55.172413793103445"/>
    <n v="19.703958573765554"/>
    <n v="65.871742640005664"/>
    <n v="48.513612800808346"/>
    <n v="5.2086538461538465"/>
    <n v="-0.80865384615384617"/>
    <n v="1239"/>
    <n v="46"/>
    <s v="Open ended"/>
    <s v=""/>
    <n v="5000"/>
    <n v="1000"/>
  </r>
  <r>
    <x v="1239"/>
    <x v="22"/>
    <n v="3.42"/>
    <n v="9.4"/>
    <n v="8.82"/>
    <n v="2.1800000000000002"/>
    <n v="59.634801288936622"/>
    <n v="35.809883321894311"/>
    <n v="48.228206945428767"/>
    <n v="46.784028727070002"/>
    <n v="21.072796934865899"/>
    <n v="11.916038717295239"/>
    <n v="79.36081551668677"/>
    <n v="48.500417476423166"/>
    <n v="9.83"/>
    <n v="-1.0099999999999998"/>
    <n v="1240"/>
    <n v="20"/>
    <s v="Open ended"/>
    <s v="NIFTY 500 - TRI"/>
    <n v="1000"/>
    <n v="1000"/>
  </r>
  <r>
    <x v="1240"/>
    <x v="36"/>
    <n v="5.52"/>
    <n v="9.19"/>
    <n v="6.35"/>
    <n v="1.83"/>
    <n v="64.146079484425343"/>
    <n v="35.449553877831164"/>
    <n v="39.475549255846907"/>
    <n v="43.201856688157875"/>
    <n v="34.482758620689658"/>
    <n v="15.536700005862043"/>
    <n v="73.089646207891263"/>
    <n v="48.494029551224166"/>
    <n v="5.7759259259259252"/>
    <n v="0.5740740740740744"/>
    <n v="1241"/>
    <n v="24"/>
    <s v="Open ended"/>
    <s v="NIFTY 50 Hybrid Composite Debt 15:85 Index"/>
    <n v="1000"/>
    <n v="1000"/>
  </r>
  <r>
    <x v="1241"/>
    <x v="23"/>
    <n v="1.96"/>
    <n v="12.64"/>
    <n v="8.23"/>
    <n v="2.37"/>
    <n v="56.498388829215898"/>
    <n v="41.369251887439951"/>
    <n v="46.137491141034722"/>
    <n v="46.779198902592526"/>
    <n v="13.793103448275845"/>
    <n v="7.7349325690606348"/>
    <n v="86.602703797267722"/>
    <n v="48.488551262682151"/>
    <n v="10.023387096774194"/>
    <n v="-1.7933870967741932"/>
    <n v="1242"/>
    <n v="51"/>
    <s v="Open ended"/>
    <s v="NIFTY 500 - TRI"/>
    <n v="1000"/>
    <n v="1000"/>
  </r>
  <r>
    <x v="1242"/>
    <x v="36"/>
    <n v="5.52"/>
    <n v="9.09"/>
    <n v="6.36"/>
    <n v="1.83"/>
    <n v="64.146079484425343"/>
    <n v="35.277968428277283"/>
    <n v="39.510985116938343"/>
    <n v="43.168098983837424"/>
    <n v="34.482758620689658"/>
    <n v="15.589388168086064"/>
    <n v="72.998387633961826"/>
    <n v="48.454336055581578"/>
    <n v="5.7759259259259252"/>
    <n v="0.58407407407407508"/>
    <n v="1243"/>
    <n v="25"/>
    <s v="Open ended"/>
    <s v="NIFTY 50 Hybrid Composite Debt 15:85 Index"/>
    <n v="1000"/>
    <n v="1000"/>
  </r>
  <r>
    <x v="1243"/>
    <x v="28"/>
    <n v="9.81"/>
    <n v="17.93"/>
    <n v="8.43"/>
    <n v="2.41"/>
    <n v="73.361976369495167"/>
    <n v="50.446122168840077"/>
    <n v="46.846208362863209"/>
    <n v="53.229336105982661"/>
    <n v="12.260536398467426"/>
    <n v="14.382754176082267"/>
    <n v="75.088339014252057"/>
    <n v="48.451886906171197"/>
    <n v="10.248999999999999"/>
    <n v="-1.8189999999999991"/>
    <n v="1244"/>
    <n v="10"/>
    <s v="Open ended"/>
    <s v="NIFTY 500 - TRI"/>
    <n v="1000"/>
    <n v="1000"/>
  </r>
  <r>
    <x v="1244"/>
    <x v="51"/>
    <n v="6.16"/>
    <n v="8.4499999999999993"/>
    <n v="7.81"/>
    <n v="1.95"/>
    <n v="65.52094522019334"/>
    <n v="34.17982155113247"/>
    <n v="44.649184975194892"/>
    <n v="45.682727996975856"/>
    <n v="29.885057471264375"/>
    <n v="15.955688531414959"/>
    <n v="72.363936793845241"/>
    <n v="48.403612564765332"/>
    <n v="8.7813636363636363"/>
    <n v="-0.97136363636363665"/>
    <n v="1245"/>
    <n v="8"/>
    <s v="Open ended"/>
    <s v="Nifty Financial Services - TRI"/>
    <n v="5000"/>
    <n v="1000"/>
  </r>
  <r>
    <x v="1245"/>
    <x v="34"/>
    <n v="1.1299999999999999"/>
    <n v="7.45"/>
    <n v="6.98"/>
    <n v="1.95"/>
    <n v="54.715359828141771"/>
    <n v="32.463967055593692"/>
    <n v="41.708008504606667"/>
    <n v="41.536266334609799"/>
    <n v="29.885057471264375"/>
    <n v="11.178610312282004"/>
    <n v="80.638078981114177"/>
    <n v="48.398917280399537"/>
    <n v="7.9378947368421047"/>
    <n v="-0.95789473684210424"/>
    <n v="1246"/>
    <n v="13"/>
    <s v="Open ended"/>
    <s v="NIFTY 50 Hybrid Composite Debt 50:50 Index"/>
    <n v="1000"/>
    <n v="1000"/>
  </r>
  <r>
    <x v="1246"/>
    <x v="50"/>
    <n v="4.5599999999999996"/>
    <n v="2.88"/>
    <n v="4.1399999999999997"/>
    <n v="1.25"/>
    <n v="62.083780880773354"/>
    <n v="24.622512010981474"/>
    <n v="31.644223954642094"/>
    <n v="35.625621756770158"/>
    <n v="56.704980842911866"/>
    <n v="19.91321893372076"/>
    <n v="65.509293064553106"/>
    <n v="48.366379355251325"/>
    <n v="4.3111111111111109"/>
    <n v="-0.17111111111111121"/>
    <n v="1247"/>
    <n v="22"/>
    <s v="Open ended"/>
    <s v="CRISIL Dynamic Gilt Index"/>
    <n v="5000"/>
    <n v="1000"/>
  </r>
  <r>
    <x v="1247"/>
    <x v="50"/>
    <n v="4.5599999999999996"/>
    <n v="2.88"/>
    <n v="4.13"/>
    <n v="1.25"/>
    <n v="62.083780880773354"/>
    <n v="24.622512010981474"/>
    <n v="31.608788093550672"/>
    <n v="35.607903826224444"/>
    <n v="56.704980842911866"/>
    <n v="19.920173627999961"/>
    <n v="65.497247180710417"/>
    <n v="48.354508919017789"/>
    <n v="4.3111111111111109"/>
    <n v="-0.181111111111111"/>
    <n v="1248"/>
    <n v="23"/>
    <s v="Open ended"/>
    <s v="CRISIL Dynamic Gilt Index"/>
    <n v="5000"/>
    <n v="1000"/>
  </r>
  <r>
    <x v="1248"/>
    <x v="46"/>
    <n v="3.13"/>
    <n v="2.65"/>
    <n v="3.53"/>
    <n v="1.21"/>
    <n v="59.011815252416753"/>
    <n v="24.227865477007555"/>
    <n v="29.482636428065202"/>
    <n v="33.812040907618218"/>
    <n v="58.237547892720308"/>
    <n v="18.750591909620706"/>
    <n v="67.523022140546999"/>
    <n v="48.346162962125938"/>
    <n v="4.4820000000000002"/>
    <n v="-0.9520000000000004"/>
    <n v="1249"/>
    <n v="40"/>
    <s v="Open ended"/>
    <s v="Nifty 50 Arbitrage"/>
    <n v="1000"/>
    <n v="1000"/>
  </r>
  <r>
    <x v="1249"/>
    <x v="23"/>
    <n v="3.83"/>
    <n v="13.63"/>
    <n v="4.08"/>
    <n v="1.76"/>
    <n v="60.515574650912995"/>
    <n v="43.067947838023343"/>
    <n v="31.431608788093545"/>
    <n v="40.739303675636371"/>
    <n v="37.164750957854409"/>
    <n v="14.638426248498813"/>
    <n v="74.645501994750177"/>
    <n v="48.322215075969332"/>
    <n v="10.023387096774194"/>
    <n v="-5.9433870967741935"/>
    <n v="1250"/>
    <n v="52"/>
    <s v="Open ended"/>
    <s v="NIFTY 500 - TRI"/>
    <n v="1000"/>
    <n v="1000"/>
  </r>
  <r>
    <x v="1250"/>
    <x v="30"/>
    <n v="4.96"/>
    <n v="10.37"/>
    <n v="7.62"/>
    <n v="2.09"/>
    <n v="62.943071965628349"/>
    <n v="37.474262182566918"/>
    <n v="43.975903614457827"/>
    <n v="45.818844855124659"/>
    <n v="24.521072796934874"/>
    <n v="13.233071502466153"/>
    <n v="77.079647817536795"/>
    <n v="48.309602581180243"/>
    <n v="6.1480952380952392"/>
    <n v="1.4719047619047609"/>
    <n v="1251"/>
    <n v="19"/>
    <s v="Open ended"/>
    <s v="NIFTY 50 Equity Savings Index - TRI"/>
    <n v="1000"/>
    <n v="1000"/>
  </r>
  <r>
    <x v="1251"/>
    <x v="50"/>
    <n v="3.83"/>
    <n v="1.34"/>
    <n v="4.54"/>
    <n v="1.24"/>
    <n v="60.515574650912995"/>
    <n v="21.980096087851752"/>
    <n v="33.061658398299073"/>
    <n v="35.227972955687662"/>
    <n v="57.088122605363978"/>
    <n v="19.838941709552024"/>
    <n v="65.637944990658525"/>
    <n v="48.295503376849453"/>
    <n v="4.3111111111111109"/>
    <n v="0.22888888888888914"/>
    <n v="1252"/>
    <n v="24"/>
    <s v="Open ended"/>
    <s v="CRISIL Dynamic Gilt Index"/>
    <n v="1000"/>
    <n v="1000"/>
  </r>
  <r>
    <x v="1252"/>
    <x v="40"/>
    <n v="1.73"/>
    <n v="6.51"/>
    <n v="7.14"/>
    <n v="1.9"/>
    <n v="56.004296455424274"/>
    <n v="30.85106382978724"/>
    <n v="42.274982282069452"/>
    <n v="41.59366958105575"/>
    <n v="31.800766283524908"/>
    <n v="12.594212242100781"/>
    <n v="78.186184515375501"/>
    <n v="48.293572490252977"/>
    <n v="6.6483333333333334"/>
    <n v="0.49166666666666625"/>
    <n v="1253"/>
    <n v="4"/>
    <s v="Open ended"/>
    <s v="CRISIL Hybrid 50+50 - Moderate Index"/>
    <n v="1000"/>
    <n v="1000"/>
  </r>
  <r>
    <x v="1253"/>
    <x v="30"/>
    <n v="3.73"/>
    <n v="12.07"/>
    <n v="8.57"/>
    <n v="2.34"/>
    <n v="60.300751879699241"/>
    <n v="40.391214824982846"/>
    <n v="47.342310418143157"/>
    <n v="47.848670032506277"/>
    <n v="14.942528735632177"/>
    <n v="10.104690336595787"/>
    <n v="82.498162942265836"/>
    <n v="48.284507935727646"/>
    <n v="6.1480952380952392"/>
    <n v="2.4219047619047611"/>
    <n v="1254"/>
    <n v="20"/>
    <s v="Open ended"/>
    <s v="NIFTY 50 Equity Savings Index"/>
    <n v="1000"/>
    <n v="1000"/>
  </r>
  <r>
    <x v="1254"/>
    <x v="27"/>
    <n v="3.89"/>
    <n v="8.8699999999999992"/>
    <n v="8.1199999999999992"/>
    <n v="2.09"/>
    <n v="60.644468313641241"/>
    <n v="34.90048043925875"/>
    <n v="45.747696669029054"/>
    <n v="45.472886129020402"/>
    <n v="24.521072796934874"/>
    <n v="12.924968194954205"/>
    <n v="77.613298400127519"/>
    <n v="48.270035863775803"/>
    <n v="10.044583333333334"/>
    <n v="-1.9245833333333344"/>
    <n v="1255"/>
    <n v="37"/>
    <s v="Open ended"/>
    <s v="S&amp;P BSE 100 - TRI"/>
    <n v="1000"/>
    <n v="1000"/>
  </r>
  <r>
    <x v="1255"/>
    <x v="53"/>
    <n v="5.51"/>
    <n v="3.44"/>
    <n v="4.8600000000000003"/>
    <n v="1.35"/>
    <n v="64.124597207303964"/>
    <n v="25.583390528483186"/>
    <n v="34.195605953224664"/>
    <n v="37.597739576618082"/>
    <n v="52.873563218390807"/>
    <n v="20.229266687436176"/>
    <n v="64.961882297499983"/>
    <n v="48.25773116728174"/>
    <n v="4.7778125000000005"/>
    <n v="8.2187499999999858E-2"/>
    <n v="1256"/>
    <n v="6"/>
    <s v="Open ended"/>
    <s v="NIFTY Credit Risk Bond Index"/>
    <n v="5000"/>
    <n v="1000"/>
  </r>
  <r>
    <x v="1256"/>
    <x v="38"/>
    <n v="3.54"/>
    <n v="2.06"/>
    <n v="4.84"/>
    <n v="1.33"/>
    <n v="59.892588614393127"/>
    <n v="23.215511324639674"/>
    <n v="34.124734231041806"/>
    <n v="36.005538235791434"/>
    <n v="53.639846743295003"/>
    <n v="18.833487296398914"/>
    <n v="67.379443118934063"/>
    <n v="48.257591583452985"/>
    <n v="4.625"/>
    <n v="0.21499999999999986"/>
    <n v="1257"/>
    <n v="31"/>
    <s v="Open ended"/>
    <s v="NIFTY Composite Debt Index"/>
    <n v="5000"/>
    <n v="1000"/>
  </r>
  <r>
    <x v="1257"/>
    <x v="53"/>
    <n v="5.5"/>
    <n v="3.44"/>
    <n v="4.8499999999999996"/>
    <n v="1.35"/>
    <n v="64.103114930182585"/>
    <n v="25.583390528483186"/>
    <n v="34.160170092133235"/>
    <n v="37.575725190648086"/>
    <n v="52.873563218390807"/>
    <n v="20.223378638104247"/>
    <n v="64.972080698100356"/>
    <n v="48.249273574446832"/>
    <n v="4.7778125000000005"/>
    <n v="7.2187499999999183E-2"/>
    <n v="1258"/>
    <n v="7"/>
    <s v="Open ended"/>
    <s v="NIFTY Credit Risk Bond Index"/>
    <n v="5000"/>
    <n v="1000"/>
  </r>
  <r>
    <x v="1258"/>
    <x v="53"/>
    <n v="5.51"/>
    <n v="3.44"/>
    <n v="4.8499999999999996"/>
    <n v="1.35"/>
    <n v="64.124597207303964"/>
    <n v="25.583390528483186"/>
    <n v="34.160170092133235"/>
    <n v="37.580021646072368"/>
    <n v="52.873563218390807"/>
    <n v="20.235499550226919"/>
    <n v="64.951086662469805"/>
    <n v="48.246173293251339"/>
    <n v="4.7778125000000005"/>
    <n v="7.2187499999999183E-2"/>
    <n v="1259"/>
    <n v="8"/>
    <s v="Open ended"/>
    <s v="NIFTY Credit Risk Bond Index"/>
    <n v="5000"/>
    <n v="1000"/>
  </r>
  <r>
    <x v="1259"/>
    <x v="30"/>
    <n v="3.84"/>
    <n v="8.86"/>
    <n v="7.78"/>
    <n v="2.06"/>
    <n v="60.537056928034374"/>
    <n v="34.883321894303364"/>
    <n v="44.542877391920619"/>
    <n v="44.843846649858193"/>
    <n v="25.670498084291182"/>
    <n v="12.956561482030803"/>
    <n v="77.558577221732733"/>
    <n v="48.229192151435072"/>
    <n v="6.1480952380952392"/>
    <n v="1.6319047619047611"/>
    <n v="1260"/>
    <n v="21"/>
    <s v="Open ended"/>
    <s v="NIFTY 50 Equity Savings Index"/>
    <n v="5000"/>
    <n v="1000"/>
  </r>
  <r>
    <x v="1260"/>
    <x v="22"/>
    <n v="-0.14000000000000001"/>
    <n v="8.48"/>
    <n v="7.72"/>
    <n v="2.14"/>
    <n v="51.987110633727177"/>
    <n v="34.231297185998635"/>
    <n v="44.330262225372074"/>
    <n v="42.831942395231067"/>
    <n v="22.60536398467432"/>
    <n v="8.905853258817622"/>
    <n v="84.574609670975022"/>
    <n v="48.210964611527871"/>
    <n v="9.83"/>
    <n v="-2.1100000000000003"/>
    <n v="1261"/>
    <n v="21"/>
    <s v="Open ended"/>
    <s v="NIFTY 500 - TRI"/>
    <n v="1000"/>
    <n v="1000"/>
  </r>
  <r>
    <x v="1261"/>
    <x v="22"/>
    <n v="3.42"/>
    <n v="9.1999999999999993"/>
    <n v="8.6199999999999992"/>
    <n v="2.1800000000000002"/>
    <n v="59.634801288936622"/>
    <n v="35.46671242278655"/>
    <n v="47.51948972360028"/>
    <n v="46.326718846423432"/>
    <n v="21.072796934865899"/>
    <n v="12.084057916874821"/>
    <n v="79.069797726367881"/>
    <n v="48.199008088520159"/>
    <n v="9.83"/>
    <n v="-1.2100000000000009"/>
    <n v="1262"/>
    <n v="22"/>
    <s v="Open ended"/>
    <s v="NIFTY 500 - TRI"/>
    <n v="1000"/>
    <n v="1000"/>
  </r>
  <r>
    <x v="1262"/>
    <x v="36"/>
    <n v="2.96"/>
    <n v="8.8800000000000008"/>
    <n v="5.8"/>
    <n v="1.86"/>
    <n v="58.646616541353382"/>
    <n v="34.917638984214143"/>
    <n v="37.526576895818565"/>
    <n v="40.967903451444201"/>
    <n v="33.333333333333329"/>
    <n v="13.012346749419612"/>
    <n v="77.461954304301514"/>
    <n v="48.182773635130815"/>
    <n v="5.7759259259259252"/>
    <n v="2.4074074074074581E-2"/>
    <n v="1263"/>
    <n v="26"/>
    <s v="Open ended"/>
    <s v="CRISIL Hybrid 85+15 - Conservative Index"/>
    <n v="1000"/>
    <n v="1000"/>
  </r>
  <r>
    <x v="1263"/>
    <x v="19"/>
    <n v="1.92"/>
    <n v="14.7"/>
    <n v="7.89"/>
    <n v="2.48"/>
    <n v="56.412459720730389"/>
    <n v="44.90391214824983"/>
    <n v="44.932671863926288"/>
    <n v="47.220001520584169"/>
    <n v="9.578544061302674"/>
    <n v="6.6361764039558313"/>
    <n v="88.505805300358773"/>
    <n v="48.131088100707444"/>
    <n v="9.4014285714285712"/>
    <n v="-1.5114285714285716"/>
    <n v="1264"/>
    <n v="23"/>
    <s v="Open ended"/>
    <s v="Nifty Infrastructure - TRI"/>
    <n v="5000"/>
    <n v="1000"/>
  </r>
  <r>
    <x v="1264"/>
    <x v="41"/>
    <n v="-6.18"/>
    <n v="17.079999999999998"/>
    <n v="10.65"/>
    <n v="2.56"/>
    <n v="39.011815252416753"/>
    <n v="48.987645847632123"/>
    <n v="54.712969525159458"/>
    <n v="49.855141567352717"/>
    <n v="6.5134099616858121"/>
    <n v="7.9458875398258346"/>
    <n v="86.237319069793188"/>
    <n v="48.115253041546111"/>
    <n v="12.223750000000001"/>
    <n v="-1.5737500000000004"/>
    <n v="1265"/>
    <n v="7"/>
    <s v="Open ended"/>
    <s v="S&amp;P BSE Health Care - TRI"/>
    <n v="5000"/>
    <n v="1000"/>
  </r>
  <r>
    <x v="1265"/>
    <x v="41"/>
    <n v="-6.18"/>
    <n v="17.079999999999998"/>
    <n v="10.65"/>
    <n v="2.56"/>
    <n v="39.011815252416753"/>
    <n v="48.987645847632123"/>
    <n v="54.712969525159458"/>
    <n v="49.855141567352717"/>
    <n v="6.5134099616858121"/>
    <n v="7.9458875398258346"/>
    <n v="86.237319069793188"/>
    <n v="48.115253041546111"/>
    <n v="12.223750000000001"/>
    <n v="-1.5737500000000004"/>
    <n v="1265"/>
    <n v="7"/>
    <s v="Open ended"/>
    <s v="S&amp;P BSE Health Care - TRI"/>
    <n v="5000"/>
    <n v="1000"/>
  </r>
  <r>
    <x v="1266"/>
    <x v="30"/>
    <n v="3.73"/>
    <n v="12.07"/>
    <n v="8.4"/>
    <n v="2.34"/>
    <n v="60.300751879699241"/>
    <n v="40.391214824982846"/>
    <n v="46.739900779588943"/>
    <n v="47.547465213229174"/>
    <n v="14.942528735632177"/>
    <n v="10.17015373239019"/>
    <n v="82.384777014713933"/>
    <n v="48.105559044201115"/>
    <n v="6.1480952380952392"/>
    <n v="2.2519047619047612"/>
    <n v="1267"/>
    <n v="22"/>
    <s v="Open ended"/>
    <s v="NIFTY 50 Equity Savings Index"/>
    <n v="1000"/>
    <n v="1000"/>
  </r>
  <r>
    <x v="1267"/>
    <x v="30"/>
    <n v="3.74"/>
    <n v="12.07"/>
    <n v="8.4"/>
    <n v="2.34"/>
    <n v="60.32223415682062"/>
    <n v="40.391214824982846"/>
    <n v="46.739900779588943"/>
    <n v="47.551761668653455"/>
    <n v="14.942528735632177"/>
    <n v="10.181937642434644"/>
    <n v="82.364366683805116"/>
    <n v="48.102604689186052"/>
    <n v="6.1480952380952392"/>
    <n v="2.2519047619047612"/>
    <n v="1268"/>
    <n v="23"/>
    <s v="Open ended"/>
    <s v="NIFTY 50 Equity Savings Index"/>
    <n v="1000"/>
    <n v="1000"/>
  </r>
  <r>
    <x v="1268"/>
    <x v="22"/>
    <n v="-0.14000000000000001"/>
    <n v="8.48"/>
    <n v="7.57"/>
    <n v="2.14"/>
    <n v="51.987110633727177"/>
    <n v="34.231297185998635"/>
    <n v="43.798724309000711"/>
    <n v="42.566173437045379"/>
    <n v="22.60536398467432"/>
    <n v="8.8868277387327677"/>
    <n v="84.607562838402401"/>
    <n v="48.086318424291868"/>
    <n v="9.83"/>
    <n v="-2.2599999999999998"/>
    <n v="1269"/>
    <n v="23"/>
    <s v="Open ended"/>
    <s v="NIFTY 500 - TRI"/>
    <n v="1000"/>
    <n v="1000"/>
  </r>
  <r>
    <x v="1269"/>
    <x v="50"/>
    <n v="3.83"/>
    <n v="1.34"/>
    <n v="4.29"/>
    <n v="1.24"/>
    <n v="60.515574650912995"/>
    <n v="21.980096087851752"/>
    <n v="32.175761871013464"/>
    <n v="34.785024692044857"/>
    <n v="57.088122605363978"/>
    <n v="19.966971466423594"/>
    <n v="65.416190946876284"/>
    <n v="48.018590734082494"/>
    <n v="4.3111111111111109"/>
    <n v="-2.1111111111110858E-2"/>
    <n v="1270"/>
    <n v="25"/>
    <s v="Open ended"/>
    <s v="CRISIL Dynamic Gilt Index"/>
    <n v="1000"/>
    <n v="1000"/>
  </r>
  <r>
    <x v="1270"/>
    <x v="30"/>
    <n v="6.42"/>
    <n v="9.19"/>
    <n v="8.16"/>
    <n v="2.0699999999999998"/>
    <n v="66.079484425349079"/>
    <n v="35.449553877831164"/>
    <n v="45.889440113394755"/>
    <n v="46.795483105116546"/>
    <n v="25.287356321839095"/>
    <n v="15.571457645726685"/>
    <n v="73.029444209694532"/>
    <n v="47.97694168544168"/>
    <n v="6.1480952380952392"/>
    <n v="2.011904761904761"/>
    <n v="1271"/>
    <n v="24"/>
    <s v="Open ended"/>
    <s v="NIFTY 50 Equity Savings Index - TRI"/>
    <n v="5000"/>
    <n v="1000"/>
  </r>
  <r>
    <x v="1271"/>
    <x v="51"/>
    <n v="5.25"/>
    <n v="9.0500000000000007"/>
    <n v="8.19"/>
    <n v="2.1"/>
    <n v="63.566058002148232"/>
    <n v="35.20933424845574"/>
    <n v="45.995747696669028"/>
    <n v="46.273885723300879"/>
    <n v="24.137931034482762"/>
    <n v="14.31296790414118"/>
    <n v="75.209212382924846"/>
    <n v="47.973728716002341"/>
    <n v="8.7813636363636363"/>
    <n v="-0.59136363636363676"/>
    <n v="1272"/>
    <n v="9"/>
    <s v="Open ended"/>
    <s v="Nifty Financial Services - TRI"/>
    <n v="1000"/>
    <n v="1000"/>
  </r>
  <r>
    <x v="1272"/>
    <x v="53"/>
    <n v="5.52"/>
    <n v="4.3"/>
    <n v="5.87"/>
    <n v="1.55"/>
    <n v="64.146079484425343"/>
    <n v="27.05902539464654"/>
    <n v="37.774627923458539"/>
    <n v="39.834237477008301"/>
    <n v="45.21072796934866"/>
    <n v="19.086326589324269"/>
    <n v="66.941512617437567"/>
    <n v="47.955178885200709"/>
    <n v="4.7778125000000005"/>
    <n v="1.0921874999999996"/>
    <n v="1273"/>
    <n v="9"/>
    <s v="Open ended"/>
    <s v="NIFTY Credit Risk Bond Index"/>
    <n v="5000"/>
    <n v="1000"/>
  </r>
  <r>
    <x v="1273"/>
    <x v="53"/>
    <n v="5.52"/>
    <n v="4.3"/>
    <n v="5.87"/>
    <n v="1.55"/>
    <n v="64.146079484425343"/>
    <n v="27.05902539464654"/>
    <n v="37.774627923458539"/>
    <n v="39.834237477008301"/>
    <n v="45.21072796934866"/>
    <n v="19.086326589324269"/>
    <n v="66.941512617437567"/>
    <n v="47.955178885200709"/>
    <n v="4.7778125000000005"/>
    <n v="1.0921874999999996"/>
    <n v="1273"/>
    <n v="9"/>
    <s v="Open ended"/>
    <s v="NIFTY Credit Risk Bond Index"/>
    <n v="5000"/>
    <n v="1000"/>
  </r>
  <r>
    <x v="1274"/>
    <x v="53"/>
    <n v="5.21"/>
    <n v="3.71"/>
    <n v="6.64"/>
    <n v="1.61"/>
    <n v="63.480128893662723"/>
    <n v="26.046671242278656"/>
    <n v="40.503189227498225"/>
    <n v="40.761621765165259"/>
    <n v="42.911877394636001"/>
    <n v="18.877651780246683"/>
    <n v="67.302947989019685"/>
    <n v="47.934517228496553"/>
    <n v="4.7778125000000005"/>
    <n v="1.8621874999999992"/>
    <n v="1275"/>
    <n v="11"/>
    <s v="Open ended"/>
    <s v="NIFTY Credit Risk Bond Index"/>
    <n v="1000"/>
    <n v="1000"/>
  </r>
  <r>
    <x v="1275"/>
    <x v="3"/>
    <n v="1.96"/>
    <n v="4.5199999999999996"/>
    <n v="5.26"/>
    <n v="1.61"/>
    <n v="56.498388829215898"/>
    <n v="27.436513383665069"/>
    <n v="35.613040396881637"/>
    <n v="37.33715197938352"/>
    <n v="42.911877394636001"/>
    <n v="14.986916391476141"/>
    <n v="74.041899361176505"/>
    <n v="47.907020178644885"/>
    <n v="7.5967647058823538"/>
    <n v="-2.336764705882354"/>
    <n v="1276"/>
    <n v="31"/>
    <s v="Open ended"/>
    <s v="S&amp;P BSE 200"/>
    <n v="5000"/>
    <n v="1000"/>
  </r>
  <r>
    <x v="1276"/>
    <x v="3"/>
    <n v="1.96"/>
    <n v="4.5199999999999996"/>
    <n v="5.26"/>
    <n v="1.61"/>
    <n v="56.498388829215898"/>
    <n v="27.436513383665069"/>
    <n v="35.613040396881637"/>
    <n v="37.33715197938352"/>
    <n v="42.911877394636001"/>
    <n v="14.986916391476141"/>
    <n v="74.041899361176505"/>
    <n v="47.907020178644885"/>
    <n v="7.5967647058823538"/>
    <n v="-2.336764705882354"/>
    <n v="1276"/>
    <n v="31"/>
    <s v="Open ended"/>
    <s v="S&amp;P BSE 200"/>
    <n v="5000"/>
    <n v="1000"/>
  </r>
  <r>
    <x v="1277"/>
    <x v="30"/>
    <n v="3.84"/>
    <n v="8.86"/>
    <n v="7.44"/>
    <n v="2.06"/>
    <n v="60.537056928034374"/>
    <n v="34.883321894303364"/>
    <n v="43.338058114812192"/>
    <n v="44.241437011303979"/>
    <n v="25.670498084291182"/>
    <n v="13.072886992528209"/>
    <n v="77.357095527334849"/>
    <n v="47.877616908558494"/>
    <n v="6.1480952380952392"/>
    <n v="1.2919047619047612"/>
    <n v="1278"/>
    <n v="25"/>
    <s v="Open ended"/>
    <s v="NIFTY 50 Equity Savings Index"/>
    <n v="5000"/>
    <n v="1000"/>
  </r>
  <r>
    <x v="1278"/>
    <x v="30"/>
    <n v="4.95"/>
    <n v="10.36"/>
    <n v="7.23"/>
    <n v="2.09"/>
    <n v="62.921589688506984"/>
    <n v="37.457103637611532"/>
    <n v="42.593905031892277"/>
    <n v="45.118401544930997"/>
    <n v="24.521072796934874"/>
    <n v="13.466263660838409"/>
    <n v="76.675747151309409"/>
    <n v="47.858405759526569"/>
    <n v="6.1480952380952392"/>
    <n v="1.0819047619047613"/>
    <n v="1279"/>
    <n v="26"/>
    <s v="Open ended"/>
    <s v="NIFTY 50 Equity Savings Index - TRI"/>
    <n v="1000"/>
    <n v="1000"/>
  </r>
  <r>
    <x v="1279"/>
    <x v="36"/>
    <n v="2.86"/>
    <n v="6.8"/>
    <n v="6.19"/>
    <n v="1.83"/>
    <n v="58.431793770139627"/>
    <n v="31.348661633493485"/>
    <n v="38.908575478384122"/>
    <n v="40.545244983268034"/>
    <n v="34.482758620689658"/>
    <n v="13.975003852955586"/>
    <n v="75.794583290710108"/>
    <n v="47.841957969483957"/>
    <n v="5.7759259259259252"/>
    <n v="0.41407407407407515"/>
    <n v="1280"/>
    <n v="27"/>
    <s v="Open ended"/>
    <s v="CRISIL Hybrid 85+15 - Conservative Index"/>
    <n v="5000"/>
    <n v="1000"/>
  </r>
  <r>
    <x v="1280"/>
    <x v="47"/>
    <n v="15.67"/>
    <n v="20.54"/>
    <n v="7.2"/>
    <n v="2.2000000000000002"/>
    <n v="85.950590762620834"/>
    <n v="54.924502402196296"/>
    <n v="42.487597448617997"/>
    <n v="54.911267597492056"/>
    <n v="20.306513409961681"/>
    <n v="22.384245023327853"/>
    <n v="61.229350330525364"/>
    <n v="47.839599733867793"/>
    <n v="9.6316666666666659"/>
    <n v="-2.4316666666666658"/>
    <n v="1281"/>
    <n v="6"/>
    <s v="Open ended"/>
    <s v="Nifty Infrastructure - TRI"/>
    <n v="5000"/>
    <n v="1000"/>
  </r>
  <r>
    <x v="1281"/>
    <x v="53"/>
    <n v="5.21"/>
    <n v="3.71"/>
    <n v="6.53"/>
    <n v="1.61"/>
    <n v="63.480128893662723"/>
    <n v="26.046671242278656"/>
    <n v="40.113394755492557"/>
    <n v="40.566724529162421"/>
    <n v="42.911877394636001"/>
    <n v="18.908290626156102"/>
    <n v="67.249879951219285"/>
    <n v="47.823801601045034"/>
    <n v="4.7778125000000005"/>
    <n v="1.7521874999999998"/>
    <n v="1282"/>
    <n v="12"/>
    <s v="Open ended"/>
    <s v="NIFTY Credit Risk Bond Index"/>
    <n v="1000"/>
    <n v="1000"/>
  </r>
  <r>
    <x v="1282"/>
    <x v="27"/>
    <n v="1.4"/>
    <n v="13.31"/>
    <n v="9.48"/>
    <n v="2.62"/>
    <n v="55.295381310418904"/>
    <n v="42.518874399450937"/>
    <n v="50.566973777462799"/>
    <n v="49.098225470650462"/>
    <n v="4.2145593869731712"/>
    <n v="6.4597325827271828"/>
    <n v="88.811414963408396"/>
    <n v="47.805606322920625"/>
    <n v="10.044583333333334"/>
    <n v="-0.56458333333333321"/>
    <n v="1283"/>
    <n v="38"/>
    <s v="Open ended"/>
    <s v="S&amp;P BSE 100 - TRI"/>
    <n v="1000"/>
    <n v="1000"/>
  </r>
  <r>
    <x v="1283"/>
    <x v="23"/>
    <n v="-0.65"/>
    <n v="6.16"/>
    <n v="5.08"/>
    <n v="1.78"/>
    <n v="50.891514500537049"/>
    <n v="30.250514756348668"/>
    <n v="34.975194897236001"/>
    <n v="36.741054775630012"/>
    <n v="36.398467432950184"/>
    <n v="10.814363154216904"/>
    <n v="81.268973565395498"/>
    <n v="47.787387637401423"/>
    <n v="10.023387096774194"/>
    <n v="-4.9433870967741935"/>
    <n v="1284"/>
    <n v="53"/>
    <s v="Open ended"/>
    <s v="NIFTY 500 - TRI"/>
    <n v="1000"/>
    <n v="1000"/>
  </r>
  <r>
    <x v="1284"/>
    <x v="19"/>
    <n v="7.12"/>
    <n v="14.01"/>
    <n v="7.74"/>
    <n v="2.29"/>
    <n v="67.583243823845322"/>
    <n v="43.71997254632808"/>
    <n v="44.401133947554925"/>
    <n v="48.833207502444949"/>
    <n v="16.858237547892706"/>
    <n v="13.58510161436234"/>
    <n v="76.469913777938444"/>
    <n v="47.748641582680264"/>
    <n v="9.4014285714285712"/>
    <n v="-1.661428571428571"/>
    <n v="1285"/>
    <n v="24"/>
    <s v="Open ended"/>
    <s v="Nifty Infrastructure - TRI"/>
    <n v="5000"/>
    <n v="1000"/>
  </r>
  <r>
    <x v="1285"/>
    <x v="19"/>
    <n v="7.12"/>
    <n v="14.01"/>
    <n v="7.74"/>
    <n v="2.29"/>
    <n v="67.583243823845322"/>
    <n v="43.71997254632808"/>
    <n v="44.401133947554925"/>
    <n v="48.833207502444949"/>
    <n v="16.858237547892706"/>
    <n v="13.58510161436234"/>
    <n v="76.469913777938444"/>
    <n v="47.748641582680264"/>
    <n v="9.4014285714285712"/>
    <n v="-1.661428571428571"/>
    <n v="1285"/>
    <n v="24"/>
    <s v="Open ended"/>
    <s v="Nifty Infrastructure - TRI"/>
    <n v="5000"/>
    <n v="1000"/>
  </r>
  <r>
    <x v="1286"/>
    <x v="40"/>
    <n v="1.73"/>
    <n v="6.49"/>
    <n v="6.59"/>
    <n v="1.9"/>
    <n v="56.004296455424274"/>
    <n v="30.816746739876464"/>
    <n v="40.326009922041109"/>
    <n v="40.608888274068349"/>
    <n v="31.800766283524908"/>
    <n v="12.719063222604936"/>
    <n v="77.969936273767516"/>
    <n v="47.74711977635728"/>
    <n v="6.6483333333333334"/>
    <n v="-5.833333333333357E-2"/>
    <n v="1287"/>
    <n v="5"/>
    <s v="Open ended"/>
    <s v="CRISIL Hybrid 50+50 - Moderate Index"/>
    <n v="1000"/>
    <n v="1000"/>
  </r>
  <r>
    <x v="1287"/>
    <x v="12"/>
    <n v="2.0099999999999998"/>
    <n v="12.79"/>
    <n v="8.36"/>
    <n v="2.4700000000000002"/>
    <n v="56.605800214822764"/>
    <n v="41.626630061770761"/>
    <n v="46.598157335223242"/>
    <n v="47.108227729107398"/>
    <n v="9.9616858237547845"/>
    <n v="7.6293789383580108"/>
    <n v="86.785528048568025"/>
    <n v="47.740917332634396"/>
    <n v="9.219019607843137"/>
    <n v="-0.85901960784313758"/>
    <n v="1288"/>
    <n v="39"/>
    <s v="Open ended"/>
    <s v="CRISIL Hybrid 35+65 - Aggressive Index"/>
    <n v="1000"/>
    <n v="1000"/>
  </r>
  <r>
    <x v="1288"/>
    <x v="30"/>
    <n v="6.41"/>
    <n v="9.18"/>
    <n v="7.91"/>
    <n v="2.0699999999999998"/>
    <n v="66.058002148227715"/>
    <n v="35.432395332875778"/>
    <n v="45.003543586109139"/>
    <n v="46.343090822562843"/>
    <n v="25.287356321839095"/>
    <n v="15.667508294970791"/>
    <n v="72.863079605103763"/>
    <n v="47.709154393017137"/>
    <n v="6.1480952380952392"/>
    <n v="1.761904761904761"/>
    <n v="1289"/>
    <n v="27"/>
    <s v="Open ended"/>
    <s v="NIFTY 50 Equity Savings Index - TRI"/>
    <n v="5000"/>
    <n v="1000"/>
  </r>
  <r>
    <x v="1289"/>
    <x v="42"/>
    <n v="2.3199999999999998"/>
    <n v="9.36"/>
    <n v="6.7"/>
    <n v="2.0699999999999998"/>
    <n v="57.271750805585384"/>
    <n v="35.741249142072753"/>
    <n v="40.715804394046771"/>
    <n v="42.534627100762286"/>
    <n v="25.287356321839095"/>
    <n v="11.272444746809219"/>
    <n v="80.475552973013549"/>
    <n v="47.708040874094308"/>
    <n v="6.7733333333333334"/>
    <n v="-7.333333333333325E-2"/>
    <n v="1290"/>
    <n v="3"/>
    <s v="Open ended"/>
    <s v="NIFTY MNC - TRI"/>
    <n v="5000"/>
    <n v="1000"/>
  </r>
  <r>
    <x v="1290"/>
    <x v="27"/>
    <n v="3.89"/>
    <n v="8.8699999999999992"/>
    <n v="7.54"/>
    <n v="2.09"/>
    <n v="60.644468313641241"/>
    <n v="34.90048043925875"/>
    <n v="43.692416725726432"/>
    <n v="44.445246157369091"/>
    <n v="24.521072796934874"/>
    <n v="13.085762672850374"/>
    <n v="77.334794194834842"/>
    <n v="47.686589826626971"/>
    <n v="10.044583333333334"/>
    <n v="-2.5045833333333336"/>
    <n v="1291"/>
    <n v="39"/>
    <s v="Open ended"/>
    <s v="S&amp;P BSE 100 - TRI"/>
    <n v="1000"/>
    <n v="1000"/>
  </r>
  <r>
    <x v="1291"/>
    <x v="42"/>
    <n v="2.3199999999999998"/>
    <n v="9.36"/>
    <n v="6.62"/>
    <n v="2.0699999999999998"/>
    <n v="57.271750805585384"/>
    <n v="35.741249142072753"/>
    <n v="40.432317505315375"/>
    <n v="42.392883656396592"/>
    <n v="25.287356321839095"/>
    <n v="11.322066493838323"/>
    <n v="80.389605585998808"/>
    <n v="47.615682305157776"/>
    <n v="6.7733333333333334"/>
    <n v="-0.15333333333333332"/>
    <n v="1292"/>
    <n v="4"/>
    <s v="Open ended"/>
    <s v="NIFTY MNC - TRI"/>
    <n v="5000"/>
    <n v="1000"/>
  </r>
  <r>
    <x v="1292"/>
    <x v="51"/>
    <n v="5.27"/>
    <n v="9.06"/>
    <n v="7.84"/>
    <n v="2.1"/>
    <n v="63.609022556390968"/>
    <n v="35.226492793411126"/>
    <n v="44.755492558469165"/>
    <n v="45.667498628536109"/>
    <n v="24.137931034482762"/>
    <n v="14.444291984791374"/>
    <n v="74.981752402981442"/>
    <n v="47.613670173634105"/>
    <n v="8.7813636363636363"/>
    <n v="-0.9413636363636364"/>
    <n v="1293"/>
    <n v="10"/>
    <s v="Open ended"/>
    <s v="Nifty Financial Services - TRI"/>
    <n v="1000"/>
    <n v="1000"/>
  </r>
  <r>
    <x v="1293"/>
    <x v="12"/>
    <n v="0.93"/>
    <n v="12.41"/>
    <n v="8.14"/>
    <n v="2.4700000000000002"/>
    <n v="54.285714285714285"/>
    <n v="40.974605353466032"/>
    <n v="45.818568391211905"/>
    <n v="46.058808658788621"/>
    <n v="9.9616858237547845"/>
    <n v="6.7372368039626842"/>
    <n v="88.330763552913666"/>
    <n v="47.602516673561425"/>
    <n v="9.219019607843137"/>
    <n v="-1.0790196078431364"/>
    <n v="1294"/>
    <n v="40"/>
    <s v="Open ended"/>
    <s v="CRISIL Hybrid 35+65 - Aggressive Index"/>
    <n v="1000"/>
    <n v="1000"/>
  </r>
  <r>
    <x v="1294"/>
    <x v="49"/>
    <n v="6.08"/>
    <n v="3.49"/>
    <n v="5.3"/>
    <n v="1.46"/>
    <n v="65.349087003222337"/>
    <n v="25.66918325326013"/>
    <n v="35.754783841247338"/>
    <n v="38.647964297246176"/>
    <n v="48.659003831417614"/>
    <n v="20.623760085839326"/>
    <n v="64.278599688215223"/>
    <n v="47.558383028531296"/>
    <n v="4.3271875"/>
    <n v="0.97281249999999986"/>
    <n v="1295"/>
    <n v="13"/>
    <s v="Open ended"/>
    <s v="CRISIL Medium to Long Term Debt Index"/>
    <n v="5000"/>
    <n v="1000"/>
  </r>
  <r>
    <x v="1295"/>
    <x v="49"/>
    <n v="6.08"/>
    <n v="3.49"/>
    <n v="5.3"/>
    <n v="1.46"/>
    <n v="65.349087003222337"/>
    <n v="25.66918325326013"/>
    <n v="35.754783841247338"/>
    <n v="38.647964297246176"/>
    <n v="48.659003831417614"/>
    <n v="20.623760085839326"/>
    <n v="64.278599688215223"/>
    <n v="47.558383028531296"/>
    <n v="4.3271875"/>
    <n v="0.97281249999999986"/>
    <n v="1295"/>
    <n v="13"/>
    <s v="Open ended"/>
    <s v="CRISIL Medium to Long Term Debt Index"/>
    <n v="5000"/>
    <n v="1000"/>
  </r>
  <r>
    <x v="1296"/>
    <x v="27"/>
    <n v="-1.28"/>
    <n v="9.85"/>
    <n v="10.210000000000001"/>
    <n v="2.46"/>
    <n v="49.538131041890438"/>
    <n v="36.582017844886764"/>
    <n v="53.153791637136784"/>
    <n v="47.459127380412511"/>
    <n v="10.344827586206895"/>
    <n v="8.7135675561648736"/>
    <n v="84.907658277538658"/>
    <n v="47.542685156142639"/>
    <n v="10.044583333333334"/>
    <n v="0.16541666666666721"/>
    <n v="1297"/>
    <n v="40"/>
    <s v="Open ended"/>
    <s v="NIFTY 100 - TRI"/>
    <n v="5000"/>
    <n v="1000"/>
  </r>
  <r>
    <x v="1297"/>
    <x v="10"/>
    <n v="4.33"/>
    <n v="8.6999999999999993"/>
    <n v="6.25"/>
    <n v="1.93"/>
    <n v="61.58968850698173"/>
    <n v="34.608785175017168"/>
    <n v="39.121190644932668"/>
    <n v="42.26116857636783"/>
    <n v="30.651340996168575"/>
    <n v="14.452014530338225"/>
    <n v="74.968376561730523"/>
    <n v="47.535513677658685"/>
    <n v="10.563571428571427"/>
    <n v="-4.3135714285714268"/>
    <n v="1298"/>
    <n v="13"/>
    <s v="Open ended"/>
    <s v=""/>
    <n v="5000"/>
    <n v="1000"/>
  </r>
  <r>
    <x v="1298"/>
    <x v="50"/>
    <n v="4.05"/>
    <n v="3.49"/>
    <n v="3.07"/>
    <n v="1.25"/>
    <n v="60.98818474758324"/>
    <n v="25.66918325326013"/>
    <n v="27.85258681785967"/>
    <n v="33.824685334424522"/>
    <n v="56.704980842911866"/>
    <n v="19.791273194020832"/>
    <n v="65.720509281479934"/>
    <n v="47.518715198310211"/>
    <n v="4.3111111111111109"/>
    <n v="-1.2411111111111111"/>
    <n v="1299"/>
    <n v="26"/>
    <s v="Open ended"/>
    <s v="Nifty All Duration G-Sec Index"/>
    <n v="1000"/>
    <n v="1000"/>
  </r>
  <r>
    <x v="1299"/>
    <x v="50"/>
    <n v="4.05"/>
    <n v="3.49"/>
    <n v="3.07"/>
    <n v="1.25"/>
    <n v="60.98818474758324"/>
    <n v="25.66918325326013"/>
    <n v="27.85258681785967"/>
    <n v="33.824685334424522"/>
    <n v="56.704980842911866"/>
    <n v="19.791273194020832"/>
    <n v="65.720509281479934"/>
    <n v="47.518715198310211"/>
    <n v="4.3111111111111109"/>
    <n v="-1.2411111111111111"/>
    <n v="1299"/>
    <n v="26"/>
    <s v="Open ended"/>
    <s v="Nifty All Duration G-Sec Index"/>
    <n v="1000"/>
    <n v="1000"/>
  </r>
  <r>
    <x v="1300"/>
    <x v="35"/>
    <n v="-4.28"/>
    <n v="9.3699999999999992"/>
    <n v="9.09"/>
    <n v="2.37"/>
    <n v="43.09344790547798"/>
    <n v="35.758407687028146"/>
    <n v="49.184975194897234"/>
    <n v="43.938699484652659"/>
    <n v="13.793103448275845"/>
    <n v="6.7228743204002406"/>
    <n v="88.355640104166696"/>
    <n v="47.506535630436964"/>
    <n v="8.6269999999999989"/>
    <n v="0.46300000000000097"/>
    <n v="1301"/>
    <n v="5"/>
    <s v="Open ended"/>
    <s v="NIFTY 50 Hybrid Composite Debt 65:35 Index"/>
    <n v="5000"/>
    <n v="1000"/>
  </r>
  <r>
    <x v="1301"/>
    <x v="35"/>
    <n v="-4.28"/>
    <n v="9.3699999999999992"/>
    <n v="9.09"/>
    <n v="2.37"/>
    <n v="43.09344790547798"/>
    <n v="35.758407687028146"/>
    <n v="49.184975194897234"/>
    <n v="43.938699484652659"/>
    <n v="13.793103448275845"/>
    <n v="6.7228743204002406"/>
    <n v="88.355640104166696"/>
    <n v="47.506535630436964"/>
    <n v="8.6269999999999989"/>
    <n v="0.46300000000000097"/>
    <n v="1301"/>
    <n v="5"/>
    <s v="Open ended"/>
    <s v="NIFTY 50 Hybrid Composite Debt 65:35 Index"/>
    <n v="5000"/>
    <n v="1000"/>
  </r>
  <r>
    <x v="1302"/>
    <x v="3"/>
    <n v="4.71"/>
    <n v="4.21"/>
    <n v="4.07"/>
    <n v="1.4"/>
    <n v="62.406015037593974"/>
    <n v="26.904598490048048"/>
    <n v="31.396172927002127"/>
    <n v="36.250669018034273"/>
    <n v="50.957854406130274"/>
    <n v="19.331042071966799"/>
    <n v="66.51765296810197"/>
    <n v="47.494211352575199"/>
    <n v="7.5967647058823538"/>
    <n v="-3.5267647058823535"/>
    <n v="1303"/>
    <n v="33"/>
    <s v="Open ended"/>
    <s v=""/>
    <n v="5000"/>
    <n v="1000"/>
  </r>
  <r>
    <x v="1303"/>
    <x v="3"/>
    <n v="4.71"/>
    <n v="4.21"/>
    <n v="4.07"/>
    <n v="1.4"/>
    <n v="62.406015037593974"/>
    <n v="26.904598490048048"/>
    <n v="31.396172927002127"/>
    <n v="36.250669018034273"/>
    <n v="50.957854406130274"/>
    <n v="19.331042071966799"/>
    <n v="66.51765296810197"/>
    <n v="47.494211352575199"/>
    <n v="7.5967647058823538"/>
    <n v="-3.5267647058823535"/>
    <n v="1303"/>
    <n v="33"/>
    <s v="Open ended"/>
    <s v=""/>
    <n v="5000"/>
    <n v="1000"/>
  </r>
  <r>
    <x v="1304"/>
    <x v="27"/>
    <n v="-1.28"/>
    <n v="9.85"/>
    <n v="9.9"/>
    <n v="2.46"/>
    <n v="49.538131041890438"/>
    <n v="36.582017844886764"/>
    <n v="52.055279943302615"/>
    <n v="46.909871533495419"/>
    <n v="10.344827586206895"/>
    <n v="8.3027982003230481"/>
    <n v="85.619131672049036"/>
    <n v="47.445925581311691"/>
    <n v="10.044583333333334"/>
    <n v="-0.14458333333333329"/>
    <n v="1305"/>
    <n v="41"/>
    <s v="Open ended"/>
    <s v="NIFTY 100 - TRI"/>
    <n v="5000"/>
    <n v="1000"/>
  </r>
  <r>
    <x v="1305"/>
    <x v="23"/>
    <n v="-0.65"/>
    <n v="6.16"/>
    <n v="4.75"/>
    <n v="1.78"/>
    <n v="50.891514500537049"/>
    <n v="30.250514756348668"/>
    <n v="33.805811481218996"/>
    <n v="36.156363067621513"/>
    <n v="36.398467432950184"/>
    <n v="11.03488599024168"/>
    <n v="80.887016809171399"/>
    <n v="47.399552594341152"/>
    <n v="10.023387096774194"/>
    <n v="-5.2733870967741936"/>
    <n v="1306"/>
    <n v="54"/>
    <s v="Open ended"/>
    <s v="NIFTY 500 - TRI"/>
    <n v="1000"/>
    <n v="1000"/>
  </r>
  <r>
    <x v="1306"/>
    <x v="22"/>
    <n v="-12.45"/>
    <n v="5.42"/>
    <n v="8.3000000000000007"/>
    <n v="1.82"/>
    <n v="25.542427497314712"/>
    <n v="28.98078242964997"/>
    <n v="46.385542168674696"/>
    <n v="36.995491312695279"/>
    <n v="34.865900383141771"/>
    <n v="11.174251469467295"/>
    <n v="80.645628718331466"/>
    <n v="47.375627931715947"/>
    <n v="9.83"/>
    <n v="-1.5299999999999994"/>
    <n v="1307"/>
    <n v="24"/>
    <s v="Open ended"/>
    <s v="NIFTY 500 - TRI"/>
    <n v="1000"/>
    <n v="1000"/>
  </r>
  <r>
    <x v="1307"/>
    <x v="19"/>
    <n v="6.1"/>
    <n v="15.39"/>
    <n v="9.0500000000000007"/>
    <n v="2.61"/>
    <n v="65.392051557465081"/>
    <n v="46.087851750171595"/>
    <n v="49.043231750531532"/>
    <n v="51.426381711810258"/>
    <n v="4.5977011494252817"/>
    <n v="10.397678508734694"/>
    <n v="81.990692542104512"/>
    <n v="47.360289278787576"/>
    <n v="9.4014285714285712"/>
    <n v="-0.35142857142857054"/>
    <n v="1308"/>
    <n v="26"/>
    <s v="Open ended"/>
    <s v="Nifty Infrastructure - TRI"/>
    <n v="5000"/>
    <n v="1000"/>
  </r>
  <r>
    <x v="1308"/>
    <x v="19"/>
    <n v="6.1"/>
    <n v="15.39"/>
    <n v="9.0500000000000007"/>
    <n v="2.61"/>
    <n v="65.392051557465081"/>
    <n v="46.087851750171595"/>
    <n v="49.043231750531532"/>
    <n v="51.426381711810258"/>
    <n v="4.5977011494252817"/>
    <n v="10.397678508734694"/>
    <n v="81.990692542104512"/>
    <n v="47.360289278787576"/>
    <n v="9.4014285714285712"/>
    <n v="-0.35142857142857054"/>
    <n v="1308"/>
    <n v="26"/>
    <s v="Open ended"/>
    <s v="Nifty Infrastructure - TRI"/>
    <n v="5000"/>
    <n v="1000"/>
  </r>
  <r>
    <x v="1309"/>
    <x v="23"/>
    <n v="7.5"/>
    <n v="12.47"/>
    <n v="9.4"/>
    <n v="2.44"/>
    <n v="68.399570354457566"/>
    <n v="41.077556623198355"/>
    <n v="50.283486888731389"/>
    <n v="51.14492450221671"/>
    <n v="11.111111111111116"/>
    <n v="13.901043525110692"/>
    <n v="75.922686336281913"/>
    <n v="47.330911612956612"/>
    <n v="10.023387096774194"/>
    <n v="-0.62338709677419324"/>
    <n v="1310"/>
    <n v="55"/>
    <s v="Open ended"/>
    <s v="S&amp;P BSE 500 - TRI"/>
    <n v="1000"/>
    <n v="1000"/>
  </r>
  <r>
    <x v="1310"/>
    <x v="23"/>
    <n v="7.51"/>
    <n v="12.47"/>
    <n v="9.4"/>
    <n v="2.44"/>
    <n v="68.421052631578931"/>
    <n v="41.077556623198355"/>
    <n v="50.283486888731389"/>
    <n v="51.149220957640992"/>
    <n v="11.111111111111116"/>
    <n v="13.912747255007417"/>
    <n v="75.902414881462718"/>
    <n v="47.327991976963958"/>
    <n v="10.023387096774194"/>
    <n v="-0.62338709677419324"/>
    <n v="1311"/>
    <n v="56"/>
    <s v="Open ended"/>
    <s v="S&amp;P BSE 500 - TRI"/>
    <n v="1000"/>
    <n v="1000"/>
  </r>
  <r>
    <x v="1311"/>
    <x v="22"/>
    <n v="3.53"/>
    <n v="12.09"/>
    <n v="8.48"/>
    <n v="2.44"/>
    <n v="59.871106337271755"/>
    <n v="40.425531914893618"/>
    <n v="47.023387668320339"/>
    <n v="47.613574676082607"/>
    <n v="11.111111111111116"/>
    <n v="9.8887641640718993"/>
    <n v="82.87215804376109"/>
    <n v="47.302604626759354"/>
    <n v="9.83"/>
    <n v="-1.3499999999999996"/>
    <n v="1312"/>
    <n v="25"/>
    <s v="Open ended"/>
    <s v="NIFTY 500 - TRI"/>
    <n v="5000"/>
    <n v="1000"/>
  </r>
  <r>
    <x v="1312"/>
    <x v="22"/>
    <n v="3.53"/>
    <n v="12.09"/>
    <n v="8.48"/>
    <n v="2.44"/>
    <n v="59.871106337271755"/>
    <n v="40.425531914893618"/>
    <n v="47.023387668320339"/>
    <n v="47.613574676082607"/>
    <n v="11.111111111111116"/>
    <n v="9.8887641640718993"/>
    <n v="82.87215804376109"/>
    <n v="47.302604626759354"/>
    <n v="9.83"/>
    <n v="-1.3499999999999996"/>
    <n v="1312"/>
    <n v="25"/>
    <s v="Open ended"/>
    <s v="NIFTY 500 - TRI"/>
    <n v="5000"/>
    <n v="1000"/>
  </r>
  <r>
    <x v="1313"/>
    <x v="37"/>
    <n v="2.63"/>
    <n v="10"/>
    <n v="5.5"/>
    <n v="1.98"/>
    <n v="57.937701396348004"/>
    <n v="36.839396019217574"/>
    <n v="36.463501063075832"/>
    <n v="40.871109616572795"/>
    <n v="28.735632183908045"/>
    <n v="12.291060889648014"/>
    <n v="78.711258060206916"/>
    <n v="47.29727736931514"/>
    <n v="7.1099999999999994"/>
    <n v="-1.6099999999999994"/>
    <n v="1314"/>
    <n v="5"/>
    <s v="Open ended"/>
    <s v="S&amp;P BSE 500 - TRI"/>
    <n v="1000"/>
    <n v="1000"/>
  </r>
  <r>
    <x v="1314"/>
    <x v="18"/>
    <n v="-1.21"/>
    <n v="9.49"/>
    <n v="7.59"/>
    <n v="2.3199999999999998"/>
    <n v="49.688506981740062"/>
    <n v="35.964310226492799"/>
    <n v="43.869596031183555"/>
    <n v="42.66179247988763"/>
    <n v="15.708812260536398"/>
    <n v="6.8884788461252597"/>
    <n v="88.068804651647611"/>
    <n v="47.275300467989815"/>
    <n v="6.9120588235294118"/>
    <n v="0.67794117647058805"/>
    <n v="1315"/>
    <n v="18"/>
    <s v="Open ended"/>
    <s v="MSCI AC World Index"/>
    <n v="1000"/>
    <m/>
  </r>
  <r>
    <x v="1315"/>
    <x v="18"/>
    <n v="-1.21"/>
    <n v="9.4700000000000006"/>
    <n v="7.58"/>
    <n v="2.3199999999999998"/>
    <n v="49.688506981740062"/>
    <n v="35.92999313658202"/>
    <n v="43.834160170092126"/>
    <n v="42.633779422368676"/>
    <n v="15.708812260536398"/>
    <n v="6.9046594933190564"/>
    <n v="88.040778948608619"/>
    <n v="47.254287513470594"/>
    <n v="6.9120588235294118"/>
    <n v="0.66794117647058826"/>
    <n v="1316"/>
    <n v="19"/>
    <s v="Open ended"/>
    <s v="MSCI AC World Index"/>
    <n v="1000"/>
    <m/>
  </r>
  <r>
    <x v="1316"/>
    <x v="22"/>
    <n v="-12.42"/>
    <n v="5.04"/>
    <n v="7.82"/>
    <n v="1.82"/>
    <n v="25.606874328678835"/>
    <n v="28.328757721345234"/>
    <n v="44.684620836286321"/>
    <n v="35.962312600282495"/>
    <n v="34.865900383141771"/>
    <n v="10.318941477096807"/>
    <n v="82.12706908133849"/>
    <n v="47.229398666261318"/>
    <n v="9.83"/>
    <n v="-2.0099999999999998"/>
    <n v="1317"/>
    <n v="27"/>
    <s v="Open ended"/>
    <s v="NIFTY 500 - TRI"/>
    <n v="1000"/>
    <n v="1000"/>
  </r>
  <r>
    <x v="1317"/>
    <x v="21"/>
    <n v="3.56"/>
    <n v="14.37"/>
    <n v="8.4"/>
    <n v="2.57"/>
    <n v="59.93555316863587"/>
    <n v="44.337680164722038"/>
    <n v="46.739900779588943"/>
    <n v="48.658365072938253"/>
    <n v="6.1302681992337238"/>
    <n v="8.3983088387015492"/>
    <n v="85.453702393714138"/>
    <n v="47.225175184706089"/>
    <n v="10.412619047619048"/>
    <n v="-2.0126190476190473"/>
    <n v="1318"/>
    <n v="40"/>
    <s v="Open ended"/>
    <s v="S&amp;P BSE 250 LargeMidCap Index - TRI"/>
    <n v="5000"/>
    <n v="1000"/>
  </r>
  <r>
    <x v="1318"/>
    <x v="50"/>
    <n v="3.83"/>
    <n v="1.34"/>
    <n v="3.59"/>
    <n v="1.24"/>
    <n v="60.515574650912995"/>
    <n v="21.980096087851752"/>
    <n v="29.695251594613747"/>
    <n v="33.544769553845001"/>
    <n v="57.088122605363978"/>
    <n v="20.389535902321413"/>
    <n v="64.684287874429572"/>
    <n v="47.215487396870884"/>
    <n v="4.3111111111111109"/>
    <n v="-0.72111111111111104"/>
    <n v="1319"/>
    <n v="28"/>
    <s v="Open ended"/>
    <s v="CRISIL Dynamic Gilt Index"/>
    <n v="1000"/>
    <n v="1000"/>
  </r>
  <r>
    <x v="1319"/>
    <x v="21"/>
    <n v="3.54"/>
    <n v="14.35"/>
    <n v="8.3699999999999992"/>
    <n v="2.57"/>
    <n v="59.892588614393127"/>
    <n v="44.303363074811266"/>
    <n v="46.633593196314663"/>
    <n v="48.586323243479342"/>
    <n v="6.1302681992337238"/>
    <n v="8.4088731393266833"/>
    <n v="85.435404488284973"/>
    <n v="47.184579793619349"/>
    <n v="10.412619047619048"/>
    <n v="-2.0426190476190484"/>
    <n v="1320"/>
    <n v="41"/>
    <s v="Open ended"/>
    <s v="S&amp;P BSE 250 LargeMidCap Index - TRI"/>
    <n v="5000"/>
    <n v="1000"/>
  </r>
  <r>
    <x v="1320"/>
    <x v="10"/>
    <n v="4.33"/>
    <n v="8.66"/>
    <n v="5.96"/>
    <n v="1.93"/>
    <n v="61.58968850698173"/>
    <n v="34.54015099519561"/>
    <n v="38.093550673281356"/>
    <n v="41.726758336595708"/>
    <n v="30.651340996168575"/>
    <n v="14.699051114351965"/>
    <n v="74.540496646890475"/>
    <n v="47.161338579062615"/>
    <n v="10.563571428571427"/>
    <n v="-4.6035714285714269"/>
    <n v="1321"/>
    <n v="14"/>
    <s v="Open ended"/>
    <s v=""/>
    <n v="5000"/>
    <n v="1000"/>
  </r>
  <r>
    <x v="1321"/>
    <x v="50"/>
    <n v="4.05"/>
    <n v="3.49"/>
    <n v="2.77"/>
    <n v="1.25"/>
    <n v="60.98818474758324"/>
    <n v="25.66918325326013"/>
    <n v="26.789510985116937"/>
    <n v="33.293147418053159"/>
    <n v="56.704980842911866"/>
    <n v="20.075840737456744"/>
    <n v="65.227623838063877"/>
    <n v="47.129724879270512"/>
    <n v="4.3111111111111109"/>
    <n v="-1.5411111111111109"/>
    <n v="1322"/>
    <n v="29"/>
    <s v="Open ended"/>
    <s v="Nifty All Duration G-Sec Index"/>
    <n v="1000"/>
    <n v="1000"/>
  </r>
  <r>
    <x v="1322"/>
    <x v="18"/>
    <n v="-6.98"/>
    <n v="5.88"/>
    <n v="5.86"/>
    <n v="2.06"/>
    <n v="37.293233082706763"/>
    <n v="29.770075497597809"/>
    <n v="37.73919206236711"/>
    <n v="35.259265297004248"/>
    <n v="25.670498084291182"/>
    <n v="4.4777896013696044"/>
    <n v="92.244240904824252"/>
    <n v="47.108317395780986"/>
    <n v="6.9120588235294118"/>
    <n v="-1.0520588235294115"/>
    <n v="1323"/>
    <n v="20"/>
    <s v="Open ended"/>
    <s v="MSCI Asia (ex-Japan) Standard Index"/>
    <n v="5000"/>
    <n v="1000"/>
  </r>
  <r>
    <x v="1323"/>
    <x v="18"/>
    <n v="-6.98"/>
    <n v="5.88"/>
    <n v="5.86"/>
    <n v="2.06"/>
    <n v="37.293233082706763"/>
    <n v="29.770075497597809"/>
    <n v="37.73919206236711"/>
    <n v="35.259265297004248"/>
    <n v="25.670498084291182"/>
    <n v="4.4777896013696044"/>
    <n v="92.244240904824252"/>
    <n v="47.108317395780986"/>
    <n v="6.9120588235294118"/>
    <n v="-1.0520588235294115"/>
    <n v="1323"/>
    <n v="20"/>
    <s v="Open ended"/>
    <s v="MSCI Asia (ex-Japan) Standard Index"/>
    <n v="5000"/>
    <n v="1000"/>
  </r>
  <r>
    <x v="1324"/>
    <x v="48"/>
    <n v="5.41"/>
    <n v="2.78"/>
    <n v="4.8899999999999997"/>
    <n v="1.45"/>
    <n v="63.909774436090231"/>
    <n v="24.450926561427593"/>
    <n v="34.301913536498937"/>
    <n v="37.268189623895793"/>
    <n v="49.042145593869726"/>
    <n v="20.537234668719563"/>
    <n v="64.428466106812735"/>
    <n v="47.001747737118507"/>
    <n v="3.5597297297297299"/>
    <n v="1.3302702702702698"/>
    <n v="1325"/>
    <n v="17"/>
    <s v="Open ended"/>
    <s v="NIFTY Medium Duration Debt Index"/>
    <n v="5000"/>
    <n v="1000"/>
  </r>
  <r>
    <x v="1325"/>
    <x v="35"/>
    <n v="-2.61"/>
    <n v="13.28"/>
    <n v="9.27"/>
    <n v="2.72"/>
    <n v="46.680988184747576"/>
    <n v="42.467398764584765"/>
    <n v="49.822820694542877"/>
    <n v="46.98782761359638"/>
    <n v="0.38314176245208831"/>
    <n v="3.6907018097064621"/>
    <n v="93.607516950002008"/>
    <n v="46.991578484911713"/>
    <n v="8.6269999999999989"/>
    <n v="0.64300000000000068"/>
    <n v="1326"/>
    <n v="7"/>
    <s v="Open ended"/>
    <s v="NIFTY 500 - TRI"/>
    <n v="1000"/>
    <n v="1000"/>
  </r>
  <r>
    <x v="1326"/>
    <x v="35"/>
    <n v="-2.61"/>
    <n v="13.28"/>
    <n v="9.27"/>
    <n v="2.72"/>
    <n v="46.680988184747576"/>
    <n v="42.467398764584765"/>
    <n v="49.822820694542877"/>
    <n v="46.98782761359638"/>
    <n v="0.38314176245208831"/>
    <n v="3.6907018097064621"/>
    <n v="93.607516950002008"/>
    <n v="46.991578484911713"/>
    <n v="8.6269999999999989"/>
    <n v="0.64300000000000068"/>
    <n v="1326"/>
    <n v="7"/>
    <s v="Open ended"/>
    <s v="NIFTY 500 - TRI"/>
    <n v="1000"/>
    <n v="1000"/>
  </r>
  <r>
    <x v="1327"/>
    <x v="27"/>
    <n v="3.53"/>
    <n v="11.42"/>
    <n v="9.15"/>
    <n v="2.5"/>
    <n v="59.871106337271755"/>
    <n v="39.275909402882633"/>
    <n v="49.397590361445779"/>
    <n v="48.455789269042029"/>
    <n v="8.812260536398453"/>
    <n v="10.298099331827313"/>
    <n v="82.163168735883986"/>
    <n v="46.971751952591625"/>
    <n v="10.044583333333334"/>
    <n v="-0.89458333333333329"/>
    <n v="1328"/>
    <n v="42"/>
    <s v="Open ended"/>
    <s v="NIFTY 100 - TRI"/>
    <n v="5000"/>
    <n v="1000"/>
  </r>
  <r>
    <x v="1328"/>
    <x v="34"/>
    <n v="1.77"/>
    <n v="7.21"/>
    <n v="6.78"/>
    <n v="2.0499999999999998"/>
    <n v="56.090225563909769"/>
    <n v="32.052161976664387"/>
    <n v="40.999291282778174"/>
    <n v="41.333339347170359"/>
    <n v="26.053639846743295"/>
    <n v="12.149183246362732"/>
    <n v="78.956997346835152"/>
    <n v="46.919328971979795"/>
    <n v="7.9378947368421047"/>
    <n v="-1.1578947368421044"/>
    <n v="1329"/>
    <n v="14"/>
    <s v="Open ended"/>
    <s v="NIFTY 50 Hybrid Composite Debt 50:50 Index"/>
    <n v="1000"/>
    <n v="1000"/>
  </r>
  <r>
    <x v="1329"/>
    <x v="48"/>
    <n v="5.41"/>
    <n v="2.78"/>
    <n v="4.78"/>
    <n v="1.45"/>
    <n v="63.909774436090231"/>
    <n v="24.450926561427593"/>
    <n v="33.912119064493261"/>
    <n v="37.073292387892955"/>
    <n v="49.042145593869726"/>
    <n v="20.600866353015896"/>
    <n v="64.318252796640309"/>
    <n v="46.876745791573988"/>
    <n v="3.5597297297297299"/>
    <n v="1.2202702702702704"/>
    <n v="1330"/>
    <n v="18"/>
    <s v="Open ended"/>
    <s v="NIFTY Medium Duration Debt Index"/>
    <n v="5000"/>
    <n v="1000"/>
  </r>
  <r>
    <x v="1330"/>
    <x v="21"/>
    <n v="3.58"/>
    <n v="14.36"/>
    <n v="8.11"/>
    <n v="2.57"/>
    <n v="59.978517722878621"/>
    <n v="44.320521619766652"/>
    <n v="45.712260807937625"/>
    <n v="48.147990434474536"/>
    <n v="6.1302681992337238"/>
    <n v="8.6663705041966885"/>
    <n v="84.989405969515033"/>
    <n v="46.853913759424458"/>
    <n v="10.412619047619048"/>
    <n v="-2.3026190476190482"/>
    <n v="1331"/>
    <n v="42"/>
    <s v="Open ended"/>
    <s v="S&amp;P BSE 250 LargeMidCap Index - TRI"/>
    <n v="5000"/>
    <n v="1000"/>
  </r>
  <r>
    <x v="1331"/>
    <x v="34"/>
    <n v="1.78"/>
    <n v="7.21"/>
    <n v="6.7"/>
    <n v="2.0499999999999998"/>
    <n v="56.111707841031148"/>
    <n v="32.052161976664387"/>
    <n v="40.715804394046771"/>
    <n v="41.195892358228932"/>
    <n v="26.053639846743295"/>
    <n v="12.185745019521105"/>
    <n v="78.893670498110041"/>
    <n v="46.834773765327796"/>
    <n v="7.9378947368421047"/>
    <n v="-1.2378947368421045"/>
    <n v="1332"/>
    <n v="15"/>
    <s v="Open ended"/>
    <s v="NIFTY 50 Hybrid Composite Debt 50:50 Index"/>
    <n v="1000"/>
    <n v="1000"/>
  </r>
  <r>
    <x v="1332"/>
    <x v="4"/>
    <n v="-2.31"/>
    <n v="16.86"/>
    <n v="3.94"/>
    <n v="2.0699999999999998"/>
    <n v="47.325456498388824"/>
    <n v="48.610157858613597"/>
    <n v="30.935506732813607"/>
    <n v="39.515892023668648"/>
    <n v="25.287356321839095"/>
    <n v="9.8545607319807793"/>
    <n v="82.931400125936136"/>
    <n v="46.812635123778136"/>
    <n v="12.127586206896551"/>
    <n v="-8.187586206896551"/>
    <n v="1333"/>
    <n v="28"/>
    <s v="Open ended"/>
    <s v="S&amp;P BSE 250 Small Cap - TRI"/>
    <n v="1000"/>
    <n v="1000"/>
  </r>
  <r>
    <x v="1333"/>
    <x v="22"/>
    <n v="-4.1900000000000004"/>
    <n v="8.67"/>
    <n v="5.75"/>
    <n v="2.2200000000000002"/>
    <n v="43.286788399570355"/>
    <n v="34.557309540150996"/>
    <n v="37.349397590361441"/>
    <n v="37.699249337140088"/>
    <n v="19.540229885057457"/>
    <n v="4.4581791211669959"/>
    <n v="92.278207252895996"/>
    <n v="46.804233953058407"/>
    <n v="9.83"/>
    <n v="-4.08"/>
    <n v="1334"/>
    <n v="28"/>
    <s v="Open ended"/>
    <s v="S&amp;P BSE 500 - TRI"/>
    <n v="1000"/>
    <n v="1000"/>
  </r>
  <r>
    <x v="1334"/>
    <x v="37"/>
    <n v="2.63"/>
    <n v="9.6"/>
    <n v="5.27"/>
    <n v="1.98"/>
    <n v="57.937701396348004"/>
    <n v="36.153054221002066"/>
    <n v="35.648476257973059"/>
    <n v="40.257694674556753"/>
    <n v="28.735632183908045"/>
    <n v="12.725532135201314"/>
    <n v="77.958731788480861"/>
    <n v="46.802438330375601"/>
    <n v="7.1099999999999994"/>
    <n v="-1.8399999999999999"/>
    <n v="1335"/>
    <n v="6"/>
    <s v="Open ended"/>
    <s v="S&amp;P BSE 500 - TRI"/>
    <n v="1000"/>
    <n v="1000"/>
  </r>
  <r>
    <x v="1335"/>
    <x v="50"/>
    <n v="6.07"/>
    <n v="2.81"/>
    <n v="5.07"/>
    <n v="1.48"/>
    <n v="65.327604726100958"/>
    <n v="24.502402196293758"/>
    <n v="34.939759036144579"/>
    <n v="37.886121122180612"/>
    <n v="47.892720306513411"/>
    <n v="21.209497656626844"/>
    <n v="63.264072455709261"/>
    <n v="46.732258751645972"/>
    <n v="4.3111111111111109"/>
    <n v="0.75888888888888939"/>
    <n v="1336"/>
    <n v="30"/>
    <s v="Open ended"/>
    <s v="Nifty All Duration G-Sec Index"/>
    <n v="5000"/>
    <n v="1000"/>
  </r>
  <r>
    <x v="1336"/>
    <x v="51"/>
    <n v="9.85"/>
    <n v="10.57"/>
    <n v="10.72"/>
    <n v="2.46"/>
    <n v="73.447905477980655"/>
    <n v="37.817433081674679"/>
    <n v="54.961020552799432"/>
    <n v="53.515321296498257"/>
    <n v="10.344827586206895"/>
    <n v="17.819455981225129"/>
    <n v="69.135796877280953"/>
    <n v="46.627816764121093"/>
    <n v="8.7813636363636363"/>
    <n v="1.9386363636363644"/>
    <n v="1337"/>
    <n v="11"/>
    <s v="Open ended"/>
    <s v="Nifty Financial Services - TRI"/>
    <n v="1000"/>
    <n v="1000"/>
  </r>
  <r>
    <x v="1337"/>
    <x v="53"/>
    <n v="5.47"/>
    <n v="4.24"/>
    <n v="5.72"/>
    <n v="1.67"/>
    <n v="64.038668098818476"/>
    <n v="26.95607412491421"/>
    <n v="37.243090007087162"/>
    <n v="39.516100860781535"/>
    <n v="40.613026819923384"/>
    <n v="19.143948029179661"/>
    <n v="66.841709356002752"/>
    <n v="46.621734474372303"/>
    <n v="4.7778125000000005"/>
    <n v="0.94218749999999929"/>
    <n v="1338"/>
    <n v="13"/>
    <s v="Open ended"/>
    <s v="NIFTY Credit Risk Bond Index"/>
    <n v="5000"/>
    <n v="1000"/>
  </r>
  <r>
    <x v="1338"/>
    <x v="23"/>
    <n v="2.73"/>
    <n v="11.01"/>
    <n v="8.09"/>
    <n v="2.4300000000000002"/>
    <n v="58.152524167561758"/>
    <n v="38.572409059711745"/>
    <n v="45.641389085754781"/>
    <n v="46.022922094303269"/>
    <n v="11.494252873563205"/>
    <n v="9.9153070828263061"/>
    <n v="82.826184359897283"/>
    <n v="46.591570355516751"/>
    <n v="10.023387096774194"/>
    <n v="-1.9333870967741937"/>
    <n v="1339"/>
    <n v="57"/>
    <s v="Open ended"/>
    <s v="NIFTY 500 - TRI"/>
    <n v="1000"/>
    <n v="1000"/>
  </r>
  <r>
    <x v="1339"/>
    <x v="50"/>
    <n v="4.03"/>
    <n v="3.54"/>
    <n v="2.34"/>
    <n v="1.25"/>
    <n v="60.945220193340489"/>
    <n v="25.754975978037066"/>
    <n v="25.265768958185681"/>
    <n v="32.548421311172063"/>
    <n v="56.704980842911866"/>
    <n v="20.459781083395288"/>
    <n v="64.562619651822757"/>
    <n v="46.591110779269684"/>
    <n v="4.3111111111111109"/>
    <n v="-1.971111111111111"/>
    <n v="1340"/>
    <n v="31"/>
    <s v="Open ended"/>
    <s v="Nifty All Duration G-Sec Index"/>
    <n v="1000"/>
    <n v="1000"/>
  </r>
  <r>
    <x v="1340"/>
    <x v="51"/>
    <n v="9.8800000000000008"/>
    <n v="9.19"/>
    <n v="11.36"/>
    <n v="2.4300000000000002"/>
    <n v="73.512352309344791"/>
    <n v="35.449553877831164"/>
    <n v="57.228915662650607"/>
    <n v="53.95179445654361"/>
    <n v="11.494252873563205"/>
    <n v="19.097414891458445"/>
    <n v="66.922307114771499"/>
    <n v="46.580037225355483"/>
    <n v="8.7813636363636363"/>
    <n v="2.5786363636363632"/>
    <n v="1341"/>
    <n v="12"/>
    <s v="Open ended"/>
    <s v="S&amp;P BSE BANKEX - TRI"/>
    <n v="5000"/>
    <n v="1000"/>
  </r>
  <r>
    <x v="1341"/>
    <x v="53"/>
    <n v="5.47"/>
    <n v="4.24"/>
    <n v="5.67"/>
    <n v="1.67"/>
    <n v="64.038668098818476"/>
    <n v="26.95607412491421"/>
    <n v="37.065910701630045"/>
    <n v="39.427511208052977"/>
    <n v="40.613026819923384"/>
    <n v="19.169668807123951"/>
    <n v="66.797159661793046"/>
    <n v="46.566302224455598"/>
    <n v="4.7778125000000005"/>
    <n v="0.89218749999999947"/>
    <n v="1342"/>
    <n v="14"/>
    <s v="Open ended"/>
    <s v="NIFTY Credit Risk Bond Index"/>
    <n v="5000"/>
    <n v="1000"/>
  </r>
  <r>
    <x v="1342"/>
    <x v="4"/>
    <n v="-2.31"/>
    <n v="16.86"/>
    <n v="3.8"/>
    <n v="2.0699999999999998"/>
    <n v="47.325456498388824"/>
    <n v="48.610157858613597"/>
    <n v="30.439404677533659"/>
    <n v="39.267840996028674"/>
    <n v="25.287356321839095"/>
    <n v="10.140393441161411"/>
    <n v="82.43632335117023"/>
    <n v="46.564840416266669"/>
    <n v="12.127586206896551"/>
    <n v="-8.3275862068965516"/>
    <n v="1343"/>
    <n v="29"/>
    <s v="Open ended"/>
    <s v="S&amp;P BSE 250 Small Cap - TRI"/>
    <n v="1000"/>
    <n v="1000"/>
  </r>
  <r>
    <x v="1343"/>
    <x v="53"/>
    <n v="5.47"/>
    <n v="4.24"/>
    <n v="5.65"/>
    <n v="1.67"/>
    <n v="64.038668098818476"/>
    <n v="26.95607412491421"/>
    <n v="36.995038979447202"/>
    <n v="39.392075346961562"/>
    <n v="40.613026819923384"/>
    <n v="19.180100221888377"/>
    <n v="66.779091921426229"/>
    <n v="46.544067358818182"/>
    <n v="4.7778125000000005"/>
    <n v="0.87218749999999989"/>
    <n v="1344"/>
    <n v="15"/>
    <s v="Open ended"/>
    <s v="NIFTY Credit Risk Bond Index"/>
    <n v="5000"/>
    <n v="1000"/>
  </r>
  <r>
    <x v="1344"/>
    <x v="35"/>
    <n v="1.62"/>
    <n v="9.77"/>
    <n v="7.89"/>
    <n v="2.37"/>
    <n v="55.767991407089148"/>
    <n v="36.444749485243655"/>
    <n v="44.932671863926288"/>
    <n v="44.553359058954072"/>
    <n v="13.793103448275845"/>
    <n v="9.6853553908220604"/>
    <n v="83.224472373735068"/>
    <n v="46.531073484979764"/>
    <n v="8.6269999999999989"/>
    <n v="-0.73699999999999921"/>
    <n v="1345"/>
    <n v="9"/>
    <s v="Open ended"/>
    <s v="NIFTY 50 Hybrid Composite Debt 65:35 Index"/>
    <n v="5000"/>
    <n v="1000"/>
  </r>
  <r>
    <x v="1345"/>
    <x v="51"/>
    <n v="9.89"/>
    <n v="9.15"/>
    <n v="11.33"/>
    <n v="2.4300000000000002"/>
    <n v="73.533834586466156"/>
    <n v="35.380919698009613"/>
    <n v="57.122608079376327"/>
    <n v="53.882346866384282"/>
    <n v="11.494252873563205"/>
    <n v="19.138418097399764"/>
    <n v="66.851287478807919"/>
    <n v="46.527558521284917"/>
    <n v="8.7813636363636363"/>
    <n v="2.5486363636363638"/>
    <n v="1346"/>
    <n v="13"/>
    <s v="Open ended"/>
    <s v="S&amp;P BSE BANKEX - TRI"/>
    <n v="5000"/>
    <n v="1000"/>
  </r>
  <r>
    <x v="1346"/>
    <x v="27"/>
    <n v="3.55"/>
    <n v="11.44"/>
    <n v="8.64"/>
    <n v="2.5"/>
    <n v="59.914070891514491"/>
    <n v="39.310226492793419"/>
    <n v="47.590361445783131"/>
    <n v="47.571062849032486"/>
    <n v="8.812260536398453"/>
    <n v="10.367841734173673"/>
    <n v="82.042371351578183"/>
    <n v="46.499189396510403"/>
    <n v="10.044583333333334"/>
    <n v="-1.4045833333333331"/>
    <n v="1347"/>
    <n v="43"/>
    <s v="Open ended"/>
    <s v="NIFTY 100 - TRI"/>
    <n v="5000"/>
    <n v="1000"/>
  </r>
  <r>
    <x v="1347"/>
    <x v="23"/>
    <n v="2.71"/>
    <n v="11.01"/>
    <n v="7.96"/>
    <n v="2.4300000000000002"/>
    <n v="58.109559613319007"/>
    <n v="38.572409059711745"/>
    <n v="45.180722891566262"/>
    <n v="45.78399608636046"/>
    <n v="11.494252873563205"/>
    <n v="9.9375121168256406"/>
    <n v="82.787724112826652"/>
    <n v="46.462492289777693"/>
    <n v="10.023387096774194"/>
    <n v="-2.0633870967741936"/>
    <n v="1348"/>
    <n v="58"/>
    <s v="Open ended"/>
    <s v="NIFTY 500 - TRI"/>
    <n v="1000"/>
    <n v="1000"/>
  </r>
  <r>
    <x v="1348"/>
    <x v="22"/>
    <n v="-4.17"/>
    <n v="8.3800000000000008"/>
    <n v="5.58"/>
    <n v="2.2200000000000002"/>
    <n v="43.329752953813099"/>
    <n v="34.059711736444754"/>
    <n v="36.746987951807228"/>
    <n v="37.257358087599656"/>
    <n v="19.540229885057457"/>
    <n v="4.7694848202049762"/>
    <n v="91.73900996547647"/>
    <n v="46.448489006433306"/>
    <n v="9.83"/>
    <n v="-4.25"/>
    <n v="1349"/>
    <n v="29"/>
    <s v="Open ended"/>
    <s v="S&amp;P BSE 500 - TRI"/>
    <n v="1000"/>
    <n v="1000"/>
  </r>
  <r>
    <x v="1349"/>
    <x v="19"/>
    <n v="9.1300000000000008"/>
    <n v="19.38"/>
    <n v="7.35"/>
    <n v="2.5299999999999998"/>
    <n v="71.901181525241668"/>
    <n v="52.934111187371315"/>
    <n v="43.019135364989367"/>
    <n v="51.77003734375441"/>
    <n v="7.6628352490421436"/>
    <n v="14.675541404908399"/>
    <n v="74.58121665811791"/>
    <n v="46.446031648667216"/>
    <n v="9.4014285714285712"/>
    <n v="-2.0514285714285716"/>
    <n v="1350"/>
    <n v="28"/>
    <s v="Open ended"/>
    <s v="Nifty Infrastructure - TRI"/>
    <n v="1000"/>
    <n v="1000"/>
  </r>
  <r>
    <x v="1350"/>
    <x v="43"/>
    <n v="4.5599999999999996"/>
    <n v="8.57"/>
    <n v="11.08"/>
    <n v="2.4900000000000002"/>
    <n v="62.083780880773354"/>
    <n v="34.385724090597122"/>
    <n v="56.236711552090711"/>
    <n v="50.850829179379161"/>
    <n v="9.1954022988505635"/>
    <n v="14.599293491630561"/>
    <n v="74.713281917886235"/>
    <n v="46.402585643873778"/>
    <n v="8.7869230769230775"/>
    <n v="2.2930769230769226"/>
    <n v="1351"/>
    <n v="3"/>
    <s v="Open ended"/>
    <s v="S&amp;P Global 1200"/>
    <n v="1000"/>
    <n v="1000"/>
  </r>
  <r>
    <x v="1351"/>
    <x v="19"/>
    <n v="5.91"/>
    <n v="20.53"/>
    <n v="6.01"/>
    <n v="2.4300000000000002"/>
    <n v="64.983888292158966"/>
    <n v="54.907343857240917"/>
    <n v="38.27072997873848"/>
    <n v="48.604345804973306"/>
    <n v="11.494252873563205"/>
    <n v="13.490159970444653"/>
    <n v="76.634357528957992"/>
    <n v="46.334325503116951"/>
    <n v="9.4014285714285712"/>
    <n v="-3.3914285714285715"/>
    <n v="1352"/>
    <n v="29"/>
    <s v="Open ended"/>
    <s v="S&amp;P BSE India Infrastructure Index - TRI"/>
    <n v="1000"/>
    <n v="1000"/>
  </r>
  <r>
    <x v="1352"/>
    <x v="19"/>
    <n v="5.86"/>
    <n v="20.52"/>
    <n v="6"/>
    <n v="2.4300000000000002"/>
    <n v="64.876476906552099"/>
    <n v="54.890185312285524"/>
    <n v="38.235294117647058"/>
    <n v="48.55999803381961"/>
    <n v="11.494252873563205"/>
    <n v="13.458974954175964"/>
    <n v="76.688371561570222"/>
    <n v="46.32565512569316"/>
    <n v="9.4014285714285712"/>
    <n v="-3.4014285714285712"/>
    <n v="1353"/>
    <n v="30"/>
    <s v="Open ended"/>
    <s v="S&amp;P BSE India Infrastructure Index - TRI"/>
    <n v="1000"/>
    <n v="1000"/>
  </r>
  <r>
    <x v="1353"/>
    <x v="50"/>
    <n v="6.07"/>
    <n v="2.81"/>
    <n v="4.7"/>
    <n v="1.48"/>
    <n v="65.327604726100958"/>
    <n v="24.502402196293758"/>
    <n v="33.628632175761872"/>
    <n v="37.230557691989262"/>
    <n v="47.892720306513411"/>
    <n v="21.427436057482744"/>
    <n v="62.886592072506531"/>
    <n v="46.31010694074962"/>
    <n v="4.3111111111111109"/>
    <n v="0.38888888888888928"/>
    <n v="1354"/>
    <n v="32"/>
    <s v="Open ended"/>
    <s v="Nifty All Duration G-Sec Index"/>
    <n v="5000"/>
    <n v="1000"/>
  </r>
  <r>
    <x v="1354"/>
    <x v="30"/>
    <n v="1.67"/>
    <n v="7.38"/>
    <n v="7.68"/>
    <n v="2.2200000000000002"/>
    <n v="55.875402792696029"/>
    <n v="32.343857240905969"/>
    <n v="44.188518781006373"/>
    <n v="42.972497121314184"/>
    <n v="19.540229885057457"/>
    <n v="11.765860932929298"/>
    <n v="79.620931069376709"/>
    <n v="46.276538799265637"/>
    <n v="6.1480952380952392"/>
    <n v="1.5319047619047605"/>
    <n v="1355"/>
    <n v="28"/>
    <s v="Open ended"/>
    <s v="NIFTY 50 Equity Savings Index"/>
    <n v="1000"/>
    <n v="1000"/>
  </r>
  <r>
    <x v="1355"/>
    <x v="33"/>
    <n v="4.95"/>
    <n v="4.0199999999999996"/>
    <n v="3.45"/>
    <n v="1.43"/>
    <n v="62.921589688506984"/>
    <n v="26.578586135895677"/>
    <n v="29.199149539333803"/>
    <n v="35.157468548137004"/>
    <n v="49.808429118773944"/>
    <n v="20.26854800502133"/>
    <n v="64.89384505965424"/>
    <n v="46.254302818675548"/>
    <n v="4.4264935064935065"/>
    <n v="-0.9764935064935063"/>
    <n v="1356"/>
    <n v="75"/>
    <s v="Open ended"/>
    <s v="NIFTY Ultra Short Duration Debt Index"/>
    <n v="1000"/>
    <n v="1000"/>
  </r>
  <r>
    <x v="1356"/>
    <x v="51"/>
    <n v="9.85"/>
    <n v="10.42"/>
    <n v="10.41"/>
    <n v="2.46"/>
    <n v="73.447905477980655"/>
    <n v="37.560054907343869"/>
    <n v="53.862508858965263"/>
    <n v="52.888851997281918"/>
    <n v="10.344827586206895"/>
    <n v="17.968934229892575"/>
    <n v="68.876892955962518"/>
    <n v="46.249856134183311"/>
    <n v="8.7813636363636363"/>
    <n v="1.6286363636363639"/>
    <n v="1357"/>
    <n v="14"/>
    <s v="Open ended"/>
    <s v="Nifty Financial Services - TRI"/>
    <n v="1000"/>
    <n v="1000"/>
  </r>
  <r>
    <x v="1357"/>
    <x v="7"/>
    <n v="12.51"/>
    <n v="14.35"/>
    <n v="9.11"/>
    <n v="2.4700000000000002"/>
    <n v="79.162191192266377"/>
    <n v="44.303363074811266"/>
    <n v="49.255846917080085"/>
    <n v="53.751370619436699"/>
    <n v="9.9616858237547845"/>
    <n v="18.859367353458516"/>
    <n v="67.334617545204054"/>
    <n v="46.199761151958057"/>
    <n v="8.6526315789473696"/>
    <n v="0.45736842105262987"/>
    <n v="1358"/>
    <n v="9"/>
    <s v="Open ended"/>
    <s v="S&amp;P BSE PSU - TRI"/>
    <n v="1000"/>
    <n v="1000"/>
  </r>
  <r>
    <x v="1358"/>
    <x v="50"/>
    <n v="3.47"/>
    <n v="2.46"/>
    <n v="3.91"/>
    <n v="1.46"/>
    <n v="59.742212674543495"/>
    <n v="23.901853122855186"/>
    <n v="30.829199149539331"/>
    <n v="34.533598046534919"/>
    <n v="48.659003831417614"/>
    <n v="19.010882176904126"/>
    <n v="67.072186172896437"/>
    <n v="46.199596524345971"/>
    <n v="4.3111111111111109"/>
    <n v="-0.40111111111111075"/>
    <n v="1359"/>
    <n v="33"/>
    <s v="Open ended"/>
    <s v="CRISIL Dynamic Gilt Index"/>
    <n v="5000"/>
    <n v="1000"/>
  </r>
  <r>
    <x v="1359"/>
    <x v="11"/>
    <n v="-1.99"/>
    <n v="12.94"/>
    <n v="6.5"/>
    <n v="2.5299999999999998"/>
    <n v="48.012889366272823"/>
    <n v="41.884008236101586"/>
    <n v="40.007087172218277"/>
    <n v="42.171323930194177"/>
    <n v="7.6628352490421436"/>
    <n v="4.1868620978434139"/>
    <n v="92.748142122250798"/>
    <n v="46.188406307920324"/>
    <n v="11.362272727272726"/>
    <n v="-4.8622727272727264"/>
    <n v="1360"/>
    <n v="44"/>
    <s v="Open ended"/>
    <s v="Nifty Midcap 150 - TRI"/>
    <n v="5000"/>
    <n v="1000"/>
  </r>
  <r>
    <x v="1360"/>
    <x v="19"/>
    <n v="5.42"/>
    <n v="16.690000000000001"/>
    <n v="7.45"/>
    <n v="2.59"/>
    <n v="63.931256713211596"/>
    <n v="48.318462594372001"/>
    <n v="43.373493975903607"/>
    <n v="48.968537108905721"/>
    <n v="5.3639846743295028"/>
    <n v="10.730281633445589"/>
    <n v="81.414607031349078"/>
    <n v="46.178916480872502"/>
    <n v="9.4014285714285712"/>
    <n v="-1.9514285714285711"/>
    <n v="1361"/>
    <n v="31"/>
    <s v="Open ended"/>
    <s v="S&amp;P BSE 100 - TRI"/>
    <n v="1000"/>
    <n v="1000"/>
  </r>
  <r>
    <x v="1361"/>
    <x v="33"/>
    <n v="4.95"/>
    <n v="4.0199999999999996"/>
    <n v="3.39"/>
    <n v="1.43"/>
    <n v="62.921589688506984"/>
    <n v="26.578586135895677"/>
    <n v="28.986534372785254"/>
    <n v="35.051160964862731"/>
    <n v="49.808429118773944"/>
    <n v="20.32322194443978"/>
    <n v="64.79914701873156"/>
    <n v="46.177474516807742"/>
    <n v="4.4264935064935065"/>
    <n v="-1.0364935064935064"/>
    <n v="1362"/>
    <n v="76"/>
    <s v="Open ended"/>
    <s v="NIFTY Ultra Short Duration Debt Index"/>
    <n v="1000"/>
    <n v="1000"/>
  </r>
  <r>
    <x v="1362"/>
    <x v="33"/>
    <n v="4.95"/>
    <n v="4.0199999999999996"/>
    <n v="3.38"/>
    <n v="1.43"/>
    <n v="62.921589688506984"/>
    <n v="26.578586135895677"/>
    <n v="28.951098511693829"/>
    <n v="35.033443034317017"/>
    <n v="49.808429118773944"/>
    <n v="20.332392025994604"/>
    <n v="64.783263971569042"/>
    <n v="46.164644789744258"/>
    <n v="4.4264935064935065"/>
    <n v="-1.0464935064935066"/>
    <n v="1363"/>
    <n v="77"/>
    <s v="Open ended"/>
    <s v="NIFTY Ultra Short Duration Debt Index"/>
    <n v="1000"/>
    <n v="1000"/>
  </r>
  <r>
    <x v="1363"/>
    <x v="19"/>
    <n v="9.09"/>
    <n v="19.059999999999999"/>
    <n v="7.21"/>
    <n v="2.5299999999999998"/>
    <n v="71.815252416756167"/>
    <n v="52.385037748798901"/>
    <n v="42.523033309709426"/>
    <n v="51.340078462845611"/>
    <n v="7.6628352490421436"/>
    <n v="14.904286149822564"/>
    <n v="74.1850191379622"/>
    <n v="46.132002828173896"/>
    <n v="9.4014285714285712"/>
    <n v="-2.1914285714285713"/>
    <n v="1364"/>
    <n v="32"/>
    <s v="Open ended"/>
    <s v="Nifty Infrastructure - TRI"/>
    <n v="1000"/>
    <n v="1000"/>
  </r>
  <r>
    <x v="1364"/>
    <x v="34"/>
    <n v="3.42"/>
    <n v="7.46"/>
    <n v="6.8"/>
    <n v="2.1"/>
    <n v="59.634801288936622"/>
    <n v="32.481125600549078"/>
    <n v="41.07016300496101"/>
    <n v="42.206379440432556"/>
    <n v="24.137931034482762"/>
    <n v="13.878877605552072"/>
    <n v="75.961078835153927"/>
    <n v="46.12794218762545"/>
    <n v="7.9378947368421047"/>
    <n v="-1.1378947368421048"/>
    <n v="1365"/>
    <n v="16"/>
    <s v="Open ended"/>
    <s v="NIFTY 50 Hybrid Composite Debt 50:50 Index"/>
    <n v="5000"/>
    <n v="1000"/>
  </r>
  <r>
    <x v="1365"/>
    <x v="50"/>
    <n v="3.04"/>
    <n v="1.99"/>
    <n v="4.09"/>
    <n v="1.48"/>
    <n v="58.818474758324378"/>
    <n v="23.095401509951959"/>
    <n v="31.46704464918497"/>
    <n v="34.42583772924295"/>
    <n v="47.892720306513411"/>
    <n v="18.682982899662044"/>
    <n v="67.640124380844838"/>
    <n v="46.096130036461034"/>
    <n v="4.3111111111111109"/>
    <n v="-0.22111111111111104"/>
    <n v="1366"/>
    <n v="34"/>
    <s v="Open ended"/>
    <s v="Nifty All Duration G-Sec Index"/>
    <n v="10000"/>
    <n v="1000"/>
  </r>
  <r>
    <x v="1366"/>
    <x v="50"/>
    <n v="3.04"/>
    <n v="1.99"/>
    <n v="4.09"/>
    <n v="1.48"/>
    <n v="58.818474758324378"/>
    <n v="23.095401509951959"/>
    <n v="31.46704464918497"/>
    <n v="34.42583772924295"/>
    <n v="47.892720306513411"/>
    <n v="18.682982899662044"/>
    <n v="67.640124380844838"/>
    <n v="46.096130036461034"/>
    <n v="4.3111111111111109"/>
    <n v="-0.22111111111111104"/>
    <n v="1366"/>
    <n v="34"/>
    <s v="Open ended"/>
    <s v="Nifty All Duration G-Sec Index"/>
    <n v="10000"/>
    <n v="1000"/>
  </r>
  <r>
    <x v="1367"/>
    <x v="15"/>
    <n v="3.82"/>
    <n v="2.2799999999999998"/>
    <n v="3.81"/>
    <n v="1.44"/>
    <n v="60.494092373791617"/>
    <n v="23.592999313658204"/>
    <n v="30.474840538625088"/>
    <n v="34.414138538168331"/>
    <n v="49.425287356321832"/>
    <n v="19.622291271329779"/>
    <n v="66.013194557141532"/>
    <n v="46.066689747450006"/>
    <n v="5.2086538461538465"/>
    <n v="-1.3986538461538465"/>
    <n v="1368"/>
    <n v="47"/>
    <s v="Open ended"/>
    <s v=""/>
    <n v="5000"/>
    <n v="1000"/>
  </r>
  <r>
    <x v="1368"/>
    <x v="15"/>
    <n v="3.82"/>
    <n v="2.2799999999999998"/>
    <n v="3.81"/>
    <n v="1.44"/>
    <n v="60.494092373791617"/>
    <n v="23.592999313658204"/>
    <n v="30.474840538625088"/>
    <n v="34.414138538168331"/>
    <n v="49.425287356321832"/>
    <n v="19.622291271329779"/>
    <n v="66.013194557141532"/>
    <n v="46.066689747450006"/>
    <n v="5.2086538461538465"/>
    <n v="-1.3986538461538465"/>
    <n v="1368"/>
    <n v="47"/>
    <s v="Open ended"/>
    <s v=""/>
    <n v="5000"/>
    <n v="1000"/>
  </r>
  <r>
    <x v="1369"/>
    <x v="43"/>
    <n v="-0.91"/>
    <n v="10.89"/>
    <n v="7.79"/>
    <n v="2.5499999999999998"/>
    <n v="50.33297529538131"/>
    <n v="38.366506520247093"/>
    <n v="44.578313253012048"/>
    <n v="43.86570364165641"/>
    <n v="6.8965517241379448"/>
    <n v="5.9846895359933781"/>
    <n v="89.634213656133653"/>
    <n v="46.065543165896102"/>
    <n v="8.7869230769230775"/>
    <n v="-0.99692307692307747"/>
    <n v="1370"/>
    <n v="4"/>
    <s v="Open ended"/>
    <s v=""/>
    <n v="1000"/>
    <m/>
  </r>
  <r>
    <x v="1370"/>
    <x v="23"/>
    <n v="-0.08"/>
    <n v="9.26"/>
    <n v="8.77"/>
    <n v="2.5"/>
    <n v="52.116004296455422"/>
    <n v="35.56966369251888"/>
    <n v="48.051027639971643"/>
    <n v="45.119613787032577"/>
    <n v="8.812260536398453"/>
    <n v="8.622546690585974"/>
    <n v="85.065311041270206"/>
    <n v="46.02919978793345"/>
    <n v="10.023387096774194"/>
    <n v="-1.253387096774194"/>
    <n v="1371"/>
    <n v="59"/>
    <s v="Open ended"/>
    <s v="NIFTY 500 - TRI"/>
    <n v="1000"/>
    <n v="1000"/>
  </r>
  <r>
    <x v="1371"/>
    <x v="53"/>
    <n v="4.2699999999999996"/>
    <n v="2.5099999999999998"/>
    <n v="4.28"/>
    <n v="1.5"/>
    <n v="61.460794844253485"/>
    <n v="23.987645847632123"/>
    <n v="32.140326009922035"/>
    <n v="35.558615728101351"/>
    <n v="47.126436781609193"/>
    <n v="19.707836775491884"/>
    <n v="65.86502539757366"/>
    <n v="46.027173408846394"/>
    <n v="4.7778125000000005"/>
    <n v="-0.49781250000000021"/>
    <n v="1372"/>
    <n v="16"/>
    <s v="Open ended"/>
    <s v="NIFTY Credit Risk Bond Index"/>
    <n v="1000"/>
    <n v="1000"/>
  </r>
  <r>
    <x v="1372"/>
    <x v="30"/>
    <n v="1.73"/>
    <n v="7.39"/>
    <n v="7.4"/>
    <n v="2.2200000000000002"/>
    <n v="56.004296455424274"/>
    <n v="32.361015785861362"/>
    <n v="43.19631467044649"/>
    <n v="42.507321362066506"/>
    <n v="19.540229885057457"/>
    <n v="11.835348327097247"/>
    <n v="79.500575372192259"/>
    <n v="46.013861995345678"/>
    <n v="6.1480952380952392"/>
    <n v="1.2519047619047612"/>
    <n v="1373"/>
    <n v="29"/>
    <s v="Open ended"/>
    <s v="NIFTY 50 Equity Savings Index"/>
    <n v="1000"/>
    <n v="1000"/>
  </r>
  <r>
    <x v="1373"/>
    <x v="50"/>
    <n v="3.83"/>
    <n v="1.34"/>
    <n v="2.59"/>
    <n v="1.24"/>
    <n v="60.515574650912995"/>
    <n v="21.980096087851752"/>
    <n v="26.151665485471291"/>
    <n v="31.772976499273771"/>
    <n v="57.088122605363978"/>
    <n v="21.147353468988488"/>
    <n v="63.371709346093994"/>
    <n v="46.001446237501384"/>
    <n v="4.3111111111111109"/>
    <n v="-1.721111111111111"/>
    <n v="1374"/>
    <n v="36"/>
    <s v="Open ended"/>
    <s v="CRISIL Dynamic Gilt Index"/>
    <n v="1000"/>
    <n v="1000"/>
  </r>
  <r>
    <x v="1374"/>
    <x v="12"/>
    <n v="1.98"/>
    <n v="9.09"/>
    <n v="7.67"/>
    <n v="2.35"/>
    <n v="56.541353383458649"/>
    <n v="35.277968428277283"/>
    <n v="44.153082919914951"/>
    <n v="43.968202665132388"/>
    <n v="14.559386973180066"/>
    <n v="10.67995351167956"/>
    <n v="81.501777895297352"/>
    <n v="45.999392549685552"/>
    <n v="9.219019607843137"/>
    <n v="-1.5490196078431371"/>
    <n v="1375"/>
    <n v="41"/>
    <s v="Open ended"/>
    <s v="CRISIL Hybrid 35+65 - Aggressive Index"/>
    <n v="5000"/>
    <n v="1000"/>
  </r>
  <r>
    <x v="1375"/>
    <x v="12"/>
    <n v="1.98"/>
    <n v="9.09"/>
    <n v="7.67"/>
    <n v="2.35"/>
    <n v="56.541353383458649"/>
    <n v="35.277968428277283"/>
    <n v="44.153082919914951"/>
    <n v="43.968202665132388"/>
    <n v="14.559386973180066"/>
    <n v="10.67995351167956"/>
    <n v="81.501777895297352"/>
    <n v="45.999392549685552"/>
    <n v="9.219019607843137"/>
    <n v="-1.5490196078431371"/>
    <n v="1375"/>
    <n v="41"/>
    <s v="Open ended"/>
    <s v="CRISIL Hybrid 35+65 - Aggressive Index"/>
    <n v="5000"/>
    <n v="1000"/>
  </r>
  <r>
    <x v="1376"/>
    <x v="50"/>
    <n v="3.47"/>
    <n v="2.46"/>
    <n v="3.74"/>
    <n v="1.46"/>
    <n v="59.742212674543495"/>
    <n v="23.901853122855186"/>
    <n v="30.226789510985121"/>
    <n v="34.232393227257816"/>
    <n v="48.659003831417614"/>
    <n v="19.129803961498158"/>
    <n v="66.8662075998528"/>
    <n v="45.99749947144651"/>
    <n v="4.3111111111111109"/>
    <n v="-0.57111111111111068"/>
    <n v="1377"/>
    <n v="37"/>
    <s v="Open ended"/>
    <s v="CRISIL Dynamic Gilt Index"/>
    <n v="5000"/>
    <n v="1000"/>
  </r>
  <r>
    <x v="1377"/>
    <x v="27"/>
    <n v="5.31"/>
    <n v="12.71"/>
    <n v="8.23"/>
    <n v="2.5299999999999998"/>
    <n v="63.694951664876477"/>
    <n v="41.489361702127667"/>
    <n v="46.137491141034722"/>
    <n v="48.254544414130962"/>
    <n v="7.6628352490421436"/>
    <n v="11.711516788478102"/>
    <n v="79.715057888660041"/>
    <n v="45.971745491491028"/>
    <n v="10.044583333333334"/>
    <n v="-1.8145833333333332"/>
    <n v="1378"/>
    <n v="44"/>
    <s v="Open ended"/>
    <s v="S&amp;P BSE 100 - TRI"/>
    <n v="5000"/>
    <n v="1000"/>
  </r>
  <r>
    <x v="1378"/>
    <x v="30"/>
    <n v="1.64"/>
    <n v="7.35"/>
    <n v="7.34"/>
    <n v="2.2200000000000002"/>
    <n v="55.810955961331899"/>
    <n v="32.292381606039811"/>
    <n v="42.983699503897945"/>
    <n v="42.341755426027291"/>
    <n v="19.540229885057457"/>
    <n v="11.775441437749766"/>
    <n v="79.6043371482655"/>
    <n v="45.957019471344381"/>
    <n v="6.1480952380952392"/>
    <n v="1.1919047619047607"/>
    <n v="1379"/>
    <n v="30"/>
    <s v="Open ended"/>
    <s v="NIFTY 50 Equity Savings Index"/>
    <n v="1000"/>
    <n v="1000"/>
  </r>
  <r>
    <x v="1379"/>
    <x v="7"/>
    <n v="12.49"/>
    <n v="14.33"/>
    <n v="8.8699999999999992"/>
    <n v="2.4700000000000002"/>
    <n v="79.119226638023619"/>
    <n v="44.269045984900487"/>
    <n v="48.40538625088589"/>
    <n v="53.307252248517813"/>
    <n v="9.9616858237547845"/>
    <n v="19.039364457521085"/>
    <n v="67.022853415752422"/>
    <n v="45.899760934135706"/>
    <n v="8.6526315789473696"/>
    <n v="0.21736842105262966"/>
    <n v="1380"/>
    <n v="10"/>
    <s v="Open ended"/>
    <s v="S&amp;P BSE PSU - TRI"/>
    <n v="1000"/>
    <n v="1000"/>
  </r>
  <r>
    <x v="1380"/>
    <x v="13"/>
    <n v="-2.88"/>
    <n v="5.22"/>
    <n v="3.89"/>
    <n v="1.85"/>
    <n v="46.100966702470458"/>
    <n v="28.637611530542213"/>
    <n v="30.75832742735648"/>
    <n v="33.190640513334998"/>
    <n v="33.716475095785434"/>
    <n v="9.5294525000318853"/>
    <n v="83.494504101630511"/>
    <n v="45.89806505602148"/>
    <n v="10.461"/>
    <n v="-6.5709999999999997"/>
    <n v="1381"/>
    <n v="35"/>
    <s v="Open ended"/>
    <s v="NIFTY 500 - TRI"/>
    <n v="1000"/>
    <n v="1000"/>
  </r>
  <r>
    <x v="1381"/>
    <x v="23"/>
    <n v="-0.08"/>
    <n v="9.26"/>
    <n v="8.51"/>
    <n v="2.5"/>
    <n v="52.116004296455422"/>
    <n v="35.56966369251888"/>
    <n v="47.129695251594612"/>
    <n v="44.658947592844058"/>
    <n v="8.812260536398453"/>
    <n v="8.4880209208739839"/>
    <n v="85.29831650933869"/>
    <n v="45.857118057856312"/>
    <n v="10.023387096774194"/>
    <n v="-1.5133870967741938"/>
    <n v="1382"/>
    <n v="60"/>
    <s v="Open ended"/>
    <s v="NIFTY 500 - TRI"/>
    <n v="1000"/>
    <n v="1000"/>
  </r>
  <r>
    <x v="1382"/>
    <x v="53"/>
    <n v="4.2699999999999996"/>
    <n v="2.5099999999999998"/>
    <n v="4.0999999999999996"/>
    <n v="1.5"/>
    <n v="61.460794844253485"/>
    <n v="23.987645847632123"/>
    <n v="31.502480510276399"/>
    <n v="35.239692978278534"/>
    <n v="47.126436781609193"/>
    <n v="19.825111321516967"/>
    <n v="65.661899925423654"/>
    <n v="45.81693066589748"/>
    <n v="4.7778125000000005"/>
    <n v="-0.67781250000000082"/>
    <n v="1383"/>
    <n v="17"/>
    <s v="Open ended"/>
    <s v="NIFTY Credit Risk Bond Index"/>
    <n v="1000"/>
    <n v="1000"/>
  </r>
  <r>
    <x v="1383"/>
    <x v="53"/>
    <n v="4.2699999999999996"/>
    <n v="2.5099999999999998"/>
    <n v="4.0999999999999996"/>
    <n v="1.5"/>
    <n v="61.460794844253485"/>
    <n v="23.987645847632123"/>
    <n v="31.502480510276399"/>
    <n v="35.239692978278534"/>
    <n v="47.126436781609193"/>
    <n v="19.825111321516967"/>
    <n v="65.661899925423654"/>
    <n v="45.81693066589748"/>
    <n v="4.7778125000000005"/>
    <n v="-0.67781250000000082"/>
    <n v="1383"/>
    <n v="17"/>
    <s v="Open ended"/>
    <s v="NIFTY Credit Risk Bond Index"/>
    <n v="1000"/>
    <n v="1000"/>
  </r>
  <r>
    <x v="1384"/>
    <x v="48"/>
    <n v="3.8"/>
    <n v="1.41"/>
    <n v="4.21"/>
    <n v="1.47"/>
    <n v="60.451127819548866"/>
    <n v="22.100205902539468"/>
    <n v="31.892274982282064"/>
    <n v="34.666424825812648"/>
    <n v="48.275862068965523"/>
    <n v="19.926054569029567"/>
    <n v="65.487061092050823"/>
    <n v="45.773943203160414"/>
    <n v="3.5597297297297299"/>
    <n v="0.65027027027027007"/>
    <n v="1385"/>
    <n v="19"/>
    <s v="Open ended"/>
    <s v="NIFTY Medium Duration Debt Index"/>
    <n v="1000"/>
    <n v="1000"/>
  </r>
  <r>
    <x v="1385"/>
    <x v="13"/>
    <n v="-2.88"/>
    <n v="5.22"/>
    <n v="3.79"/>
    <n v="1.85"/>
    <n v="46.100966702470458"/>
    <n v="28.637611530542213"/>
    <n v="30.403968816442241"/>
    <n v="33.013461207877874"/>
    <n v="33.716475095785434"/>
    <n v="9.6132246979212574"/>
    <n v="83.34940639862441"/>
    <n v="45.7732009775414"/>
    <n v="10.461"/>
    <n v="-6.6710000000000003"/>
    <n v="1386"/>
    <n v="36"/>
    <s v="Open ended"/>
    <s v="NIFTY 500 - TRI"/>
    <n v="1000"/>
    <n v="1000"/>
  </r>
  <r>
    <x v="1386"/>
    <x v="48"/>
    <n v="3.39"/>
    <n v="2.5499999999999998"/>
    <n v="4.6399999999999997"/>
    <n v="1.6"/>
    <n v="59.570354457572506"/>
    <n v="24.056280027453674"/>
    <n v="33.41601700921332"/>
    <n v="35.838963404357266"/>
    <n v="43.295019157088113"/>
    <n v="18.406989281060167"/>
    <n v="68.118159350828066"/>
    <n v="45.772776329157679"/>
    <n v="3.5597297297297299"/>
    <n v="1.0802702702702698"/>
    <n v="1387"/>
    <n v="20"/>
    <s v="Open ended"/>
    <s v="NIFTY Medium Duration Debt Index"/>
    <n v="5000"/>
    <n v="1000"/>
  </r>
  <r>
    <x v="1387"/>
    <x v="43"/>
    <n v="-0.91"/>
    <n v="10.89"/>
    <n v="7.44"/>
    <n v="2.5499999999999998"/>
    <n v="50.33297529538131"/>
    <n v="38.366506520247093"/>
    <n v="43.338058114812192"/>
    <n v="43.245576072556489"/>
    <n v="6.8965517241379448"/>
    <n v="6.0116770617233755"/>
    <n v="89.587469890398737"/>
    <n v="45.743793439912416"/>
    <n v="8.7869230769230775"/>
    <n v="-1.3469230769230771"/>
    <n v="1388"/>
    <n v="5"/>
    <s v="Open ended"/>
    <s v=""/>
    <n v="1000"/>
    <m/>
  </r>
  <r>
    <x v="1388"/>
    <x v="19"/>
    <n v="5.42"/>
    <n v="16.510000000000002"/>
    <n v="7.18"/>
    <n v="2.59"/>
    <n v="63.931256713211596"/>
    <n v="48.009608785175026"/>
    <n v="42.416725726435153"/>
    <n v="48.397496841412405"/>
    <n v="5.3639846743295028"/>
    <n v="11.162842060709378"/>
    <n v="80.665390393984495"/>
    <n v="45.706092187784705"/>
    <n v="9.4014285714285712"/>
    <n v="-2.2214285714285715"/>
    <n v="1389"/>
    <n v="33"/>
    <s v="Open ended"/>
    <s v="S&amp;P BSE 100 - TRI"/>
    <n v="1000"/>
    <n v="1000"/>
  </r>
  <r>
    <x v="1389"/>
    <x v="43"/>
    <n v="4.5599999999999996"/>
    <n v="8.57"/>
    <n v="10.01"/>
    <n v="2.4900000000000002"/>
    <n v="62.083780880773354"/>
    <n v="34.385724090597122"/>
    <n v="52.445074415308291"/>
    <n v="48.955010610987955"/>
    <n v="9.1954022988505635"/>
    <n v="14.060744091440485"/>
    <n v="75.646076841401197"/>
    <n v="45.687875090556915"/>
    <n v="8.7869230769230775"/>
    <n v="1.2230769230769223"/>
    <n v="1390"/>
    <n v="6"/>
    <s v="Open ended"/>
    <s v="S&amp;P Global 1200"/>
    <n v="1000"/>
    <n v="1000"/>
  </r>
  <r>
    <x v="1390"/>
    <x v="48"/>
    <n v="3.41"/>
    <n v="1.22"/>
    <n v="4.12"/>
    <n v="1.47"/>
    <n v="59.61331901181525"/>
    <n v="21.7741935483871"/>
    <n v="31.57335223245925"/>
    <n v="34.241597983108804"/>
    <n v="48.275862068965523"/>
    <n v="19.638663666943973"/>
    <n v="65.984836736096128"/>
    <n v="45.685973692819815"/>
    <n v="3.5597297297297299"/>
    <n v="0.56027027027027021"/>
    <n v="1391"/>
    <n v="21"/>
    <s v="Open ended"/>
    <s v="NIFTY Medium Duration Debt Index"/>
    <n v="1000"/>
    <n v="1000"/>
  </r>
  <r>
    <x v="1391"/>
    <x v="43"/>
    <n v="-5.53"/>
    <n v="7.81"/>
    <n v="12.96"/>
    <n v="2.4500000000000002"/>
    <n v="40.408163265306115"/>
    <n v="33.081674673987649"/>
    <n v="62.898653437278519"/>
    <n v="49.455461773896772"/>
    <n v="10.727969348658984"/>
    <n v="15.537866680172268"/>
    <n v="73.087625468710073"/>
    <n v="45.681629591290651"/>
    <n v="8.7869230769230775"/>
    <n v="4.1730769230769234"/>
    <n v="1392"/>
    <n v="7"/>
    <s v="Open ended"/>
    <s v="S&amp;P 500 - TRI"/>
    <n v="1000"/>
    <n v="1000"/>
  </r>
  <r>
    <x v="1392"/>
    <x v="43"/>
    <n v="-5.53"/>
    <n v="7.81"/>
    <n v="12.96"/>
    <n v="2.4500000000000002"/>
    <n v="40.408163265306115"/>
    <n v="33.081674673987649"/>
    <n v="62.898653437278519"/>
    <n v="49.455461773896772"/>
    <n v="10.727969348658984"/>
    <n v="15.537866680172268"/>
    <n v="73.087625468710073"/>
    <n v="45.681629591290651"/>
    <n v="8.7869230769230775"/>
    <n v="4.1730769230769234"/>
    <n v="1392"/>
    <n v="7"/>
    <s v="Open ended"/>
    <s v="S&amp;P 500 - TRI"/>
    <n v="1000"/>
    <n v="1000"/>
  </r>
  <r>
    <x v="1393"/>
    <x v="34"/>
    <n v="3.43"/>
    <n v="7.44"/>
    <n v="6.4"/>
    <n v="2.1"/>
    <n v="59.656283566058001"/>
    <n v="32.446808510638306"/>
    <n v="39.652728561304038"/>
    <n v="41.491663547055111"/>
    <n v="24.137931034482762"/>
    <n v="14.097417194864162"/>
    <n v="75.582557163000146"/>
    <n v="45.675953822898279"/>
    <n v="7.9378947368421047"/>
    <n v="-1.5378947368421043"/>
    <n v="1394"/>
    <n v="17"/>
    <s v="Open ended"/>
    <s v="NIFTY 50 Hybrid Composite Debt 50:50 Index"/>
    <n v="5000"/>
    <n v="1000"/>
  </r>
  <r>
    <x v="1394"/>
    <x v="23"/>
    <n v="1.43"/>
    <n v="9.93"/>
    <n v="5.96"/>
    <n v="2.25"/>
    <n v="55.359828141783026"/>
    <n v="36.719286204529858"/>
    <n v="38.093550673281356"/>
    <n v="41.134526826356243"/>
    <n v="18.390804597701148"/>
    <n v="10.388156270194239"/>
    <n v="82.00718554305837"/>
    <n v="45.666760948368001"/>
    <n v="10.023387096774194"/>
    <n v="-4.0633870967741936"/>
    <n v="1395"/>
    <n v="61"/>
    <s v="Open ended"/>
    <s v="S&amp;P BSE 500 - TRI"/>
    <n v="1000"/>
    <n v="1000"/>
  </r>
  <r>
    <x v="1395"/>
    <x v="23"/>
    <n v="1.43"/>
    <n v="9.93"/>
    <n v="5.96"/>
    <n v="2.25"/>
    <n v="55.359828141783026"/>
    <n v="36.719286204529858"/>
    <n v="38.093550673281356"/>
    <n v="41.134526826356243"/>
    <n v="18.390804597701148"/>
    <n v="10.388156270194239"/>
    <n v="82.00718554305837"/>
    <n v="45.666760948368001"/>
    <n v="10.023387096774194"/>
    <n v="-4.0633870967741936"/>
    <n v="1395"/>
    <n v="61"/>
    <s v="Open ended"/>
    <s v="S&amp;P BSE 500 - TRI"/>
    <n v="1000"/>
    <n v="1000"/>
  </r>
  <r>
    <x v="1396"/>
    <x v="27"/>
    <n v="3.29"/>
    <n v="9.36"/>
    <n v="8.16"/>
    <n v="2.42"/>
    <n v="59.355531686358752"/>
    <n v="35.741249142072753"/>
    <n v="45.889440113394755"/>
    <n v="45.538201136590956"/>
    <n v="11.877394636015314"/>
    <n v="11.845925757570573"/>
    <n v="79.482254725198928"/>
    <n v="45.609012908599041"/>
    <n v="10.044583333333334"/>
    <n v="-1.8845833333333335"/>
    <n v="1397"/>
    <n v="45"/>
    <s v="Open ended"/>
    <s v="NIFTY 100 - TRI"/>
    <n v="1000"/>
    <n v="1000"/>
  </r>
  <r>
    <x v="1397"/>
    <x v="48"/>
    <n v="3.41"/>
    <n v="1.22"/>
    <n v="4.0199999999999996"/>
    <n v="1.47"/>
    <n v="59.61331901181525"/>
    <n v="21.7741935483871"/>
    <n v="31.218993621545"/>
    <n v="34.06441867765168"/>
    <n v="48.275862068965523"/>
    <n v="19.694505911664493"/>
    <n v="65.888115131031498"/>
    <n v="45.573203638825092"/>
    <n v="3.5597297297297299"/>
    <n v="0.46027027027026968"/>
    <n v="1398"/>
    <n v="22"/>
    <s v="Open ended"/>
    <s v="NIFTY Medium Duration Debt Index"/>
    <n v="1000"/>
    <n v="1000"/>
  </r>
  <r>
    <x v="1398"/>
    <x v="27"/>
    <n v="3.29"/>
    <n v="9.33"/>
    <n v="8.11"/>
    <n v="2.42"/>
    <n v="59.355531686358752"/>
    <n v="35.689773507206588"/>
    <n v="45.712260807937625"/>
    <n v="45.434168793402542"/>
    <n v="11.877394636015314"/>
    <n v="11.878953392095033"/>
    <n v="79.425049184148747"/>
    <n v="45.542695351742282"/>
    <n v="10.044583333333334"/>
    <n v="-1.9345833333333342"/>
    <n v="1399"/>
    <n v="46"/>
    <s v="Open ended"/>
    <s v="NIFTY 100 - TRI"/>
    <n v="1000"/>
    <n v="1000"/>
  </r>
  <r>
    <x v="1399"/>
    <x v="48"/>
    <n v="3.41"/>
    <n v="1.22"/>
    <n v="3.99"/>
    <n v="1.47"/>
    <n v="59.61331901181525"/>
    <n v="21.7741935483871"/>
    <n v="31.112686038270731"/>
    <n v="34.011264886014544"/>
    <n v="48.275862068965523"/>
    <n v="19.711641812701121"/>
    <n v="65.858434879802573"/>
    <n v="45.5392066801993"/>
    <n v="3.5597297297297299"/>
    <n v="0.43027027027027032"/>
    <n v="1400"/>
    <n v="23"/>
    <s v="Open ended"/>
    <s v="NIFTY Medium Duration Debt Index"/>
    <n v="1000"/>
    <n v="1000"/>
  </r>
  <r>
    <x v="1400"/>
    <x v="48"/>
    <n v="3.41"/>
    <n v="1.22"/>
    <n v="3.94"/>
    <n v="1.47"/>
    <n v="59.61331901181525"/>
    <n v="21.7741935483871"/>
    <n v="30.935506732813607"/>
    <n v="33.922675233285986"/>
    <n v="48.275862068965523"/>
    <n v="19.740592663383829"/>
    <n v="65.808290535497775"/>
    <n v="45.482375767758818"/>
    <n v="3.5597297297297299"/>
    <n v="0.38027027027027005"/>
    <n v="1401"/>
    <n v="24"/>
    <s v="Open ended"/>
    <s v="NIFTY Medium Duration Debt Index"/>
    <n v="1000"/>
    <n v="1000"/>
  </r>
  <r>
    <x v="1401"/>
    <x v="18"/>
    <n v="6.62"/>
    <n v="10.49"/>
    <n v="7.62"/>
    <n v="2.34"/>
    <n v="66.509129967776587"/>
    <n v="37.68016472203157"/>
    <n v="43.975903614457827"/>
    <n v="46.593827217393709"/>
    <n v="14.942528735632177"/>
    <n v="15.157461612639729"/>
    <n v="73.746506373133101"/>
    <n v="45.469172385888172"/>
    <n v="6.9120588235294118"/>
    <n v="0.7079411764705883"/>
    <n v="1402"/>
    <n v="22"/>
    <s v="Open ended"/>
    <s v="MSCI Europe Index (Total Return Net)"/>
    <n v="5000"/>
    <m/>
  </r>
  <r>
    <x v="1402"/>
    <x v="12"/>
    <n v="2"/>
    <n v="9.5500000000000007"/>
    <n v="7.13"/>
    <n v="2.38"/>
    <n v="56.584317937701393"/>
    <n v="36.067261496225122"/>
    <n v="42.239546420978023"/>
    <n v="43.256815246896821"/>
    <n v="13.409961685823756"/>
    <n v="10.526309705384669"/>
    <n v="81.767896774068376"/>
    <n v="45.422872238421448"/>
    <n v="9.219019607843137"/>
    <n v="-2.0890196078431371"/>
    <n v="1403"/>
    <n v="43"/>
    <s v="Open ended"/>
    <s v="CRISIL Hybrid 35+65 - Aggressive Index"/>
    <n v="5000"/>
    <n v="1000"/>
  </r>
  <r>
    <x v="1403"/>
    <x v="44"/>
    <n v="-0.83"/>
    <n v="10.15"/>
    <n v="8.35"/>
    <n v="2.61"/>
    <n v="50.504833512352306"/>
    <n v="37.096774193548391"/>
    <n v="46.56272147413182"/>
    <n v="44.511359697600888"/>
    <n v="4.5977011494252817"/>
    <n v="6.8910625684920337"/>
    <n v="88.064329513235705"/>
    <n v="45.421187514465686"/>
    <n v="11.035555555555554"/>
    <n v="-2.6855555555555544"/>
    <n v="1404"/>
    <n v="15"/>
    <s v="Open ended"/>
    <s v="Nifty India Consumption - TRI"/>
    <n v="5000"/>
    <n v="1000"/>
  </r>
  <r>
    <x v="1404"/>
    <x v="44"/>
    <n v="-0.83"/>
    <n v="10.15"/>
    <n v="8.35"/>
    <n v="2.61"/>
    <n v="50.504833512352306"/>
    <n v="37.096774193548391"/>
    <n v="46.56272147413182"/>
    <n v="44.511359697600888"/>
    <n v="4.5977011494252817"/>
    <n v="6.8910625684920337"/>
    <n v="88.064329513235705"/>
    <n v="45.421187514465686"/>
    <n v="11.035555555555554"/>
    <n v="-2.6855555555555544"/>
    <n v="1404"/>
    <n v="15"/>
    <s v="Open ended"/>
    <s v="Nifty India Consumption - TRI"/>
    <n v="5000"/>
    <n v="1000"/>
  </r>
  <r>
    <x v="1405"/>
    <x v="44"/>
    <n v="8.76"/>
    <n v="11.07"/>
    <n v="7.64"/>
    <n v="2.31"/>
    <n v="71.106337271750803"/>
    <n v="38.675360329444061"/>
    <n v="44.046775336640678"/>
    <n v="47.847263221503717"/>
    <n v="16.09195402298851"/>
    <n v="17.38217600844818"/>
    <n v="69.893188007262964"/>
    <n v="45.419917118314729"/>
    <n v="11.035555555555554"/>
    <n v="-3.3955555555555543"/>
    <n v="1406"/>
    <n v="17"/>
    <s v="Open ended"/>
    <s v="Nifty India Consumption - TRI"/>
    <n v="1000"/>
    <n v="1000"/>
  </r>
  <r>
    <x v="1406"/>
    <x v="38"/>
    <n v="3.96"/>
    <n v="3.46"/>
    <n v="4.0999999999999996"/>
    <n v="1.61"/>
    <n v="60.794844253490865"/>
    <n v="25.617707618393965"/>
    <n v="31.502480510276399"/>
    <n v="35.595521391354566"/>
    <n v="42.911877394636001"/>
    <n v="18.84190395323721"/>
    <n v="67.364865041660266"/>
    <n v="45.366946304751352"/>
    <n v="4.625"/>
    <n v="-0.52500000000000036"/>
    <n v="1407"/>
    <n v="32"/>
    <s v="Open ended"/>
    <s v="NIFTY Composite Debt Index"/>
    <n v="5000"/>
    <n v="1000"/>
  </r>
  <r>
    <x v="1407"/>
    <x v="49"/>
    <n v="4.79"/>
    <n v="2.44"/>
    <n v="5.5"/>
    <n v="1.69"/>
    <n v="62.577873254564985"/>
    <n v="23.867536032944408"/>
    <n v="36.463501063075832"/>
    <n v="37.907585992334234"/>
    <n v="39.846743295019159"/>
    <n v="19.744657411594911"/>
    <n v="65.801250185076213"/>
    <n v="45.365791366190962"/>
    <n v="4.3271875"/>
    <n v="1.1728125"/>
    <n v="1408"/>
    <n v="15"/>
    <s v="Open ended"/>
    <s v="CRISIL Medium to Long Term Debt Index"/>
    <n v="1000"/>
    <n v="1000"/>
  </r>
  <r>
    <x v="1408"/>
    <x v="53"/>
    <n v="5.03"/>
    <n v="3.28"/>
    <n v="4.38"/>
    <n v="1.6"/>
    <n v="63.093447905477973"/>
    <n v="25.308853809196986"/>
    <n v="32.494684620836281"/>
    <n v="36.458688034272832"/>
    <n v="43.295019157088113"/>
    <n v="20.064878228817943"/>
    <n v="65.246611460004701"/>
    <n v="45.364751671409621"/>
    <n v="4.7778125000000005"/>
    <n v="-0.39781250000000057"/>
    <n v="1409"/>
    <n v="19"/>
    <s v="Open ended"/>
    <s v="NIFTY Credit Risk Bond Index"/>
    <n v="1000"/>
    <n v="1000"/>
  </r>
  <r>
    <x v="1409"/>
    <x v="38"/>
    <n v="7.52"/>
    <n v="4.6399999999999997"/>
    <n v="4.6900000000000004"/>
    <n v="1.64"/>
    <n v="68.44253490870031"/>
    <n v="27.642415923129722"/>
    <n v="33.59319631467045"/>
    <n v="38.777829916014205"/>
    <n v="41.762452107279692"/>
    <n v="22.039880130294122"/>
    <n v="61.825807821602815"/>
    <n v="45.285979940227726"/>
    <n v="4.625"/>
    <n v="6.5000000000000391E-2"/>
    <n v="1410"/>
    <n v="33"/>
    <s v="Open ended"/>
    <s v="CRISIL Dynamic Debt Index"/>
    <n v="5000"/>
    <n v="1000"/>
  </r>
  <r>
    <x v="1410"/>
    <x v="38"/>
    <n v="7.52"/>
    <n v="4.6399999999999997"/>
    <n v="4.6900000000000004"/>
    <n v="1.64"/>
    <n v="68.44253490870031"/>
    <n v="27.642415923129722"/>
    <n v="33.59319631467045"/>
    <n v="38.777829916014205"/>
    <n v="41.762452107279692"/>
    <n v="22.039880130294122"/>
    <n v="61.825807821602815"/>
    <n v="45.285979940227726"/>
    <n v="4.625"/>
    <n v="6.5000000000000391E-2"/>
    <n v="1410"/>
    <n v="33"/>
    <s v="Open ended"/>
    <s v="CRISIL Dynamic Debt Index"/>
    <n v="5000"/>
    <n v="1000"/>
  </r>
  <r>
    <x v="1411"/>
    <x v="53"/>
    <n v="5.03"/>
    <n v="3.28"/>
    <n v="4.2699999999999996"/>
    <n v="1.6"/>
    <n v="63.093447905477973"/>
    <n v="25.308853809196986"/>
    <n v="32.104890148830613"/>
    <n v="36.263790798269994"/>
    <n v="43.295019157088113"/>
    <n v="20.141798880220051"/>
    <n v="65.11338098362495"/>
    <n v="45.233995434313265"/>
    <n v="4.7778125000000005"/>
    <n v="-0.50781250000000089"/>
    <n v="1412"/>
    <n v="20"/>
    <s v="Open ended"/>
    <s v="NIFTY Credit Risk Bond Index"/>
    <n v="1000"/>
    <n v="1000"/>
  </r>
  <r>
    <x v="1412"/>
    <x v="38"/>
    <n v="3.96"/>
    <n v="3.46"/>
    <n v="3.98"/>
    <n v="1.61"/>
    <n v="60.794844253490865"/>
    <n v="25.617707618393965"/>
    <n v="31.077250177179305"/>
    <n v="35.382906224806014"/>
    <n v="42.911877394636001"/>
    <n v="18.931336211336188"/>
    <n v="67.209963826797235"/>
    <n v="45.221913417761314"/>
    <n v="4.625"/>
    <n v="-0.64500000000000002"/>
    <n v="1413"/>
    <n v="35"/>
    <s v="Open ended"/>
    <s v="NIFTY Composite Debt Index"/>
    <n v="5000"/>
    <n v="1000"/>
  </r>
  <r>
    <x v="1413"/>
    <x v="7"/>
    <n v="5.94"/>
    <n v="13"/>
    <n v="5.88"/>
    <n v="2.2799999999999998"/>
    <n v="65.048335123523088"/>
    <n v="41.986959505833909"/>
    <n v="37.810063784549961"/>
    <n v="44.510786768729773"/>
    <n v="17.24137931034484"/>
    <n v="14.669679210206302"/>
    <n v="74.591370277185803"/>
    <n v="45.213580781247543"/>
    <n v="8.6526315789473696"/>
    <n v="-2.7726315789473697"/>
    <n v="1414"/>
    <n v="11"/>
    <s v="Open ended"/>
    <s v="Nifty Housing - TRI"/>
    <n v="1000"/>
    <n v="1000"/>
  </r>
  <r>
    <x v="1414"/>
    <x v="30"/>
    <n v="2.66"/>
    <n v="6.3"/>
    <n v="6.51"/>
    <n v="2.12"/>
    <n v="58.002148227712134"/>
    <n v="30.490734385724096"/>
    <n v="40.042523033309706"/>
    <n v="40.768911477914507"/>
    <n v="23.371647509578541"/>
    <n v="13.968194198945277"/>
    <n v="75.806377957437931"/>
    <n v="45.178962105711371"/>
    <n v="6.1480952380952392"/>
    <n v="0.36190476190476062"/>
    <n v="1415"/>
    <n v="31"/>
    <s v="Open ended"/>
    <s v="NIFTY 50 Equity Savings Index"/>
    <n v="5000"/>
    <n v="1000"/>
  </r>
  <r>
    <x v="1415"/>
    <x v="30"/>
    <n v="2.66"/>
    <n v="6.3"/>
    <n v="6.51"/>
    <n v="2.12"/>
    <n v="58.002148227712134"/>
    <n v="30.490734385724096"/>
    <n v="40.042523033309706"/>
    <n v="40.768911477914507"/>
    <n v="23.371647509578541"/>
    <n v="13.968194198945277"/>
    <n v="75.806377957437931"/>
    <n v="45.178962105711371"/>
    <n v="6.1480952380952392"/>
    <n v="0.36190476190476062"/>
    <n v="1415"/>
    <n v="31"/>
    <s v="Open ended"/>
    <s v="NIFTY 50 Equity Savings Index"/>
    <n v="5000"/>
    <n v="1000"/>
  </r>
  <r>
    <x v="1416"/>
    <x v="30"/>
    <n v="2.66"/>
    <n v="6.3"/>
    <n v="6.47"/>
    <n v="2.12"/>
    <n v="58.002148227712134"/>
    <n v="30.490734385724096"/>
    <n v="39.900779588944005"/>
    <n v="40.698039755731656"/>
    <n v="23.371647509578541"/>
    <n v="13.982646321472624"/>
    <n v="75.781346146943349"/>
    <n v="45.1372682919963"/>
    <n v="6.1480952380952392"/>
    <n v="0.32190476190476058"/>
    <n v="1417"/>
    <n v="33"/>
    <s v="Open ended"/>
    <s v="NIFTY 50 Equity Savings Index"/>
    <n v="5000"/>
    <n v="1000"/>
  </r>
  <r>
    <x v="1417"/>
    <x v="15"/>
    <n v="4.68"/>
    <n v="2.64"/>
    <n v="3.48"/>
    <n v="1.49"/>
    <n v="62.341568206229859"/>
    <n v="24.210706932052169"/>
    <n v="29.305457122608075"/>
    <n v="34.384254282165656"/>
    <n v="47.509578544061306"/>
    <n v="20.701464105002135"/>
    <n v="64.144012379072933"/>
    <n v="45.105524871866386"/>
    <n v="5.2086538461538465"/>
    <n v="-1.7286538461538465"/>
    <n v="1418"/>
    <n v="49"/>
    <s v="Open ended"/>
    <s v=""/>
    <n v="1000"/>
    <n v="1000"/>
  </r>
  <r>
    <x v="1418"/>
    <x v="15"/>
    <n v="4.68"/>
    <n v="2.64"/>
    <n v="3.44"/>
    <n v="1.49"/>
    <n v="62.341568206229859"/>
    <n v="24.210706932052169"/>
    <n v="29.163713678242374"/>
    <n v="34.313382559982813"/>
    <n v="47.509578544061306"/>
    <n v="20.733486957169429"/>
    <n v="64.088547172115909"/>
    <n v="45.056222709035708"/>
    <n v="5.2086538461538465"/>
    <n v="-1.7686538461538466"/>
    <n v="1419"/>
    <n v="50"/>
    <s v="Open ended"/>
    <s v=""/>
    <n v="1000"/>
    <n v="1000"/>
  </r>
  <r>
    <x v="1419"/>
    <x v="15"/>
    <n v="4.68"/>
    <n v="2.64"/>
    <n v="3.41"/>
    <n v="1.49"/>
    <n v="62.341568206229859"/>
    <n v="24.210706932052169"/>
    <n v="29.057406094968108"/>
    <n v="34.260228768345677"/>
    <n v="47.509578544061306"/>
    <n v="20.757683403722847"/>
    <n v="64.046637697322751"/>
    <n v="45.019168444518854"/>
    <n v="5.2086538461538465"/>
    <n v="-1.7986538461538464"/>
    <n v="1420"/>
    <n v="51"/>
    <s v="Open ended"/>
    <s v=""/>
    <n v="1000"/>
    <n v="1000"/>
  </r>
  <r>
    <x v="1420"/>
    <x v="53"/>
    <n v="5.03"/>
    <n v="3.28"/>
    <n v="4.08"/>
    <n v="1.6"/>
    <n v="63.093447905477973"/>
    <n v="25.308853809196986"/>
    <n v="31.431608788093545"/>
    <n v="35.927150117901462"/>
    <n v="43.295019157088113"/>
    <n v="20.279857559688175"/>
    <n v="64.874256336360304"/>
    <n v="45.005893932312837"/>
    <n v="4.7778125000000005"/>
    <n v="-0.69781250000000039"/>
    <n v="1421"/>
    <n v="21"/>
    <s v="Open ended"/>
    <s v="NIFTY Credit Risk Bond Index"/>
    <n v="1000"/>
    <n v="1000"/>
  </r>
  <r>
    <x v="1421"/>
    <x v="12"/>
    <n v="2.02"/>
    <n v="9.57"/>
    <n v="6.71"/>
    <n v="2.38"/>
    <n v="56.627282491944143"/>
    <n v="36.101578586135901"/>
    <n v="40.7512402551382"/>
    <n v="42.531550201798701"/>
    <n v="13.409961685823756"/>
    <n v="10.762377305300992"/>
    <n v="81.359015696992458"/>
    <n v="44.958019446603402"/>
    <n v="9.219019607843137"/>
    <n v="-2.509019607843137"/>
    <n v="1422"/>
    <n v="44"/>
    <s v="Open ended"/>
    <s v="CRISIL Hybrid 35+65 - Aggressive Index"/>
    <n v="5000"/>
    <n v="1000"/>
  </r>
  <r>
    <x v="1422"/>
    <x v="15"/>
    <n v="3.91"/>
    <n v="2.23"/>
    <n v="3.32"/>
    <n v="1.49"/>
    <n v="60.687432867883992"/>
    <n v="23.507206588881267"/>
    <n v="28.738483345145283"/>
    <n v="33.558890222813822"/>
    <n v="47.509578544061306"/>
    <n v="20.126561464331072"/>
    <n v="65.139772962120716"/>
    <n v="44.941782987952422"/>
    <n v="5.2086538461538465"/>
    <n v="-1.8886538461538467"/>
    <n v="1423"/>
    <n v="52"/>
    <s v="Open ended"/>
    <s v=""/>
    <n v="1000"/>
    <n v="1000"/>
  </r>
  <r>
    <x v="1423"/>
    <x v="7"/>
    <n v="5.86"/>
    <n v="13.23"/>
    <n v="7.08"/>
    <n v="2.5"/>
    <n v="64.876476906552099"/>
    <n v="42.381606039807828"/>
    <n v="42.062367115520907"/>
    <n v="46.720960751013223"/>
    <n v="8.812260536398453"/>
    <n v="13.080550028952054"/>
    <n v="77.343822758908487"/>
    <n v="44.899501199333343"/>
    <n v="8.6526315789473696"/>
    <n v="-1.5726315789473695"/>
    <n v="1424"/>
    <n v="12"/>
    <s v="Open ended"/>
    <s v="NIFTY 500 - TRI"/>
    <n v="5000"/>
    <n v="1000"/>
  </r>
  <r>
    <x v="1424"/>
    <x v="48"/>
    <n v="3.39"/>
    <n v="2.5499999999999998"/>
    <n v="3.87"/>
    <n v="1.6"/>
    <n v="59.570354457572506"/>
    <n v="24.056280027453674"/>
    <n v="30.687455705173633"/>
    <n v="34.474682752337422"/>
    <n v="43.295019157088113"/>
    <n v="18.883166285690056"/>
    <n v="67.293396585413149"/>
    <n v="44.884445311794025"/>
    <n v="3.5597297297297299"/>
    <n v="0.31027027027027021"/>
    <n v="1425"/>
    <n v="25"/>
    <s v="Open ended"/>
    <s v="NIFTY Medium Duration Debt Index"/>
    <n v="5000"/>
    <n v="1000"/>
  </r>
  <r>
    <x v="1425"/>
    <x v="38"/>
    <n v="4.2699999999999996"/>
    <n v="1.88"/>
    <n v="3.59"/>
    <n v="1.5"/>
    <n v="61.460794844253485"/>
    <n v="22.906657515442692"/>
    <n v="29.695251594613747"/>
    <n v="34.011782020790378"/>
    <n v="47.126436781609193"/>
    <n v="20.581368000715642"/>
    <n v="64.352024933488224"/>
    <n v="44.875506439169541"/>
    <n v="4.625"/>
    <n v="-1.0350000000000001"/>
    <n v="1426"/>
    <n v="36"/>
    <s v="Open ended"/>
    <s v="CRISIL Dynamic Debt Index"/>
    <n v="1000"/>
    <n v="1000"/>
  </r>
  <r>
    <x v="1426"/>
    <x v="38"/>
    <n v="4.28"/>
    <n v="1.88"/>
    <n v="3.59"/>
    <n v="1.5"/>
    <n v="61.482277121374864"/>
    <n v="22.906657515442692"/>
    <n v="29.695251594613747"/>
    <n v="34.016078476214659"/>
    <n v="47.126436781609193"/>
    <n v="20.593601066805103"/>
    <n v="64.330836641488929"/>
    <n v="44.872357593881858"/>
    <n v="4.625"/>
    <n v="-1.0350000000000001"/>
    <n v="1427"/>
    <n v="37"/>
    <s v="Open ended"/>
    <s v="CRISIL Dynamic Debt Index"/>
    <n v="1000"/>
    <n v="1000"/>
  </r>
  <r>
    <x v="1427"/>
    <x v="30"/>
    <n v="1.64"/>
    <n v="9.74"/>
    <n v="7.45"/>
    <n v="2.5"/>
    <n v="55.810955961331899"/>
    <n v="36.393273850377497"/>
    <n v="43.373493975903607"/>
    <n v="43.766920335331434"/>
    <n v="8.812260536398453"/>
    <n v="9.8358215400125761"/>
    <n v="82.963857358517856"/>
    <n v="44.827489641394791"/>
    <n v="6.1480952380952392"/>
    <n v="1.301904761904761"/>
    <n v="1428"/>
    <n v="34"/>
    <s v="Open ended"/>
    <s v="NIFTY 50 Equity Savings Index - TRI"/>
    <n v="1000"/>
    <n v="1000"/>
  </r>
  <r>
    <x v="1428"/>
    <x v="44"/>
    <n v="8.76"/>
    <n v="10.98"/>
    <n v="7.18"/>
    <n v="2.31"/>
    <n v="71.106337271750803"/>
    <n v="38.52093342484558"/>
    <n v="42.416725726435153"/>
    <n v="46.985910345021409"/>
    <n v="16.09195402298851"/>
    <n v="17.795502953200188"/>
    <n v="69.177284738815274"/>
    <n v="44.810264862961652"/>
    <n v="11.035555555555554"/>
    <n v="-3.8555555555555543"/>
    <n v="1429"/>
    <n v="18"/>
    <s v="Open ended"/>
    <s v="Nifty India Consumption - TRI"/>
    <n v="1000"/>
    <n v="1000"/>
  </r>
  <r>
    <x v="1429"/>
    <x v="30"/>
    <n v="1.66"/>
    <n v="9.75"/>
    <n v="7.43"/>
    <n v="2.5"/>
    <n v="55.85392051557465"/>
    <n v="36.410432395332883"/>
    <n v="43.302622253720763"/>
    <n v="43.745224948575178"/>
    <n v="8.812260536398453"/>
    <n v="9.8580474688116606"/>
    <n v="82.925360920592439"/>
    <n v="44.807017838535316"/>
    <n v="6.1480952380952392"/>
    <n v="1.2819047619047605"/>
    <n v="1430"/>
    <n v="35"/>
    <s v="Open ended"/>
    <s v="NIFTY 50 Equity Savings Index - TRI"/>
    <n v="1000"/>
    <n v="1000"/>
  </r>
  <r>
    <x v="1430"/>
    <x v="53"/>
    <n v="5.41"/>
    <n v="3.59"/>
    <n v="4.29"/>
    <n v="1.66"/>
    <n v="63.909774436090231"/>
    <n v="25.840768702814003"/>
    <n v="32.175761871013464"/>
    <n v="36.622066433568982"/>
    <n v="40.996168582375468"/>
    <n v="20.397830315345644"/>
    <n v="64.669921529652655"/>
    <n v="44.727555744791516"/>
    <n v="4.7778125000000005"/>
    <n v="-0.48781250000000043"/>
    <n v="1431"/>
    <n v="22"/>
    <s v="Open ended"/>
    <s v="NIFTY Credit Risk Bond Index"/>
    <n v="5000"/>
    <n v="1000"/>
  </r>
  <r>
    <x v="1431"/>
    <x v="50"/>
    <n v="5.93"/>
    <n v="2.48"/>
    <n v="4.17"/>
    <n v="1.57"/>
    <n v="65.026852846401724"/>
    <n v="23.936170212765962"/>
    <n v="31.75053153791637"/>
    <n v="36.061487402068316"/>
    <n v="44.444444444444443"/>
    <n v="21.820563703548611"/>
    <n v="62.205675015660496"/>
    <n v="44.693273566060391"/>
    <n v="4.3111111111111109"/>
    <n v="-0.14111111111111097"/>
    <n v="1432"/>
    <n v="38"/>
    <s v="Open ended"/>
    <s v="CRISIL Dynamic Gilt Index"/>
    <n v="5000"/>
    <n v="1000"/>
  </r>
  <r>
    <x v="1432"/>
    <x v="36"/>
    <n v="1.31"/>
    <n v="7.36"/>
    <n v="6"/>
    <n v="2.2200000000000002"/>
    <n v="55.102040816326522"/>
    <n v="32.309540150995197"/>
    <n v="38.235294117647058"/>
    <n v="39.830917267387392"/>
    <n v="19.540229885057457"/>
    <n v="11.825817736699603"/>
    <n v="79.517082838987108"/>
    <n v="44.67978681470484"/>
    <n v="5.7759259259259252"/>
    <n v="0.22407407407407476"/>
    <n v="1433"/>
    <n v="28"/>
    <s v="Open ended"/>
    <s v=""/>
    <n v="1000"/>
    <n v="1000"/>
  </r>
  <r>
    <x v="1433"/>
    <x v="40"/>
    <n v="4.79"/>
    <n v="7.99"/>
    <n v="5.89"/>
    <n v="2.13"/>
    <n v="62.577873254564985"/>
    <n v="33.390528483184632"/>
    <n v="37.845499645641389"/>
    <n v="41.45548301868908"/>
    <n v="22.988505747126432"/>
    <n v="15.723857495290003"/>
    <n v="72.765479927184998"/>
    <n v="44.666237927922396"/>
    <n v="6.6483333333333334"/>
    <n v="-0.75833333333333375"/>
    <n v="1434"/>
    <n v="6"/>
    <s v="Open ended"/>
    <s v="NIFTY 50 Hybrid Composite Debt 50:50 Index"/>
    <n v="1000"/>
    <n v="1000"/>
  </r>
  <r>
    <x v="1434"/>
    <x v="51"/>
    <n v="5.04"/>
    <n v="8.1199999999999992"/>
    <n v="9.0500000000000007"/>
    <n v="2.48"/>
    <n v="63.114930182599352"/>
    <n v="33.613589567604677"/>
    <n v="49.043231750531532"/>
    <n v="47.228678782067036"/>
    <n v="9.578544061302674"/>
    <n v="14.755878222695694"/>
    <n v="74.442069207991921"/>
    <n v="44.619492708357171"/>
    <n v="8.7813636363636363"/>
    <n v="0.26863636363636445"/>
    <n v="1435"/>
    <n v="15"/>
    <s v="Open ended"/>
    <s v="Nifty Financial Services - TRI"/>
    <n v="1000"/>
    <n v="1000"/>
  </r>
  <r>
    <x v="1435"/>
    <x v="53"/>
    <n v="5.41"/>
    <n v="3.59"/>
    <n v="4.2"/>
    <n v="1.66"/>
    <n v="63.909774436090231"/>
    <n v="25.840768702814003"/>
    <n v="31.856839121190646"/>
    <n v="36.462605058657573"/>
    <n v="40.996168582375468"/>
    <n v="20.464737815326071"/>
    <n v="64.554034340279145"/>
    <n v="44.618853259992441"/>
    <n v="4.7778125000000005"/>
    <n v="-0.57781250000000028"/>
    <n v="1436"/>
    <n v="23"/>
    <s v="Open ended"/>
    <s v="NIFTY Credit Risk Bond Index"/>
    <n v="5000"/>
    <n v="1000"/>
  </r>
  <r>
    <x v="1436"/>
    <x v="53"/>
    <n v="5.03"/>
    <n v="3.28"/>
    <n v="3.72"/>
    <n v="1.6"/>
    <n v="63.093447905477973"/>
    <n v="25.308853809196986"/>
    <n v="30.155917788802267"/>
    <n v="35.289304618255827"/>
    <n v="43.295019157088113"/>
    <n v="20.559063169439483"/>
    <n v="64.390658034512782"/>
    <n v="44.566071607028135"/>
    <n v="4.7778125000000005"/>
    <n v="-1.0578125000000003"/>
    <n v="1437"/>
    <n v="24"/>
    <s v="Open ended"/>
    <s v="NIFTY Credit Risk Bond Index"/>
    <n v="1000"/>
    <n v="1000"/>
  </r>
  <r>
    <x v="1437"/>
    <x v="12"/>
    <n v="5.7"/>
    <n v="9.08"/>
    <n v="4.9800000000000004"/>
    <n v="2.0499999999999998"/>
    <n v="64.532760472610093"/>
    <n v="35.260809883321897"/>
    <n v="34.620836286321754"/>
    <n v="40.795213202679463"/>
    <n v="26.053639846743295"/>
    <n v="17.087909302744091"/>
    <n v="70.40287289251836"/>
    <n v="44.511734786155145"/>
    <n v="9.219019607843137"/>
    <n v="-4.2390196078431366"/>
    <n v="1438"/>
    <n v="45"/>
    <s v="Open ended"/>
    <s v="CRISIL Hybrid 35+65 - Aggressive Index"/>
    <n v="1000"/>
    <n v="1000"/>
  </r>
  <r>
    <x v="1438"/>
    <x v="7"/>
    <n v="5.85"/>
    <n v="13.22"/>
    <n v="6.77"/>
    <n v="2.5"/>
    <n v="64.85499462943072"/>
    <n v="42.364447494852442"/>
    <n v="40.963855421686745"/>
    <n v="46.162260885185248"/>
    <n v="8.812260536398453"/>
    <n v="13.407540796208075"/>
    <n v="76.777458136415135"/>
    <n v="44.478560110796025"/>
    <n v="8.6526315789473696"/>
    <n v="-1.88263157894737"/>
    <n v="1439"/>
    <n v="13"/>
    <s v="Open ended"/>
    <s v="NIFTY 500 - TRI"/>
    <n v="5000"/>
    <n v="1000"/>
  </r>
  <r>
    <x v="1439"/>
    <x v="37"/>
    <n v="4.5999999999999996"/>
    <n v="6.91"/>
    <n v="6.4"/>
    <n v="2.16"/>
    <n v="62.169709989258862"/>
    <n v="31.537405628002752"/>
    <n v="39.652728561304038"/>
    <n v="41.721527966904617"/>
    <n v="21.839080459770098"/>
    <n v="15.870365409672932"/>
    <n v="72.511720775762825"/>
    <n v="44.448464292335544"/>
    <n v="7.1099999999999994"/>
    <n v="-0.70999999999999908"/>
    <n v="1440"/>
    <n v="7"/>
    <s v="Open ended"/>
    <s v="NIFTY 50 Hybrid Composite Debt 15:85 Index"/>
    <n v="1000"/>
    <n v="1000"/>
  </r>
  <r>
    <x v="1440"/>
    <x v="50"/>
    <n v="5.93"/>
    <n v="2.48"/>
    <n v="3.96"/>
    <n v="1.57"/>
    <n v="65.026852846401724"/>
    <n v="23.936170212765962"/>
    <n v="31.006378454996451"/>
    <n v="35.689410860608362"/>
    <n v="44.444444444444443"/>
    <n v="21.969011211639838"/>
    <n v="61.948556389389495"/>
    <n v="44.442955638762669"/>
    <n v="4.3111111111111109"/>
    <n v="-0.35111111111111093"/>
    <n v="1441"/>
    <n v="39"/>
    <s v="Open ended"/>
    <s v="CRISIL Dynamic Gilt Index"/>
    <n v="5000"/>
    <n v="1000"/>
  </r>
  <r>
    <x v="1441"/>
    <x v="51"/>
    <n v="5.04"/>
    <n v="8.1199999999999992"/>
    <n v="8.81"/>
    <n v="2.48"/>
    <n v="63.114930182599352"/>
    <n v="33.613589567604677"/>
    <n v="48.192771084337352"/>
    <n v="46.803448448969945"/>
    <n v="9.578544061302674"/>
    <n v="14.751002587019959"/>
    <n v="74.450514056701479"/>
    <n v="44.408988753986009"/>
    <n v="8.7813636363636363"/>
    <n v="2.8636363636364237E-2"/>
    <n v="1442"/>
    <n v="16"/>
    <s v="Open ended"/>
    <s v="Nifty Financial Services - TRI"/>
    <n v="1000"/>
    <n v="1000"/>
  </r>
  <r>
    <x v="1442"/>
    <x v="38"/>
    <n v="3.92"/>
    <n v="2.92"/>
    <n v="3.69"/>
    <n v="1.63"/>
    <n v="60.708915145005371"/>
    <n v="24.691146190803025"/>
    <n v="30.049610205527987"/>
    <n v="34.573931989005978"/>
    <n v="42.145593869731798"/>
    <n v="19.43358688974352"/>
    <n v="66.340040133659784"/>
    <n v="44.408374495350884"/>
    <n v="4.625"/>
    <n v="-0.93500000000000005"/>
    <n v="1443"/>
    <n v="38"/>
    <s v="Open ended"/>
    <s v="CRISIL Dynamic Debt Index"/>
    <n v="5000"/>
    <n v="1000"/>
  </r>
  <r>
    <x v="1443"/>
    <x v="18"/>
    <n v="13.73"/>
    <n v="9.92"/>
    <n v="7.07"/>
    <n v="2.12"/>
    <n v="81.783029001074098"/>
    <n v="36.702127659574465"/>
    <n v="42.026931254429478"/>
    <n v="48.380709725301898"/>
    <n v="23.371647509578541"/>
    <n v="24.63462504662413"/>
    <n v="57.331577793838186"/>
    <n v="44.366161188505131"/>
    <n v="6.9120588235294118"/>
    <n v="0.15794117647058847"/>
    <n v="1444"/>
    <n v="23"/>
    <s v="Open ended"/>
    <s v=""/>
    <n v="1000"/>
    <n v="1000"/>
  </r>
  <r>
    <x v="1444"/>
    <x v="18"/>
    <n v="13.73"/>
    <n v="9.92"/>
    <n v="7.07"/>
    <n v="2.12"/>
    <n v="81.783029001074098"/>
    <n v="36.702127659574465"/>
    <n v="42.026931254429478"/>
    <n v="48.380709725301898"/>
    <n v="23.371647509578541"/>
    <n v="24.63462504662413"/>
    <n v="57.331577793838186"/>
    <n v="44.366161188505131"/>
    <n v="6.9120588235294118"/>
    <n v="0.15794117647058847"/>
    <n v="1444"/>
    <n v="23"/>
    <s v="Open ended"/>
    <s v=""/>
    <n v="1000"/>
    <n v="1000"/>
  </r>
  <r>
    <x v="1445"/>
    <x v="7"/>
    <n v="-0.94"/>
    <n v="12.76"/>
    <n v="5.62"/>
    <n v="2.54"/>
    <n v="50.26852846401718"/>
    <n v="41.575154426904604"/>
    <n v="36.888731396172922"/>
    <n v="40.970617718961279"/>
    <n v="7.2796934865900331"/>
    <n v="6.7891614915344922"/>
    <n v="88.240827355872156"/>
    <n v="44.365439070096187"/>
    <n v="8.6526315789473696"/>
    <n v="-3.0326315789473695"/>
    <n v="1446"/>
    <n v="14"/>
    <s v="Open ended"/>
    <s v="S&amp;P BSE India Manufacturing Index - TRI"/>
    <n v="1000"/>
    <n v="1000"/>
  </r>
  <r>
    <x v="1446"/>
    <x v="36"/>
    <n v="0.67"/>
    <n v="5.82"/>
    <n v="5.98"/>
    <n v="2.1800000000000002"/>
    <n v="53.727175080558531"/>
    <n v="29.667124227865482"/>
    <n v="38.164422395464207"/>
    <n v="38.727783482203449"/>
    <n v="21.072796934865899"/>
    <n v="12.201703394203223"/>
    <n v="78.866029782354389"/>
    <n v="44.348598420406795"/>
    <n v="5.7759259259259252"/>
    <n v="0.20407407407407518"/>
    <n v="1447"/>
    <n v="29"/>
    <s v="Open ended"/>
    <s v="CRISIL Hybrid 85+15 - Conservative Index"/>
    <n v="5000"/>
    <n v="1000"/>
  </r>
  <r>
    <x v="1447"/>
    <x v="53"/>
    <n v="5.54"/>
    <n v="3.81"/>
    <n v="3.53"/>
    <n v="1.61"/>
    <n v="64.189044038668101"/>
    <n v="26.218256691832536"/>
    <n v="29.482636428065202"/>
    <n v="35.444604029315983"/>
    <n v="42.911877394636001"/>
    <n v="21.043493040344835"/>
    <n v="63.551600885400674"/>
    <n v="44.338171584667165"/>
    <n v="4.7778125000000005"/>
    <n v="-1.2478125000000007"/>
    <n v="1448"/>
    <n v="25"/>
    <s v="Open ended"/>
    <s v="NIFTY Credit Risk Bond Index"/>
    <n v="1000"/>
    <n v="1000"/>
  </r>
  <r>
    <x v="1448"/>
    <x v="53"/>
    <n v="5.54"/>
    <n v="3.81"/>
    <n v="3.53"/>
    <n v="1.61"/>
    <n v="64.189044038668101"/>
    <n v="26.218256691832536"/>
    <n v="29.482636428065202"/>
    <n v="35.444604029315983"/>
    <n v="42.911877394636001"/>
    <n v="21.043493040344835"/>
    <n v="63.551600885400674"/>
    <n v="44.338171584667165"/>
    <n v="4.7778125000000005"/>
    <n v="-1.2478125000000007"/>
    <n v="1448"/>
    <n v="25"/>
    <s v="Open ended"/>
    <s v="NIFTY Credit Risk Bond Index"/>
    <n v="1000"/>
    <n v="1000"/>
  </r>
  <r>
    <x v="1449"/>
    <x v="38"/>
    <n v="3.48"/>
    <n v="1.01"/>
    <n v="4.32"/>
    <n v="1.62"/>
    <n v="59.763694951664867"/>
    <n v="21.413864104323956"/>
    <n v="32.282069454287736"/>
    <n v="34.517932948774032"/>
    <n v="42.52873563218391"/>
    <n v="19.765572567500335"/>
    <n v="65.765024072399797"/>
    <n v="44.332406400532946"/>
    <n v="4.625"/>
    <n v="-0.30499999999999972"/>
    <n v="1450"/>
    <n v="39"/>
    <s v="Open ended"/>
    <s v="NIFTY Composite Debt Index"/>
    <n v="1000"/>
    <n v="1000"/>
  </r>
  <r>
    <x v="1450"/>
    <x v="12"/>
    <n v="5.7"/>
    <n v="9.08"/>
    <n v="4.84"/>
    <n v="2.0499999999999998"/>
    <n v="64.532760472610093"/>
    <n v="35.260809883321897"/>
    <n v="34.124734231041806"/>
    <n v="40.547162175039489"/>
    <n v="26.053639846743295"/>
    <n v="17.237487341534337"/>
    <n v="70.143796129637153"/>
    <n v="44.32294008161486"/>
    <n v="9.219019607843137"/>
    <n v="-4.3790196078431372"/>
    <n v="1451"/>
    <n v="46"/>
    <s v="Open ended"/>
    <s v="CRISIL Hybrid 35+65 - Aggressive Index"/>
    <n v="1000"/>
    <n v="1000"/>
  </r>
  <r>
    <x v="1451"/>
    <x v="12"/>
    <n v="5.7"/>
    <n v="9.08"/>
    <n v="4.84"/>
    <n v="2.0499999999999998"/>
    <n v="64.532760472610093"/>
    <n v="35.260809883321897"/>
    <n v="34.124734231041806"/>
    <n v="40.547162175039489"/>
    <n v="26.053639846743295"/>
    <n v="17.237487341534337"/>
    <n v="70.143796129637153"/>
    <n v="44.32294008161486"/>
    <n v="9.219019607843137"/>
    <n v="-4.3790196078431372"/>
    <n v="1451"/>
    <n v="46"/>
    <s v="Open ended"/>
    <s v="CRISIL Hybrid 35+65 - Aggressive Index"/>
    <n v="1000"/>
    <n v="1000"/>
  </r>
  <r>
    <x v="1452"/>
    <x v="38"/>
    <n v="4.83"/>
    <n v="2.34"/>
    <n v="5.51"/>
    <n v="1.8"/>
    <n v="62.663802363050479"/>
    <n v="23.69595058339053"/>
    <n v="36.498936924167261"/>
    <n v="37.891014109710881"/>
    <n v="35.632183908045967"/>
    <n v="19.862066504598356"/>
    <n v="65.597891670723669"/>
    <n v="44.253025949547848"/>
    <n v="4.625"/>
    <n v="0.88499999999999979"/>
    <n v="1453"/>
    <n v="40"/>
    <s v="Open ended"/>
    <s v="CRISIL Dynamic Debt Index"/>
    <n v="1000"/>
    <n v="1000"/>
  </r>
  <r>
    <x v="1453"/>
    <x v="36"/>
    <n v="0.67"/>
    <n v="5.82"/>
    <n v="5.86"/>
    <n v="2.1800000000000002"/>
    <n v="53.727175080558531"/>
    <n v="29.667124227865482"/>
    <n v="37.73919206236711"/>
    <n v="38.515168315654904"/>
    <n v="21.072796934865899"/>
    <n v="12.245134592624591"/>
    <n v="78.79080474005498"/>
    <n v="44.223484576557667"/>
    <n v="5.7759259259259252"/>
    <n v="8.4074074074075078E-2"/>
    <n v="1454"/>
    <n v="30"/>
    <s v="Open ended"/>
    <s v="CRISIL Hybrid 85+15 - Conservative Index"/>
    <n v="5000"/>
    <n v="1000"/>
  </r>
  <r>
    <x v="1454"/>
    <x v="50"/>
    <n v="3.69"/>
    <n v="3.04"/>
    <n v="3.97"/>
    <n v="1.7"/>
    <n v="60.214822771213747"/>
    <n v="24.897048730267677"/>
    <n v="31.04181431608788"/>
    <n v="35.032986331366992"/>
    <n v="39.463601532567047"/>
    <n v="18.868703053976486"/>
    <n v="67.318447637582693"/>
    <n v="44.212005458220929"/>
    <n v="4.3111111111111109"/>
    <n v="-0.3411111111111107"/>
    <n v="1455"/>
    <n v="40"/>
    <s v="Open ended"/>
    <s v="Nifty All Duration G-Sec Index"/>
    <n v="5000"/>
    <n v="1000"/>
  </r>
  <r>
    <x v="1455"/>
    <x v="7"/>
    <n v="-10.97"/>
    <n v="19.2"/>
    <n v="9.42"/>
    <n v="2.57"/>
    <n v="28.721804511278194"/>
    <n v="52.625257378174339"/>
    <n v="50.35435861091424"/>
    <n v="46.709117421165061"/>
    <n v="6.1302681992337238"/>
    <n v="13.194060766400094"/>
    <n v="77.147216394443873"/>
    <n v="44.17392985900193"/>
    <n v="8.6526315789473696"/>
    <n v="0.76736842105263037"/>
    <n v="1456"/>
    <n v="15"/>
    <s v="Open ended"/>
    <s v="NIFTY COMMODITIES - TRI"/>
    <n v="5000"/>
    <n v="1000"/>
  </r>
  <r>
    <x v="1456"/>
    <x v="7"/>
    <n v="-10.97"/>
    <n v="19.2"/>
    <n v="9.42"/>
    <n v="2.57"/>
    <n v="28.721804511278194"/>
    <n v="52.625257378174339"/>
    <n v="50.35435861091424"/>
    <n v="46.709117421165061"/>
    <n v="6.1302681992337238"/>
    <n v="13.194060766400094"/>
    <n v="77.147216394443873"/>
    <n v="44.17392985900193"/>
    <n v="8.6526315789473696"/>
    <n v="0.76736842105263037"/>
    <n v="1456"/>
    <n v="15"/>
    <s v="Open ended"/>
    <s v="NIFTY COMMODITIES - TRI"/>
    <n v="5000"/>
    <n v="1000"/>
  </r>
  <r>
    <x v="1457"/>
    <x v="30"/>
    <n v="0.64"/>
    <n v="6.47"/>
    <n v="5.99"/>
    <n v="2.2400000000000002"/>
    <n v="53.662728249194416"/>
    <n v="30.782429649965685"/>
    <n v="38.199858256555629"/>
    <n v="39.067203673106405"/>
    <n v="18.773946360153239"/>
    <n v="11.673521744622001"/>
    <n v="79.780867235054615"/>
    <n v="44.172305235355168"/>
    <n v="6.1480952380952392"/>
    <n v="-0.15809523809523895"/>
    <n v="1458"/>
    <n v="36"/>
    <s v="Open ended"/>
    <s v="NIFTY 50 Equity Savings Index - TRI"/>
    <n v="1000"/>
    <n v="1000"/>
  </r>
  <r>
    <x v="1458"/>
    <x v="50"/>
    <n v="4.1900000000000004"/>
    <n v="3.41"/>
    <n v="4.04"/>
    <n v="1.72"/>
    <n v="61.288936627282489"/>
    <n v="25.531914893617024"/>
    <n v="31.28986534372785"/>
    <n v="35.562294465405529"/>
    <n v="38.69731800766283"/>
    <n v="19.199231210839098"/>
    <n v="66.745956076564539"/>
    <n v="44.141965753759607"/>
    <n v="4.3111111111111109"/>
    <n v="-0.27111111111111086"/>
    <n v="1459"/>
    <n v="41"/>
    <s v="Open ended"/>
    <s v="CRISIL Dynamic Gilt Index"/>
    <n v="5000"/>
    <n v="1000"/>
  </r>
  <r>
    <x v="1459"/>
    <x v="30"/>
    <n v="0.56999999999999995"/>
    <n v="6.44"/>
    <n v="5.9"/>
    <n v="2.2400000000000002"/>
    <n v="53.512352309344791"/>
    <n v="30.73095401509952"/>
    <n v="37.880935506732818"/>
    <n v="38.862224419765226"/>
    <n v="18.773946360153239"/>
    <n v="11.650862162866748"/>
    <n v="79.820114781932972"/>
    <n v="44.079627495404168"/>
    <n v="6.1480952380952392"/>
    <n v="-0.24809523809523881"/>
    <n v="1460"/>
    <n v="37"/>
    <s v="Open ended"/>
    <s v="NIFTY 50 Equity Savings Index - TRI"/>
    <n v="1000"/>
    <n v="1000"/>
  </r>
  <r>
    <x v="1460"/>
    <x v="6"/>
    <n v="0.08"/>
    <n v="12.47"/>
    <n v="4.2300000000000004"/>
    <n v="2.2999999999999998"/>
    <n v="52.459720730397422"/>
    <n v="41.077556623198355"/>
    <n v="31.963146704464918"/>
    <n v="38.796784485271452"/>
    <n v="16.475095785440619"/>
    <n v="10.269174542698552"/>
    <n v="82.213267940253218"/>
    <n v="44.070483174059184"/>
    <n v="9.0435999999999996"/>
    <n v="-4.8135999999999992"/>
    <n v="1461"/>
    <n v="22"/>
    <s v="Open ended"/>
    <s v="NIFTY500 Value 50 - TRI"/>
    <n v="1000"/>
    <n v="1000"/>
  </r>
  <r>
    <x v="1461"/>
    <x v="6"/>
    <n v="0.08"/>
    <n v="12.46"/>
    <n v="4.2300000000000004"/>
    <n v="2.2999999999999998"/>
    <n v="52.459720730397422"/>
    <n v="41.060398078242969"/>
    <n v="31.963146704464918"/>
    <n v="38.791636921784836"/>
    <n v="16.475095785440619"/>
    <n v="10.26981082498731"/>
    <n v="82.212165867001133"/>
    <n v="44.067633874002851"/>
    <n v="9.0435999999999996"/>
    <n v="-4.8135999999999992"/>
    <n v="1462"/>
    <n v="23"/>
    <s v="Open ended"/>
    <s v="NIFTY500 Value 50 - TRI"/>
    <n v="1000"/>
    <n v="1000"/>
  </r>
  <r>
    <x v="1462"/>
    <x v="38"/>
    <n v="3.48"/>
    <n v="1.01"/>
    <n v="4.07"/>
    <n v="1.62"/>
    <n v="59.763694951664867"/>
    <n v="21.413864104323956"/>
    <n v="31.396172927002127"/>
    <n v="34.074984685131227"/>
    <n v="42.52873563218391"/>
    <n v="19.895863562018381"/>
    <n v="65.539353450125873"/>
    <n v="44.054514613143056"/>
    <n v="4.625"/>
    <n v="-0.55499999999999972"/>
    <n v="1463"/>
    <n v="41"/>
    <s v="Open ended"/>
    <s v="NIFTY Composite Debt Index"/>
    <n v="1000"/>
    <n v="1000"/>
  </r>
  <r>
    <x v="1463"/>
    <x v="38"/>
    <n v="4.83"/>
    <n v="2.34"/>
    <n v="5.32"/>
    <n v="1.8"/>
    <n v="62.663802363050479"/>
    <n v="23.69595058339053"/>
    <n v="35.825655563430189"/>
    <n v="37.554373429342348"/>
    <n v="35.632183908045967"/>
    <n v="19.941202483226846"/>
    <n v="65.460824135032439"/>
    <n v="44.05043872544077"/>
    <n v="4.625"/>
    <n v="0.69500000000000028"/>
    <n v="1464"/>
    <n v="42"/>
    <s v="Open ended"/>
    <s v="CRISIL Dynamic Debt Index"/>
    <n v="1000"/>
    <n v="1000"/>
  </r>
  <r>
    <x v="1464"/>
    <x v="37"/>
    <n v="2.59"/>
    <n v="4.99"/>
    <n v="6.14"/>
    <n v="2.12"/>
    <n v="57.851772287862516"/>
    <n v="28.242964996568297"/>
    <n v="38.731396172926999"/>
    <n v="39.408942043006491"/>
    <n v="23.371647509578541"/>
    <n v="15.012647115742157"/>
    <n v="73.997332439432228"/>
    <n v="44.046716008755936"/>
    <n v="7.1099999999999994"/>
    <n v="-0.96999999999999975"/>
    <n v="1465"/>
    <n v="8"/>
    <s v="Open ended"/>
    <s v="CRISIL Hybrid 85+15 - Conservative Index"/>
    <n v="1000"/>
    <n v="1000"/>
  </r>
  <r>
    <x v="1465"/>
    <x v="37"/>
    <n v="2.59"/>
    <n v="4.99"/>
    <n v="6.13"/>
    <n v="2.12"/>
    <n v="57.851772287862516"/>
    <n v="28.242964996568297"/>
    <n v="38.695960311835577"/>
    <n v="39.391224112460783"/>
    <n v="23.371647509578541"/>
    <n v="15.016056477067554"/>
    <n v="73.991427252395269"/>
    <n v="44.036380746723843"/>
    <n v="7.1099999999999994"/>
    <n v="-0.97999999999999954"/>
    <n v="1466"/>
    <n v="9"/>
    <s v="Open ended"/>
    <s v="CRISIL Hybrid 85+15 - Conservative Index"/>
    <n v="1000"/>
    <n v="1000"/>
  </r>
  <r>
    <x v="1466"/>
    <x v="7"/>
    <n v="-0.92"/>
    <n v="12.47"/>
    <n v="5.47"/>
    <n v="2.54"/>
    <n v="50.311493018259931"/>
    <n v="41.077556623198355"/>
    <n v="36.357193479801552"/>
    <n v="40.564162330512268"/>
    <n v="7.2796934865900331"/>
    <n v="7.0977682544421601"/>
    <n v="87.706304762956719"/>
    <n v="44.028580727642819"/>
    <n v="8.6526315789473696"/>
    <n v="-3.1826315789473698"/>
    <n v="1467"/>
    <n v="17"/>
    <s v="Open ended"/>
    <s v="S&amp;P BSE India Manufacturing Index - TRI"/>
    <n v="1000"/>
    <n v="1000"/>
  </r>
  <r>
    <x v="1467"/>
    <x v="53"/>
    <n v="5.41"/>
    <n v="3.6"/>
    <n v="3.69"/>
    <n v="1.66"/>
    <n v="63.909774436090231"/>
    <n v="25.857927247769393"/>
    <n v="30.049610205527987"/>
    <n v="35.564138164312858"/>
    <n v="40.996168582375468"/>
    <n v="20.86473900380868"/>
    <n v="63.861211958739325"/>
    <n v="43.996414217435124"/>
    <n v="4.7778125000000005"/>
    <n v="-1.0878125000000005"/>
    <n v="1468"/>
    <n v="27"/>
    <s v="Open ended"/>
    <s v="NIFTY Credit Risk Bond Index"/>
    <n v="5000"/>
    <n v="1000"/>
  </r>
  <r>
    <x v="1468"/>
    <x v="50"/>
    <n v="3.68"/>
    <n v="3.04"/>
    <n v="3.78"/>
    <n v="1.7"/>
    <n v="60.193340494092375"/>
    <n v="24.897048730267677"/>
    <n v="30.368532955350812"/>
    <n v="34.692049195574185"/>
    <n v="39.463601532567047"/>
    <n v="18.996861568100087"/>
    <n v="67.096470579698078"/>
    <n v="43.986042625853372"/>
    <n v="4.3111111111111109"/>
    <n v="-0.53111111111111109"/>
    <n v="1469"/>
    <n v="42"/>
    <s v="Open ended"/>
    <s v="Nifty All Duration G-Sec Index"/>
    <n v="5000"/>
    <n v="1000"/>
  </r>
  <r>
    <x v="1469"/>
    <x v="37"/>
    <n v="1.1299999999999999"/>
    <n v="5.52"/>
    <n v="5.75"/>
    <n v="2.17"/>
    <n v="54.715359828141771"/>
    <n v="29.152367879203844"/>
    <n v="37.349397590361441"/>
    <n v="38.363481124570228"/>
    <n v="21.455938697318011"/>
    <n v="13.052678511267832"/>
    <n v="77.392097643621625"/>
    <n v="43.893749647520025"/>
    <n v="7.1099999999999994"/>
    <n v="-1.3599999999999994"/>
    <n v="1470"/>
    <n v="10"/>
    <s v="Open ended"/>
    <s v="CRISIL Short Term Debt Hybrid 75+25 Fund Index"/>
    <n v="5000"/>
    <n v="1000"/>
  </r>
  <r>
    <x v="1470"/>
    <x v="38"/>
    <n v="6.21"/>
    <n v="3.59"/>
    <n v="4"/>
    <n v="1.69"/>
    <n v="65.628356605800207"/>
    <n v="25.840768702814003"/>
    <n v="31.148121899362152"/>
    <n v="36.451962881685319"/>
    <n v="39.846743295019159"/>
    <n v="21.60288072804882"/>
    <n v="62.582712989168904"/>
    <n v="43.833345511889675"/>
    <n v="4.625"/>
    <n v="-0.625"/>
    <n v="1471"/>
    <n v="43"/>
    <s v="Open ended"/>
    <s v="CRISIL Dynamic Debt Index"/>
    <n v="5000"/>
    <n v="1000"/>
  </r>
  <r>
    <x v="1471"/>
    <x v="13"/>
    <n v="-0.25"/>
    <n v="8.18"/>
    <n v="7.28"/>
    <n v="2.5499999999999998"/>
    <n v="51.750805585392044"/>
    <n v="33.716540837336993"/>
    <n v="42.771084337349393"/>
    <n v="41.850665536954203"/>
    <n v="6.8965517241379448"/>
    <n v="9.0171582431228163"/>
    <n v="84.381823783022767"/>
    <n v="43.744926645267284"/>
    <n v="10.461"/>
    <n v="-3.181"/>
    <n v="1472"/>
    <n v="37"/>
    <s v="Open ended"/>
    <s v="NIFTY 500 - TRI"/>
    <n v="5000"/>
    <n v="1000"/>
  </r>
  <r>
    <x v="1472"/>
    <x v="13"/>
    <n v="-0.25"/>
    <n v="8.18"/>
    <n v="7.28"/>
    <n v="2.5499999999999998"/>
    <n v="51.750805585392044"/>
    <n v="33.716540837336993"/>
    <n v="42.771084337349393"/>
    <n v="41.850665536954203"/>
    <n v="6.8965517241379448"/>
    <n v="9.0171582431228163"/>
    <n v="84.381823783022767"/>
    <n v="43.744926645267284"/>
    <n v="10.461"/>
    <n v="-3.181"/>
    <n v="1472"/>
    <n v="37"/>
    <s v="Open ended"/>
    <s v="NIFTY 500 - TRI"/>
    <n v="5000"/>
    <n v="1000"/>
  </r>
  <r>
    <x v="1473"/>
    <x v="38"/>
    <n v="4.83"/>
    <n v="2.35"/>
    <n v="5.03"/>
    <n v="1.8"/>
    <n v="62.663802363050479"/>
    <n v="23.71310912834592"/>
    <n v="34.798015591778878"/>
    <n v="37.045701007003309"/>
    <n v="35.632183908045967"/>
    <n v="20.068772289094206"/>
    <n v="65.239866749758477"/>
    <n v="43.740863167952767"/>
    <n v="4.625"/>
    <n v="0.40500000000000025"/>
    <n v="1474"/>
    <n v="44"/>
    <s v="Open ended"/>
    <s v="CRISIL Dynamic Debt Index"/>
    <n v="1000"/>
    <n v="1000"/>
  </r>
  <r>
    <x v="1474"/>
    <x v="12"/>
    <n v="-0.44"/>
    <n v="10.37"/>
    <n v="5.89"/>
    <n v="2.5299999999999998"/>
    <n v="51.342642320085929"/>
    <n v="37.474262182566918"/>
    <n v="37.845499645641389"/>
    <n v="40.433556941607961"/>
    <n v="7.6628352490421436"/>
    <n v="7.9019264029626948"/>
    <n v="86.313461992398629"/>
    <n v="43.710852781164178"/>
    <n v="9.219019607843137"/>
    <n v="-3.3290196078431373"/>
    <n v="1475"/>
    <n v="48"/>
    <s v="Open ended"/>
    <s v="CRISIL Hybrid 35+65 - Aggressive Index"/>
    <n v="5000"/>
    <n v="1000"/>
  </r>
  <r>
    <x v="1475"/>
    <x v="12"/>
    <n v="-0.43"/>
    <n v="10.37"/>
    <n v="5.89"/>
    <n v="2.5299999999999998"/>
    <n v="51.364124597207308"/>
    <n v="37.474262182566918"/>
    <n v="37.845499645641389"/>
    <n v="40.437853397032228"/>
    <n v="7.6628352490421436"/>
    <n v="7.9143257844317816"/>
    <n v="86.291985633711747"/>
    <n v="43.707631919204587"/>
    <n v="9.219019607843137"/>
    <n v="-3.3290196078431373"/>
    <n v="1476"/>
    <n v="49"/>
    <s v="Open ended"/>
    <s v="CRISIL Hybrid 35+65 - Aggressive Index"/>
    <n v="5000"/>
    <n v="1000"/>
  </r>
  <r>
    <x v="1476"/>
    <x v="36"/>
    <n v="3.08"/>
    <n v="7.46"/>
    <n v="5.08"/>
    <n v="2.16"/>
    <n v="58.904403866809886"/>
    <n v="32.481125600549078"/>
    <n v="34.975194897236001"/>
    <n v="39.012815902144702"/>
    <n v="21.839080459770098"/>
    <n v="14.588905932833931"/>
    <n v="74.731273697488604"/>
    <n v="43.648996490387027"/>
    <n v="5.7759259259259252"/>
    <n v="-0.69592592592592517"/>
    <n v="1477"/>
    <n v="31"/>
    <s v="Open ended"/>
    <s v="CRISIL Hybrid 85+15 - Conservative Index"/>
    <n v="5000"/>
    <n v="1000"/>
  </r>
  <r>
    <x v="1477"/>
    <x v="38"/>
    <n v="6.2"/>
    <n v="3.47"/>
    <n v="3.89"/>
    <n v="1.69"/>
    <n v="65.606874328678842"/>
    <n v="25.634866163349351"/>
    <n v="30.75832742735648"/>
    <n v="36.190998428418816"/>
    <n v="39.846743295019159"/>
    <n v="21.750220356073839"/>
    <n v="62.327513267461271"/>
    <n v="43.639063354829517"/>
    <n v="4.625"/>
    <n v="-0.73499999999999988"/>
    <n v="1478"/>
    <n v="45"/>
    <s v="Open ended"/>
    <s v="CRISIL Dynamic Debt Index"/>
    <n v="5000"/>
    <n v="1000"/>
  </r>
  <r>
    <x v="1478"/>
    <x v="38"/>
    <n v="4.83"/>
    <n v="2.35"/>
    <n v="4.93"/>
    <n v="1.8"/>
    <n v="62.663802363050479"/>
    <n v="23.71310912834592"/>
    <n v="34.443656980864631"/>
    <n v="36.868521701546186"/>
    <n v="35.632183908045967"/>
    <n v="20.119135858144929"/>
    <n v="65.152634489312106"/>
    <n v="43.630465450112609"/>
    <n v="4.625"/>
    <n v="0.30499999999999972"/>
    <n v="1479"/>
    <n v="46"/>
    <s v="Open ended"/>
    <s v="CRISIL Dynamic Debt Index"/>
    <n v="1000"/>
    <n v="1000"/>
  </r>
  <r>
    <x v="1479"/>
    <x v="6"/>
    <n v="2.99"/>
    <n v="16.25"/>
    <n v="2.3199999999999998"/>
    <n v="2.0299999999999998"/>
    <n v="58.711063372717511"/>
    <n v="47.563486616334941"/>
    <n v="25.194897236002834"/>
    <n v="38.608707277445397"/>
    <n v="26.819923371647512"/>
    <n v="17.068272959447338"/>
    <n v="70.436884036783198"/>
    <n v="43.618555490830374"/>
    <n v="9.0435999999999996"/>
    <n v="-6.7235999999999994"/>
    <n v="1480"/>
    <n v="24"/>
    <s v="Open ended"/>
    <s v="NIFTY 500 - TRI"/>
    <n v="1000"/>
    <n v="1000"/>
  </r>
  <r>
    <x v="1480"/>
    <x v="6"/>
    <n v="2.99"/>
    <n v="16.25"/>
    <n v="2.31"/>
    <n v="2.0299999999999998"/>
    <n v="58.711063372717511"/>
    <n v="47.563486616334941"/>
    <n v="25.159461374911409"/>
    <n v="38.59098934689969"/>
    <n v="26.819923371647512"/>
    <n v="17.087611551340199"/>
    <n v="70.403388613077936"/>
    <n v="43.601322669631209"/>
    <n v="9.0435999999999996"/>
    <n v="-6.7335999999999991"/>
    <n v="1481"/>
    <n v="25"/>
    <s v="Open ended"/>
    <s v="NIFTY 500 - TRI"/>
    <n v="1000"/>
    <n v="1000"/>
  </r>
  <r>
    <x v="1481"/>
    <x v="50"/>
    <n v="4.2300000000000004"/>
    <n v="3.45"/>
    <n v="3.53"/>
    <n v="1.72"/>
    <n v="61.37486573576799"/>
    <n v="25.600549073438579"/>
    <n v="29.482636428065202"/>
    <n v="34.696456083217775"/>
    <n v="38.69731800766283"/>
    <n v="19.629852372940675"/>
    <n v="66.000098344990263"/>
    <n v="43.522582129772161"/>
    <n v="4.3111111111111109"/>
    <n v="-0.78111111111111109"/>
    <n v="1482"/>
    <n v="43"/>
    <s v="Open ended"/>
    <s v="CRISIL Dynamic Gilt Index"/>
    <n v="5000"/>
    <n v="1000"/>
  </r>
  <r>
    <x v="1482"/>
    <x v="35"/>
    <n v="-0.14000000000000001"/>
    <n v="8.08"/>
    <n v="6.48"/>
    <n v="2.4900000000000002"/>
    <n v="51.987110633727177"/>
    <n v="33.544955387783119"/>
    <n v="39.936215450035434"/>
    <n v="40.429016468098091"/>
    <n v="9.1954022988505635"/>
    <n v="9.3646976283911432"/>
    <n v="83.779867910106773"/>
    <n v="43.458325786288384"/>
    <n v="8.6269999999999989"/>
    <n v="-2.1469999999999985"/>
    <n v="1483"/>
    <n v="10"/>
    <s v="Open ended"/>
    <s v="CRISIL Hybrid 35+65 - Aggressive Index"/>
    <n v="5000"/>
    <n v="1000"/>
  </r>
  <r>
    <x v="1483"/>
    <x v="38"/>
    <n v="6.2"/>
    <n v="3.47"/>
    <n v="3.74"/>
    <n v="1.69"/>
    <n v="65.606874328678842"/>
    <n v="25.634866163349351"/>
    <n v="30.226789510985121"/>
    <n v="35.925229470233134"/>
    <n v="39.846743295019159"/>
    <n v="21.873109817410249"/>
    <n v="62.114662476711842"/>
    <n v="43.452966178049323"/>
    <n v="4.625"/>
    <n v="-0.88499999999999979"/>
    <n v="1484"/>
    <n v="47"/>
    <s v="Open ended"/>
    <s v="CRISIL Dynamic Debt Index"/>
    <n v="5000"/>
    <n v="1000"/>
  </r>
  <r>
    <x v="1484"/>
    <x v="38"/>
    <n v="6.2"/>
    <n v="3.47"/>
    <n v="3.71"/>
    <n v="1.69"/>
    <n v="65.606874328678842"/>
    <n v="25.634866163349351"/>
    <n v="30.120481927710841"/>
    <n v="35.872075678595991"/>
    <n v="39.846743295019159"/>
    <n v="21.898121042645553"/>
    <n v="62.071341763844742"/>
    <n v="43.415559104013973"/>
    <n v="4.625"/>
    <n v="-0.91500000000000004"/>
    <n v="1485"/>
    <n v="48"/>
    <s v="Open ended"/>
    <s v="CRISIL Dynamic Debt Index"/>
    <n v="5000"/>
    <n v="1000"/>
  </r>
  <r>
    <x v="1485"/>
    <x v="38"/>
    <n v="6.2"/>
    <n v="3.46"/>
    <n v="3.64"/>
    <n v="1.69"/>
    <n v="65.606874328678842"/>
    <n v="25.617707618393965"/>
    <n v="29.872430900070867"/>
    <n v="35.742902601289387"/>
    <n v="39.846743295019159"/>
    <n v="21.962796465610442"/>
    <n v="61.959320645268548"/>
    <n v="43.322967285716622"/>
    <n v="4.625"/>
    <n v="-0.98499999999999988"/>
    <n v="1486"/>
    <n v="49"/>
    <s v="Open ended"/>
    <s v="CRISIL Dynamic Debt Index"/>
    <n v="5000"/>
    <n v="1000"/>
  </r>
  <r>
    <x v="1486"/>
    <x v="38"/>
    <n v="4.38"/>
    <n v="2.87"/>
    <n v="3.87"/>
    <n v="1.75"/>
    <n v="61.697099892588611"/>
    <n v="24.605353466026088"/>
    <n v="30.687455705173633"/>
    <n v="35.064753870912369"/>
    <n v="37.547892720306521"/>
    <n v="19.892995640216082"/>
    <n v="65.544320836399578"/>
    <n v="43.305430324632709"/>
    <n v="4.625"/>
    <n v="-0.75499999999999989"/>
    <n v="1487"/>
    <n v="50"/>
    <s v="Open ended"/>
    <s v="CRISIL Dynamic Debt Index"/>
    <n v="5000"/>
    <n v="1000"/>
  </r>
  <r>
    <x v="1487"/>
    <x v="53"/>
    <n v="5.03"/>
    <n v="3.28"/>
    <n v="2.72"/>
    <n v="1.6"/>
    <n v="63.093447905477973"/>
    <n v="25.308853809196986"/>
    <n v="26.612331679659817"/>
    <n v="33.5175115636846"/>
    <n v="43.295019157088113"/>
    <n v="21.448568121054727"/>
    <n v="62.849990264731083"/>
    <n v="43.295008137297096"/>
    <n v="4.7778125000000005"/>
    <n v="-2.0578125000000003"/>
    <n v="1488"/>
    <n v="28"/>
    <s v="Open ended"/>
    <s v="NIFTY Credit Risk Bond Index"/>
    <n v="1000"/>
    <n v="1000"/>
  </r>
  <r>
    <x v="1488"/>
    <x v="38"/>
    <n v="4.38"/>
    <n v="2.87"/>
    <n v="3.86"/>
    <n v="1.75"/>
    <n v="61.697099892588611"/>
    <n v="24.605353466026088"/>
    <n v="30.652019844082211"/>
    <n v="35.047035940366655"/>
    <n v="37.547892720306521"/>
    <n v="19.900405450132997"/>
    <n v="65.531486669149047"/>
    <n v="43.293362817547219"/>
    <n v="4.625"/>
    <n v="-0.76500000000000012"/>
    <n v="1489"/>
    <n v="51"/>
    <s v="Open ended"/>
    <s v="CRISIL Dynamic Debt Index"/>
    <n v="5000"/>
    <n v="1000"/>
  </r>
  <r>
    <x v="1489"/>
    <x v="36"/>
    <n v="-0.47"/>
    <n v="3.98"/>
    <n v="4.93"/>
    <n v="2.1"/>
    <n v="51.278195488721799"/>
    <n v="26.509951956074129"/>
    <n v="34.443656980864631"/>
    <n v="35.430453174998917"/>
    <n v="24.137931034482762"/>
    <n v="12.647867078981177"/>
    <n v="78.093251611826844"/>
    <n v="43.27302224907686"/>
    <n v="5.7759259259259252"/>
    <n v="-0.84592592592592553"/>
    <n v="1490"/>
    <n v="32"/>
    <s v="Open ended"/>
    <s v="CRISIL Hybrid 85+15 - Conservative Index"/>
    <n v="1000"/>
    <n v="1000"/>
  </r>
  <r>
    <x v="1490"/>
    <x v="40"/>
    <n v="4.78"/>
    <n v="7.29"/>
    <n v="5.05"/>
    <n v="2.13"/>
    <n v="62.556390977443613"/>
    <n v="32.189430336307481"/>
    <n v="34.868887313961729"/>
    <n v="39.602550953361828"/>
    <n v="22.988505747126432"/>
    <n v="16.812344905806238"/>
    <n v="70.880164428771806"/>
    <n v="43.268443020655468"/>
    <n v="6.6483333333333334"/>
    <n v="-1.5983333333333336"/>
    <n v="1491"/>
    <n v="7"/>
    <s v="Open ended"/>
    <s v="NIFTY 50 Hybrid Composite Debt 50:50 Index"/>
    <n v="1000"/>
    <n v="1000"/>
  </r>
  <r>
    <x v="1491"/>
    <x v="49"/>
    <n v="7.54"/>
    <n v="3.84"/>
    <n v="4.3"/>
    <n v="1.76"/>
    <n v="68.485499462943068"/>
    <n v="26.269732326698701"/>
    <n v="32.211197732104893"/>
    <n v="37.68361845665067"/>
    <n v="37.164750957854409"/>
    <n v="22.852049405269021"/>
    <n v="60.419089372999906"/>
    <n v="43.237769311038917"/>
    <n v="4.3271875"/>
    <n v="-2.7187500000000142E-2"/>
    <n v="1492"/>
    <n v="16"/>
    <s v="Open ended"/>
    <s v="NIFTY Medium to Long Term Debt Index"/>
    <n v="5000"/>
    <n v="1000"/>
  </r>
  <r>
    <x v="1492"/>
    <x v="49"/>
    <n v="4.71"/>
    <n v="1.9"/>
    <n v="4.59"/>
    <n v="1.78"/>
    <n v="62.406015037593974"/>
    <n v="22.940974605353471"/>
    <n v="33.238837703756197"/>
    <n v="35.982914241002931"/>
    <n v="36.398467432950184"/>
    <n v="20.470546460444751"/>
    <n v="64.543973471810446"/>
    <n v="43.227067346691626"/>
    <n v="4.3271875"/>
    <n v="0.26281249999999989"/>
    <n v="1493"/>
    <n v="17"/>
    <s v="Open ended"/>
    <s v="NIFTY Medium to Long Term Debt Index"/>
    <n v="5000"/>
    <n v="1000"/>
  </r>
  <r>
    <x v="1493"/>
    <x v="49"/>
    <n v="4.71"/>
    <n v="1.9"/>
    <n v="4.59"/>
    <n v="1.78"/>
    <n v="62.406015037593974"/>
    <n v="22.940974605353471"/>
    <n v="33.238837703756197"/>
    <n v="35.982914241002931"/>
    <n v="36.398467432950184"/>
    <n v="20.470546460444751"/>
    <n v="64.543973471810446"/>
    <n v="43.227067346691626"/>
    <n v="4.3271875"/>
    <n v="0.26281249999999989"/>
    <n v="1493"/>
    <n v="17"/>
    <s v="Open ended"/>
    <s v="NIFTY Medium to Long Term Debt Index"/>
    <n v="5000"/>
    <n v="1000"/>
  </r>
  <r>
    <x v="1494"/>
    <x v="36"/>
    <n v="0.67"/>
    <n v="5.71"/>
    <n v="4.95"/>
    <n v="2.1800000000000002"/>
    <n v="53.727175080558531"/>
    <n v="29.478380233356216"/>
    <n v="34.514528703047482"/>
    <n v="36.846213437642312"/>
    <n v="21.072796934865899"/>
    <n v="12.796435856504262"/>
    <n v="77.835922940738456"/>
    <n v="43.150286687722243"/>
    <n v="5.7759259259259252"/>
    <n v="-0.82592592592592506"/>
    <n v="1495"/>
    <n v="33"/>
    <s v="Open ended"/>
    <s v="CRISIL Hybrid 85+15 - Conservative Index"/>
    <n v="5000"/>
    <n v="1000"/>
  </r>
  <r>
    <x v="1495"/>
    <x v="48"/>
    <n v="4.72"/>
    <n v="2.65"/>
    <n v="2.83"/>
    <n v="1.61"/>
    <n v="62.427497314715353"/>
    <n v="24.227865477007555"/>
    <n v="27.002126151665486"/>
    <n v="33.254922181878079"/>
    <n v="42.911877394636001"/>
    <n v="21.298925312744529"/>
    <n v="63.109179211711634"/>
    <n v="43.13272524252595"/>
    <n v="3.5597297297297299"/>
    <n v="-0.72972972972972983"/>
    <n v="1496"/>
    <n v="26"/>
    <s v="Open ended"/>
    <s v="CRISIL Medium Term Debt Index"/>
    <n v="1000"/>
    <n v="1000"/>
  </r>
  <r>
    <x v="1496"/>
    <x v="48"/>
    <n v="4.72"/>
    <n v="2.65"/>
    <n v="2.83"/>
    <n v="1.61"/>
    <n v="62.427497314715353"/>
    <n v="24.227865477007555"/>
    <n v="27.002126151665486"/>
    <n v="33.254922181878079"/>
    <n v="42.911877394636001"/>
    <n v="21.298925312744529"/>
    <n v="63.109179211711634"/>
    <n v="43.13272524252595"/>
    <n v="3.5597297297297299"/>
    <n v="-0.72972972972972983"/>
    <n v="1496"/>
    <n v="26"/>
    <s v="Open ended"/>
    <s v="CRISIL Medium Term Debt Index"/>
    <n v="20000"/>
    <n v="1000"/>
  </r>
  <r>
    <x v="1497"/>
    <x v="48"/>
    <n v="4.74"/>
    <n v="2.66"/>
    <n v="2.83"/>
    <n v="1.61"/>
    <n v="62.470461868958104"/>
    <n v="24.245024021962941"/>
    <n v="27.002126151665486"/>
    <n v="33.268662656213252"/>
    <n v="42.911877394636001"/>
    <n v="21.318179054907873"/>
    <n v="63.075830752048894"/>
    <n v="43.13125836477785"/>
    <n v="3.5597297297297299"/>
    <n v="-0.72972972972972983"/>
    <n v="1498"/>
    <n v="28"/>
    <s v="Open ended"/>
    <s v="CRISIL Medium Term Debt Index"/>
    <n v="20000"/>
    <n v="1000"/>
  </r>
  <r>
    <x v="1498"/>
    <x v="48"/>
    <n v="4.7300000000000004"/>
    <n v="2.65"/>
    <n v="2.83"/>
    <n v="1.61"/>
    <n v="62.448979591836732"/>
    <n v="24.227865477007555"/>
    <n v="27.002126151665486"/>
    <n v="33.259218637302354"/>
    <n v="42.911877394636001"/>
    <n v="21.311301795364855"/>
    <n v="63.08774251499424"/>
    <n v="43.129514296058737"/>
    <n v="3.5597297297297299"/>
    <n v="-0.72972972972972983"/>
    <n v="1499"/>
    <n v="29"/>
    <s v="Open ended"/>
    <s v="CRISIL Medium Term Debt Index"/>
    <n v="20000"/>
    <n v="1000"/>
  </r>
  <r>
    <x v="1499"/>
    <x v="27"/>
    <n v="0.11"/>
    <n v="9.06"/>
    <n v="6.78"/>
    <n v="2.61"/>
    <n v="52.524167561761544"/>
    <n v="35.226492793411126"/>
    <n v="40.999291282778174"/>
    <n v="41.572426991764736"/>
    <n v="4.5977011494252817"/>
    <n v="8.8067921518596357"/>
    <n v="84.746188541280276"/>
    <n v="43.122185918558756"/>
    <n v="10.044583333333334"/>
    <n v="-3.2645833333333334"/>
    <n v="1500"/>
    <n v="47"/>
    <s v="Open ended"/>
    <s v="S&amp;P BSE 100 - TRI"/>
    <n v="5000"/>
    <n v="1000"/>
  </r>
  <r>
    <x v="1500"/>
    <x v="27"/>
    <n v="0.11"/>
    <n v="9.06"/>
    <n v="6.78"/>
    <n v="2.61"/>
    <n v="52.524167561761544"/>
    <n v="35.226492793411126"/>
    <n v="40.999291282778174"/>
    <n v="41.572426991764736"/>
    <n v="4.5977011494252817"/>
    <n v="8.8067921518596357"/>
    <n v="84.746188541280276"/>
    <n v="43.122185918558756"/>
    <n v="10.044583333333334"/>
    <n v="-3.2645833333333334"/>
    <n v="1500"/>
    <n v="47"/>
    <s v="Open ended"/>
    <s v="S&amp;P BSE 100 - TRI"/>
    <n v="5000"/>
    <n v="1000"/>
  </r>
  <r>
    <x v="1501"/>
    <x v="38"/>
    <n v="6.2"/>
    <n v="3.47"/>
    <n v="3.46"/>
    <n v="1.69"/>
    <n v="65.606874328678842"/>
    <n v="25.634866163349351"/>
    <n v="29.234585400425228"/>
    <n v="35.429127414953186"/>
    <n v="39.846743295019159"/>
    <n v="22.112073690012664"/>
    <n v="61.70076490819104"/>
    <n v="43.101440758279146"/>
    <n v="4.625"/>
    <n v="-1.165"/>
    <n v="1502"/>
    <n v="52"/>
    <s v="Open ended"/>
    <s v="CRISIL Dynamic Debt Index"/>
    <n v="5000"/>
    <n v="1000"/>
  </r>
  <r>
    <x v="1502"/>
    <x v="40"/>
    <n v="3.37"/>
    <n v="7.32"/>
    <n v="6.18"/>
    <n v="2.34"/>
    <n v="59.527389903329755"/>
    <n v="32.240905971173653"/>
    <n v="38.873139617292694"/>
    <n v="41.014319580664392"/>
    <n v="14.942528735632177"/>
    <n v="14.231050461313977"/>
    <n v="75.35109755592768"/>
    <n v="43.080566363222161"/>
    <n v="6.6483333333333334"/>
    <n v="-0.46833333333333371"/>
    <n v="1503"/>
    <n v="8"/>
    <s v="Open ended"/>
    <s v=""/>
    <n v="1000"/>
    <n v="1000"/>
  </r>
  <r>
    <x v="1503"/>
    <x v="12"/>
    <n v="-7.0000000000000007E-2"/>
    <n v="6.86"/>
    <n v="6.81"/>
    <n v="2.4900000000000002"/>
    <n v="52.137486573576794"/>
    <n v="31.451612903225811"/>
    <n v="41.105598866052439"/>
    <n v="40.41578061870932"/>
    <n v="9.1954022988505635"/>
    <n v="10.350582599283969"/>
    <n v="82.072265050101834"/>
    <n v="43.024807146592764"/>
    <n v="9.219019607843137"/>
    <n v="-2.4090196078431374"/>
    <n v="1504"/>
    <n v="50"/>
    <s v="Open ended"/>
    <s v="CRISIL Hybrid 35+65 - Aggressive Index"/>
    <n v="5000"/>
    <n v="1000"/>
  </r>
  <r>
    <x v="1504"/>
    <x v="5"/>
    <n v="-8"/>
    <n v="3.91"/>
    <n v="6.92"/>
    <n v="2.37"/>
    <n v="35.102040816326529"/>
    <n v="26.389842141386417"/>
    <n v="41.495393338058115"/>
    <n v="35.685057474710291"/>
    <n v="13.793103448275845"/>
    <n v="7.582381323107203"/>
    <n v="86.866930306016997"/>
    <n v="43.007537175928356"/>
    <n v="11.126842105263158"/>
    <n v="-4.2068421052631582"/>
    <n v="1505"/>
    <n v="18"/>
    <s v="Open ended"/>
    <s v="FTSE Gold Mines"/>
    <n v="1000"/>
    <n v="1000"/>
  </r>
  <r>
    <x v="1505"/>
    <x v="5"/>
    <n v="-8"/>
    <n v="3.91"/>
    <n v="6.92"/>
    <n v="2.37"/>
    <n v="35.102040816326529"/>
    <n v="26.389842141386417"/>
    <n v="41.495393338058115"/>
    <n v="35.685057474710291"/>
    <n v="13.793103448275845"/>
    <n v="7.582381323107203"/>
    <n v="86.866930306016997"/>
    <n v="43.007537175928356"/>
    <n v="11.126842105263158"/>
    <n v="-4.2068421052631582"/>
    <n v="1505"/>
    <n v="18"/>
    <s v="Open ended"/>
    <s v="FTSE Gold Mines"/>
    <n v="1000"/>
    <n v="1000"/>
  </r>
  <r>
    <x v="1506"/>
    <x v="36"/>
    <n v="3.08"/>
    <n v="7.35"/>
    <n v="4.58"/>
    <n v="2.16"/>
    <n v="58.904403866809886"/>
    <n v="32.292381606039811"/>
    <n v="33.203401842664775"/>
    <n v="38.070296176506311"/>
    <n v="21.839080459770098"/>
    <n v="15.108337608333867"/>
    <n v="73.831591644462094"/>
    <n v="42.952816114311204"/>
    <n v="5.7759259259259252"/>
    <n v="-1.1959259259259252"/>
    <n v="1507"/>
    <n v="34"/>
    <s v="Open ended"/>
    <s v="CRISIL Hybrid 85+15 - Conservative Index"/>
    <n v="5000"/>
    <n v="1000"/>
  </r>
  <r>
    <x v="1507"/>
    <x v="49"/>
    <n v="7.54"/>
    <n v="3.84"/>
    <n v="4.0599999999999996"/>
    <n v="1.76"/>
    <n v="68.485499462943068"/>
    <n v="26.269732326698701"/>
    <n v="31.360737065910698"/>
    <n v="37.258388123553573"/>
    <n v="37.164750957854409"/>
    <n v="23.044657035100339"/>
    <n v="60.085483172206644"/>
    <n v="42.941752594292048"/>
    <n v="4.3271875"/>
    <n v="-0.26718750000000036"/>
    <n v="1508"/>
    <n v="19"/>
    <s v="Open ended"/>
    <s v="NIFTY Medium to Long Term Debt Index"/>
    <n v="25000"/>
    <n v="1000"/>
  </r>
  <r>
    <x v="1508"/>
    <x v="36"/>
    <n v="1.31"/>
    <n v="6.89"/>
    <n v="4.75"/>
    <n v="2.2200000000000002"/>
    <n v="55.102040816326522"/>
    <n v="31.503088538091973"/>
    <n v="33.805811481218996"/>
    <n v="37.374240465302393"/>
    <n v="19.540229885057457"/>
    <n v="13.011164856106527"/>
    <n v="77.464001403568886"/>
    <n v="42.938178054807778"/>
    <n v="5.7759259259259252"/>
    <n v="-1.0259259259259252"/>
    <n v="1509"/>
    <n v="35"/>
    <s v="Open ended"/>
    <s v=""/>
    <n v="1000"/>
    <n v="1000"/>
  </r>
  <r>
    <x v="1509"/>
    <x v="36"/>
    <n v="2.29"/>
    <n v="5.39"/>
    <n v="5.92"/>
    <n v="2.25"/>
    <n v="57.207303974221269"/>
    <n v="28.929306794783805"/>
    <n v="37.951807228915655"/>
    <n v="39.096156447737222"/>
    <n v="18.390804597701148"/>
    <n v="14.444288337567077"/>
    <n v="74.981758720159235"/>
    <n v="42.891219053333707"/>
    <n v="5.7759259259259252"/>
    <n v="0.14407407407407469"/>
    <n v="1510"/>
    <n v="36"/>
    <s v="Open ended"/>
    <s v="CRISIL Hybrid 85+15 - Conservative Index"/>
    <n v="5000"/>
    <n v="1000"/>
  </r>
  <r>
    <x v="1510"/>
    <x v="49"/>
    <n v="7.54"/>
    <n v="3.84"/>
    <n v="3.89"/>
    <n v="1.76"/>
    <n v="68.485499462943068"/>
    <n v="26.269732326698701"/>
    <n v="30.75832742735648"/>
    <n v="36.957183304276462"/>
    <n v="37.164750957854409"/>
    <n v="23.186411216780996"/>
    <n v="59.839957727350402"/>
    <n v="42.729768823439436"/>
    <n v="4.3271875"/>
    <n v="-0.43718749999999984"/>
    <n v="1511"/>
    <n v="20"/>
    <s v="Open ended"/>
    <s v="NIFTY Medium to Long Term Debt Index"/>
    <n v="10000"/>
    <n v="1000"/>
  </r>
  <r>
    <x v="1511"/>
    <x v="38"/>
    <n v="3.83"/>
    <n v="1.63"/>
    <n v="2.63"/>
    <n v="1.61"/>
    <n v="60.515574650912995"/>
    <n v="22.477693891557998"/>
    <n v="26.293408929836993"/>
    <n v="31.993127562568493"/>
    <n v="42.911877394636001"/>
    <n v="20.946744697593815"/>
    <n v="63.719173930593534"/>
    <n v="42.654326612591632"/>
    <n v="4.625"/>
    <n v="-1.9950000000000001"/>
    <n v="1512"/>
    <n v="53"/>
    <s v="Open ended"/>
    <s v=""/>
    <n v="1000"/>
    <n v="1000"/>
  </r>
  <r>
    <x v="1512"/>
    <x v="18"/>
    <n v="-4.78"/>
    <n v="4.68"/>
    <n v="5.19"/>
    <n v="2.36"/>
    <n v="42.019334049409238"/>
    <n v="27.711050102951273"/>
    <n v="35.36498936924167"/>
    <n v="34.39967652538806"/>
    <n v="14.176245210727977"/>
    <n v="7.1599590188189755"/>
    <n v="87.598587199294528"/>
    <n v="42.643546365199654"/>
    <n v="6.9120588235294118"/>
    <n v="-1.7220588235294114"/>
    <n v="1513"/>
    <n v="25"/>
    <s v="Open ended"/>
    <s v="MSCI AC World Index"/>
    <n v="1000"/>
    <n v="1000"/>
  </r>
  <r>
    <x v="1513"/>
    <x v="36"/>
    <n v="3.08"/>
    <n v="7.35"/>
    <n v="4.3"/>
    <n v="2.16"/>
    <n v="58.904403866809886"/>
    <n v="32.292381606039811"/>
    <n v="32.211197732104893"/>
    <n v="37.57419412122637"/>
    <n v="21.839080459770098"/>
    <n v="15.387947520592004"/>
    <n v="73.347293070131116"/>
    <n v="42.583690443088486"/>
    <n v="5.7759259259259252"/>
    <n v="-1.4759259259259254"/>
    <n v="1514"/>
    <n v="37"/>
    <s v="Open ended"/>
    <s v="CRISIL Hybrid 85+15 - Conservative Index"/>
    <n v="5000"/>
    <n v="1000"/>
  </r>
  <r>
    <x v="1514"/>
    <x v="12"/>
    <n v="-7.0000000000000007E-2"/>
    <n v="6.82"/>
    <n v="6.36"/>
    <n v="2.4900000000000002"/>
    <n v="52.137486573576794"/>
    <n v="31.382978723404261"/>
    <n v="39.510985116938343"/>
    <n v="39.59788349020581"/>
    <n v="9.1954022988505635"/>
    <n v="10.458191550731076"/>
    <n v="81.885880878846223"/>
    <n v="42.569262539527102"/>
    <n v="9.219019607843137"/>
    <n v="-2.8590196078431367"/>
    <n v="1515"/>
    <n v="51"/>
    <s v="Open ended"/>
    <s v="CRISIL Hybrid 35+65 - Aggressive Index"/>
    <n v="5000"/>
    <n v="1000"/>
  </r>
  <r>
    <x v="1515"/>
    <x v="42"/>
    <n v="-2.33"/>
    <n v="3.17"/>
    <n v="3.83"/>
    <n v="2.06"/>
    <n v="47.282491944146074"/>
    <n v="25.120109814687719"/>
    <n v="30.545712260807932"/>
    <n v="32.265387463639499"/>
    <n v="25.670498084291182"/>
    <n v="11.552259070012244"/>
    <n v="79.990900348540407"/>
    <n v="42.548043340027647"/>
    <n v="6.7733333333333334"/>
    <n v="-2.9433333333333334"/>
    <n v="1516"/>
    <n v="5"/>
    <s v="Open ended"/>
    <s v="NIFTY MNC - TRI"/>
    <n v="1000"/>
    <n v="1000"/>
  </r>
  <r>
    <x v="1516"/>
    <x v="53"/>
    <n v="3.21"/>
    <n v="0.46"/>
    <n v="3.67"/>
    <n v="1.71"/>
    <n v="59.183673469387756"/>
    <n v="20.47014413177763"/>
    <n v="29.978738483345147"/>
    <n v="32.967147175083412"/>
    <n v="39.080459770114942"/>
    <n v="20.174567107522769"/>
    <n v="65.056624749062678"/>
    <n v="42.517844717336111"/>
    <n v="4.7778125000000005"/>
    <n v="-1.1078125000000005"/>
    <n v="1517"/>
    <n v="29"/>
    <s v="Open ended"/>
    <s v="NIFTY Credit Risk Bond Index"/>
    <n v="5000"/>
    <n v="1000"/>
  </r>
  <r>
    <x v="1517"/>
    <x v="49"/>
    <n v="7.54"/>
    <n v="3.84"/>
    <n v="3.72"/>
    <n v="1.76"/>
    <n v="68.485499462943068"/>
    <n v="26.269732326698701"/>
    <n v="30.155917788802267"/>
    <n v="36.655978484999359"/>
    <n v="37.164750957854409"/>
    <n v="23.332489021612851"/>
    <n v="59.586943547523497"/>
    <n v="42.515912868844154"/>
    <n v="4.3271875"/>
    <n v="-0.60718749999999977"/>
    <n v="1518"/>
    <n v="21"/>
    <s v="Open ended"/>
    <s v="NIFTY Medium to Long Term Debt Index"/>
    <n v="5000"/>
    <n v="1000"/>
  </r>
  <r>
    <x v="1518"/>
    <x v="40"/>
    <n v="3.38"/>
    <n v="7.31"/>
    <n v="5.7"/>
    <n v="2.34"/>
    <n v="59.548872180451127"/>
    <n v="32.22374742621826"/>
    <n v="37.172218284904325"/>
    <n v="40.163007806407862"/>
    <n v="14.942528735632177"/>
    <n v="14.559443935322214"/>
    <n v="74.782303374071361"/>
    <n v="42.51271193062982"/>
    <n v="6.6483333333333334"/>
    <n v="-0.94833333333333325"/>
    <n v="1519"/>
    <n v="9"/>
    <s v="Open ended"/>
    <s v=""/>
    <n v="1000"/>
    <n v="1000"/>
  </r>
  <r>
    <x v="1519"/>
    <x v="22"/>
    <n v="4.6900000000000004"/>
    <n v="8.01"/>
    <n v="7.16"/>
    <n v="2.52"/>
    <n v="62.363050483351238"/>
    <n v="33.424845573095411"/>
    <n v="42.345854004252303"/>
    <n v="43.672990770725022"/>
    <n v="8.045977011494255"/>
    <n v="14.819425594691458"/>
    <n v="74.332001931007767"/>
    <n v="42.430990120988014"/>
    <n v="9.83"/>
    <n v="-2.67"/>
    <n v="1520"/>
    <n v="30"/>
    <s v="Open ended"/>
    <s v="S&amp;P BSE 500 - TRI"/>
    <n v="5000"/>
    <n v="1000"/>
  </r>
  <r>
    <x v="1520"/>
    <x v="22"/>
    <n v="4.6900000000000004"/>
    <n v="8.01"/>
    <n v="7.16"/>
    <n v="2.52"/>
    <n v="62.363050483351238"/>
    <n v="33.424845573095411"/>
    <n v="42.345854004252303"/>
    <n v="43.672990770725022"/>
    <n v="8.045977011494255"/>
    <n v="14.819425594691458"/>
    <n v="74.332001931007767"/>
    <n v="42.430990120988014"/>
    <n v="9.83"/>
    <n v="-2.67"/>
    <n v="1520"/>
    <n v="30"/>
    <s v="Open ended"/>
    <s v="S&amp;P BSE 500 - TRI"/>
    <n v="5000"/>
    <n v="1000"/>
  </r>
  <r>
    <x v="1521"/>
    <x v="36"/>
    <n v="2.29"/>
    <n v="5.39"/>
    <n v="5.47"/>
    <n v="2.25"/>
    <n v="57.207303974221269"/>
    <n v="28.929306794783805"/>
    <n v="36.357193479801552"/>
    <n v="38.298849573180171"/>
    <n v="18.390804597701148"/>
    <n v="14.660296340315728"/>
    <n v="74.607621884557091"/>
    <n v="42.399031407154645"/>
    <n v="5.7759259259259252"/>
    <n v="-0.30592592592592549"/>
    <n v="1522"/>
    <n v="38"/>
    <s v="Open ended"/>
    <s v="CRISIL Hybrid 85+15 - Conservative Index"/>
    <n v="5000"/>
    <n v="1000"/>
  </r>
  <r>
    <x v="1522"/>
    <x v="36"/>
    <n v="2.29"/>
    <n v="5.33"/>
    <n v="5.48"/>
    <n v="2.25"/>
    <n v="57.207303974221269"/>
    <n v="28.826355525051479"/>
    <n v="36.392629340892981"/>
    <n v="38.285682122806186"/>
    <n v="18.390804597701148"/>
    <n v="14.696810393313475"/>
    <n v="74.544377689574731"/>
    <n v="42.376636633222063"/>
    <n v="5.7759259259259252"/>
    <n v="-0.29592592592592482"/>
    <n v="1523"/>
    <n v="39"/>
    <s v="Open ended"/>
    <s v="CRISIL Hybrid 85+15 - Conservative Index"/>
    <n v="5000"/>
    <n v="1000"/>
  </r>
  <r>
    <x v="1523"/>
    <x v="38"/>
    <n v="3.83"/>
    <n v="1.62"/>
    <n v="2.36"/>
    <n v="1.61"/>
    <n v="60.515574650912995"/>
    <n v="22.460535346602612"/>
    <n v="25.336640680368529"/>
    <n v="31.509595874347646"/>
    <n v="42.911877394636001"/>
    <n v="21.189680639592204"/>
    <n v="63.29839653606772"/>
    <n v="42.30736641984975"/>
    <n v="4.625"/>
    <n v="-2.2650000000000001"/>
    <n v="1524"/>
    <n v="54"/>
    <s v="Open ended"/>
    <s v=""/>
    <n v="1000"/>
    <n v="1000"/>
  </r>
  <r>
    <x v="1524"/>
    <x v="18"/>
    <n v="-4.78"/>
    <n v="4.68"/>
    <n v="4.76"/>
    <n v="2.36"/>
    <n v="42.019334049409238"/>
    <n v="27.711050102951273"/>
    <n v="33.841247342310417"/>
    <n v="33.637805511922437"/>
    <n v="14.176245210727977"/>
    <n v="7.178525961443845"/>
    <n v="87.56642831132703"/>
    <n v="42.254571136474972"/>
    <n v="6.9120588235294118"/>
    <n v="-2.152058823529412"/>
    <n v="1525"/>
    <n v="26"/>
    <s v="Open ended"/>
    <s v="MSCI AC World Index"/>
    <n v="1000"/>
    <n v="1000"/>
  </r>
  <r>
    <x v="1525"/>
    <x v="36"/>
    <n v="-0.47"/>
    <n v="3.7"/>
    <n v="4.1399999999999997"/>
    <n v="2.1"/>
    <n v="51.278195488721799"/>
    <n v="26.02951269732327"/>
    <n v="31.644223954642094"/>
    <n v="33.886604884262383"/>
    <n v="24.137931034482762"/>
    <n v="13.257160350824122"/>
    <n v="77.037924708284976"/>
    <n v="42.237266377823126"/>
    <n v="5.7759259259259252"/>
    <n v="-1.6359259259259256"/>
    <n v="1526"/>
    <n v="40"/>
    <s v="Open ended"/>
    <s v="CRISIL Hybrid 85+15 - Conservative Index"/>
    <n v="1000"/>
    <n v="1000"/>
  </r>
  <r>
    <x v="1526"/>
    <x v="42"/>
    <n v="-2.3199999999999998"/>
    <n v="3.17"/>
    <n v="3.47"/>
    <n v="2.06"/>
    <n v="47.303974221267453"/>
    <n v="25.120109814687719"/>
    <n v="29.270021261516654"/>
    <n v="31.631838419418134"/>
    <n v="25.670498084291182"/>
    <n v="11.793847720884971"/>
    <n v="79.572456530696826"/>
    <n v="42.126657863456067"/>
    <n v="6.7733333333333334"/>
    <n v="-3.3033333333333332"/>
    <n v="1527"/>
    <n v="6"/>
    <s v="Open ended"/>
    <s v="NIFTY MNC - TRI"/>
    <n v="1000"/>
    <n v="1000"/>
  </r>
  <r>
    <x v="1527"/>
    <x v="36"/>
    <n v="2.29"/>
    <n v="5.39"/>
    <n v="5.19"/>
    <n v="2.25"/>
    <n v="57.207303974221269"/>
    <n v="28.929306794783805"/>
    <n v="35.36498936924167"/>
    <n v="37.802747517900229"/>
    <n v="18.390804597701148"/>
    <n v="14.821998526865166"/>
    <n v="74.327545481758477"/>
    <n v="42.080961278815025"/>
    <n v="5.7759259259259252"/>
    <n v="-0.58592592592592485"/>
    <n v="1528"/>
    <n v="41"/>
    <s v="Open ended"/>
    <s v="CRISIL Hybrid 85+15 - Conservative Index"/>
    <n v="5000"/>
    <n v="1000"/>
  </r>
  <r>
    <x v="1528"/>
    <x v="54"/>
    <n v="11.42"/>
    <n v="18.399999999999999"/>
    <n v="4.13"/>
    <n v="2.36"/>
    <n v="76.820622986036511"/>
    <n v="51.252573781743308"/>
    <n v="31.608788093550672"/>
    <n v="46.544290778505626"/>
    <n v="14.176245210727977"/>
    <n v="22.670514883956653"/>
    <n v="60.733516387240627"/>
    <n v="41.999585788744966"/>
    <n v="4.13"/>
    <n v="0"/>
    <n v="1529"/>
    <n v="1"/>
    <s v="Open ended"/>
    <s v="Nifty Transportation &amp; Logistics - TRI"/>
    <n v="5000"/>
    <n v="1000"/>
  </r>
  <r>
    <x v="1529"/>
    <x v="54"/>
    <n v="11.42"/>
    <n v="18.399999999999999"/>
    <n v="4.13"/>
    <n v="2.36"/>
    <n v="76.820622986036511"/>
    <n v="51.252573781743308"/>
    <n v="31.608788093550672"/>
    <n v="46.544290778505626"/>
    <n v="14.176245210727977"/>
    <n v="22.670514883956653"/>
    <n v="60.733516387240627"/>
    <n v="41.999585788744966"/>
    <n v="4.13"/>
    <n v="0"/>
    <n v="1529"/>
    <n v="1"/>
    <s v="Open ended"/>
    <s v="Nifty Transportation &amp; Logistics - TRI"/>
    <n v="5000"/>
    <n v="1000"/>
  </r>
  <r>
    <x v="1530"/>
    <x v="38"/>
    <n v="3.48"/>
    <n v="1.01"/>
    <n v="2.34"/>
    <n v="1.62"/>
    <n v="59.763694951664867"/>
    <n v="21.413864104323956"/>
    <n v="25.265768958185681"/>
    <n v="31.009782700723001"/>
    <n v="42.52873563218391"/>
    <n v="21.117345141196257"/>
    <n v="63.423685294480315"/>
    <n v="41.992996582027558"/>
    <n v="4.625"/>
    <n v="-2.2850000000000001"/>
    <n v="1531"/>
    <n v="55"/>
    <s v="Open ended"/>
    <s v="NIFTY Composite Debt Index"/>
    <n v="1000"/>
    <n v="1000"/>
  </r>
  <r>
    <x v="1531"/>
    <x v="38"/>
    <n v="3.83"/>
    <n v="1.63"/>
    <n v="2.11"/>
    <n v="1.61"/>
    <n v="60.515574650912995"/>
    <n v="22.477693891557998"/>
    <n v="24.450744153082919"/>
    <n v="31.071795174191458"/>
    <n v="42.911877394636001"/>
    <n v="21.41434604353908"/>
    <n v="62.90926464172874"/>
    <n v="41.991183096186916"/>
    <n v="4.625"/>
    <n v="-2.5150000000000001"/>
    <n v="1532"/>
    <n v="56"/>
    <s v="Open ended"/>
    <s v="CRISIL Dynamic Debt Index"/>
    <n v="1000"/>
    <n v="1000"/>
  </r>
  <r>
    <x v="1532"/>
    <x v="36"/>
    <n v="2.27"/>
    <n v="4.17"/>
    <n v="4.8499999999999996"/>
    <n v="2.15"/>
    <n v="57.164339419978518"/>
    <n v="26.835964310226494"/>
    <n v="34.160170092133235"/>
    <n v="36.563742223130276"/>
    <n v="22.222222222222232"/>
    <n v="15.825328504213953"/>
    <n v="72.589726984233451"/>
    <n v="41.984858413179055"/>
    <n v="5.7759259259259252"/>
    <n v="-0.9259259259259256"/>
    <n v="1533"/>
    <n v="42"/>
    <s v="Open ended"/>
    <s v="CRISIL Hybrid 85+15 - Conservative Index"/>
    <n v="1000"/>
    <n v="1000"/>
  </r>
  <r>
    <x v="1533"/>
    <x v="18"/>
    <n v="-13.24"/>
    <n v="8.11"/>
    <n v="13"/>
    <n v="2.46"/>
    <n v="23.845327604726098"/>
    <n v="33.596431022649284"/>
    <n v="63.04039688164422"/>
    <n v="46.368193268562116"/>
    <n v="10.344827586206895"/>
    <n v="20.405410226192071"/>
    <n v="64.656792738949804"/>
    <n v="41.934501715570235"/>
    <n v="6.9120588235294118"/>
    <n v="6.0879411764705882"/>
    <n v="1534"/>
    <n v="27"/>
    <s v="Open ended"/>
    <s v="MSCI AC World Index"/>
    <n v="5000"/>
    <m/>
  </r>
  <r>
    <x v="1534"/>
    <x v="36"/>
    <n v="2.27"/>
    <n v="4.17"/>
    <n v="4.7300000000000004"/>
    <n v="2.15"/>
    <n v="57.164339419978518"/>
    <n v="26.835964310226494"/>
    <n v="33.734939759036145"/>
    <n v="36.351127056581731"/>
    <n v="22.222222222222232"/>
    <n v="15.897289955174074"/>
    <n v="72.465086094984144"/>
    <n v="41.847390607592459"/>
    <n v="5.7759259259259252"/>
    <n v="-1.0459259259259248"/>
    <n v="1535"/>
    <n v="43"/>
    <s v="Open ended"/>
    <s v="CRISIL Hybrid 85+15 - Conservative Index"/>
    <n v="1000"/>
    <n v="1000"/>
  </r>
  <r>
    <x v="1535"/>
    <x v="49"/>
    <n v="7.54"/>
    <n v="3.84"/>
    <n v="3.06"/>
    <n v="1.76"/>
    <n v="68.485499462943068"/>
    <n v="26.269732326698701"/>
    <n v="27.817150956768248"/>
    <n v="35.486595068982346"/>
    <n v="37.164750957854409"/>
    <n v="23.939089614888545"/>
    <n v="58.536280500068571"/>
    <n v="41.668555398971918"/>
    <n v="4.3271875"/>
    <n v="-1.2671874999999999"/>
    <n v="1536"/>
    <n v="22"/>
    <s v="Open ended"/>
    <s v="NIFTY Medium to Long Term Debt Index"/>
    <n v="5000"/>
    <n v="1000"/>
  </r>
  <r>
    <x v="1536"/>
    <x v="49"/>
    <n v="4.04"/>
    <n v="2"/>
    <n v="3.82"/>
    <n v="1.88"/>
    <n v="60.966702470461861"/>
    <n v="23.112560054907348"/>
    <n v="30.510276399716506"/>
    <n v="34.382246710422834"/>
    <n v="32.567049808429125"/>
    <n v="20.063466774787937"/>
    <n v="65.249056170097219"/>
    <n v="41.645149849843001"/>
    <n v="4.3271875"/>
    <n v="-0.50718750000000012"/>
    <n v="1537"/>
    <n v="23"/>
    <s v="Open ended"/>
    <s v="CRISIL Medium to Long Term Debt Index"/>
    <n v="5000"/>
    <n v="1000"/>
  </r>
  <r>
    <x v="1537"/>
    <x v="37"/>
    <n v="2.99"/>
    <n v="6.34"/>
    <n v="6.48"/>
    <n v="2.48"/>
    <n v="58.711063372717511"/>
    <n v="30.559368565545647"/>
    <n v="39.936215450035434"/>
    <n v="40.878130969224912"/>
    <n v="9.578544061302674"/>
    <n v="14.33491130382485"/>
    <n v="75.171205299781946"/>
    <n v="41.626502824883616"/>
    <n v="7.1099999999999994"/>
    <n v="-0.62999999999999901"/>
    <n v="1538"/>
    <n v="11"/>
    <s v="Open ended"/>
    <s v="NIFTY 500"/>
    <n v="1000"/>
    <n v="1000"/>
  </r>
  <r>
    <x v="1538"/>
    <x v="50"/>
    <n v="5.01"/>
    <n v="2.16"/>
    <n v="3.81"/>
    <n v="1.86"/>
    <n v="63.050483351235229"/>
    <n v="23.387096774193552"/>
    <n v="30.474840538625088"/>
    <n v="34.863645971817654"/>
    <n v="33.333333333333329"/>
    <n v="21.15259184704027"/>
    <n v="63.362636209159049"/>
    <n v="41.605815371531918"/>
    <n v="4.3111111111111109"/>
    <n v="-0.50111111111111084"/>
    <n v="1539"/>
    <n v="44"/>
    <s v="Open ended"/>
    <s v="CRISIL Dynamic Gilt Index"/>
    <n v="5000"/>
    <n v="1000"/>
  </r>
  <r>
    <x v="1539"/>
    <x v="53"/>
    <n v="3.21"/>
    <n v="0.46"/>
    <n v="2.81"/>
    <n v="1.71"/>
    <n v="59.183673469387756"/>
    <n v="20.47014413177763"/>
    <n v="26.931254429482632"/>
    <n v="31.443405148152159"/>
    <n v="39.080459770114942"/>
    <n v="20.739261614864464"/>
    <n v="64.078545171591784"/>
    <n v="41.511453809502761"/>
    <n v="4.7778125000000005"/>
    <n v="-1.9678125000000004"/>
    <n v="1540"/>
    <n v="30"/>
    <s v="Open ended"/>
    <s v="NIFTY Credit Risk Bond Index"/>
    <n v="5000"/>
    <n v="1000"/>
  </r>
  <r>
    <x v="1540"/>
    <x v="50"/>
    <n v="5.01"/>
    <n v="2.16"/>
    <n v="3.72"/>
    <n v="1.86"/>
    <n v="63.050483351235229"/>
    <n v="23.387096774193552"/>
    <n v="30.155917788802267"/>
    <n v="34.704184596906245"/>
    <n v="33.333333333333329"/>
    <n v="21.217342027332496"/>
    <n v="63.250485607093673"/>
    <n v="41.498047033559871"/>
    <n v="4.3111111111111109"/>
    <n v="-0.5911111111111107"/>
    <n v="1541"/>
    <n v="45"/>
    <s v="Open ended"/>
    <s v="CRISIL Dynamic Gilt Index"/>
    <n v="5000"/>
    <n v="1000"/>
  </r>
  <r>
    <x v="1541"/>
    <x v="36"/>
    <n v="2.84"/>
    <n v="5.4"/>
    <n v="5.91"/>
    <n v="2.39"/>
    <n v="58.388829215896877"/>
    <n v="28.946465339739191"/>
    <n v="37.916371367824233"/>
    <n v="39.31989112901325"/>
    <n v="13.026819923371647"/>
    <n v="15.091021254981731"/>
    <n v="73.861584448269809"/>
    <n v="41.382046657416993"/>
    <n v="5.7759259259259252"/>
    <n v="0.1340740740740749"/>
    <n v="1542"/>
    <n v="44"/>
    <s v="Open ended"/>
    <s v="CRISIL Hybrid 85+15 - Conservative Index"/>
    <n v="1000"/>
    <n v="1000"/>
  </r>
  <r>
    <x v="1542"/>
    <x v="49"/>
    <n v="4.05"/>
    <n v="2.0099999999999998"/>
    <n v="3.37"/>
    <n v="1.88"/>
    <n v="60.98818474758324"/>
    <n v="23.129718599862738"/>
    <n v="28.915662650602407"/>
    <n v="33.594383854776673"/>
    <n v="32.567049808429125"/>
    <n v="20.393574483472783"/>
    <n v="64.677292846684907"/>
    <n v="41.108277591166846"/>
    <n v="4.3271875"/>
    <n v="-0.95718749999999986"/>
    <n v="1543"/>
    <n v="24"/>
    <s v="Open ended"/>
    <s v="CRISIL Medium to Long Term Debt Index"/>
    <n v="5000"/>
    <n v="1000"/>
  </r>
  <r>
    <x v="1543"/>
    <x v="18"/>
    <n v="-11.08"/>
    <n v="3.2"/>
    <n v="3.36"/>
    <n v="2.41"/>
    <n v="28.485499462943064"/>
    <n v="25.171585449553881"/>
    <n v="28.880226789510981"/>
    <n v="27.688688922210268"/>
    <n v="12.260536398467426"/>
    <n v="2.0368217210037249"/>
    <n v="96.472121293261665"/>
    <n v="41.027508884037402"/>
    <n v="6.9120588235294118"/>
    <n v="-3.5520588235294119"/>
    <n v="1544"/>
    <n v="28"/>
    <s v="Open ended"/>
    <s v="MSCI Emerging Market Index"/>
    <n v="5000"/>
    <n v="1000"/>
  </r>
  <r>
    <x v="1544"/>
    <x v="18"/>
    <n v="-11.08"/>
    <n v="3.2"/>
    <n v="3.36"/>
    <n v="2.41"/>
    <n v="28.485499462943064"/>
    <n v="25.171585449553881"/>
    <n v="28.880226789510981"/>
    <n v="27.688688922210268"/>
    <n v="12.260536398467426"/>
    <n v="2.0368217210037249"/>
    <n v="96.472121293261665"/>
    <n v="41.027508884037402"/>
    <n v="6.9120588235294118"/>
    <n v="-3.5520588235294119"/>
    <n v="1544"/>
    <n v="28"/>
    <s v="Open ended"/>
    <s v="MSCI Emerging Market Index"/>
    <n v="5000"/>
    <n v="1000"/>
  </r>
  <r>
    <x v="1545"/>
    <x v="13"/>
    <n v="0.2"/>
    <n v="9.25"/>
    <n v="5.15"/>
    <n v="2.64"/>
    <n v="52.717508055853912"/>
    <n v="35.552505147563487"/>
    <n v="35.223245924875975"/>
    <n v="38.820876117877816"/>
    <n v="3.4482758620689502"/>
    <n v="10.006622340436293"/>
    <n v="82.668021694210552"/>
    <n v="40.939512448008784"/>
    <n v="10.461"/>
    <n v="-5.3109999999999999"/>
    <n v="1546"/>
    <n v="39"/>
    <s v="Open ended"/>
    <s v="S&amp;P BSE 500 - TRI"/>
    <n v="5000"/>
    <n v="1000"/>
  </r>
  <r>
    <x v="1546"/>
    <x v="51"/>
    <n v="5.4"/>
    <n v="6.13"/>
    <n v="8.35"/>
    <n v="2.66"/>
    <n v="63.888292158968852"/>
    <n v="30.199039121482503"/>
    <n v="46.56272147413182"/>
    <n v="45.118730905304432"/>
    <n v="2.6819923371647292"/>
    <n v="16.846914999080568"/>
    <n v="70.820287270798275"/>
    <n v="40.934935354642967"/>
    <n v="8.7813636363636363"/>
    <n v="-0.43136363636363662"/>
    <n v="1547"/>
    <n v="17"/>
    <s v="Open ended"/>
    <s v="NIFTY BANK - TRI"/>
    <n v="5000"/>
    <n v="1000"/>
  </r>
  <r>
    <x v="1547"/>
    <x v="51"/>
    <n v="5.38"/>
    <n v="6.14"/>
    <n v="8.09"/>
    <n v="2.66"/>
    <n v="63.845327604726101"/>
    <n v="30.216197666437889"/>
    <n v="45.641389085754781"/>
    <n v="44.65461936375398"/>
    <n v="2.6819923371647292"/>
    <n v="16.833687892295654"/>
    <n v="70.843197291786879"/>
    <n v="40.708607089114892"/>
    <n v="8.7813636363636363"/>
    <n v="-0.6913636363636364"/>
    <n v="1548"/>
    <n v="18"/>
    <s v="Open ended"/>
    <s v="NIFTY BANK - TRI"/>
    <n v="5000"/>
    <n v="1000"/>
  </r>
  <r>
    <x v="1548"/>
    <x v="36"/>
    <n v="2.27"/>
    <n v="3.95"/>
    <n v="3.82"/>
    <n v="2.15"/>
    <n v="57.164339419978518"/>
    <n v="26.458476321207968"/>
    <n v="30.510276399716506"/>
    <n v="34.625548980216351"/>
    <n v="22.222222222222232"/>
    <n v="16.681857350650635"/>
    <n v="71.10617550405675"/>
    <n v="40.64487392167792"/>
    <n v="5.7759259259259252"/>
    <n v="-1.9559259259259254"/>
    <n v="1549"/>
    <n v="45"/>
    <s v="Open ended"/>
    <s v="CRISIL Hybrid 85+15 - Conservative Index"/>
    <n v="1000"/>
    <n v="1000"/>
  </r>
  <r>
    <x v="1549"/>
    <x v="36"/>
    <n v="2.84"/>
    <n v="5.4"/>
    <n v="5.24"/>
    <n v="2.39"/>
    <n v="58.388829215896877"/>
    <n v="28.946465339739191"/>
    <n v="35.542168674698793"/>
    <n v="38.13278978245053"/>
    <n v="13.026819923371647"/>
    <n v="15.45059864527159"/>
    <n v="73.238778139034736"/>
    <n v="40.632794406826861"/>
    <n v="5.7759259259259252"/>
    <n v="-0.53592592592592503"/>
    <n v="1550"/>
    <n v="46"/>
    <s v="Open ended"/>
    <s v="CRISIL Hybrid 85+15 - Conservative Index"/>
    <n v="1000"/>
    <n v="1000"/>
  </r>
  <r>
    <x v="1550"/>
    <x v="53"/>
    <n v="5.87"/>
    <n v="3.94"/>
    <n v="0.75"/>
    <n v="1.6"/>
    <n v="64.897959183673464"/>
    <n v="26.441317776252575"/>
    <n v="19.631467044649185"/>
    <n v="30.727720691935058"/>
    <n v="43.295019157088113"/>
    <n v="24.407453253388347"/>
    <n v="57.725050881769093"/>
    <n v="40.618877855681831"/>
    <n v="4.7778125000000005"/>
    <n v="-4.0278125000000005"/>
    <n v="1551"/>
    <n v="31"/>
    <s v="Open ended"/>
    <s v="CRISIL Short Term Credit Risk Fund"/>
    <n v="20000"/>
    <n v="1000"/>
  </r>
  <r>
    <x v="1551"/>
    <x v="53"/>
    <n v="5.87"/>
    <n v="3.94"/>
    <n v="0.75"/>
    <n v="1.6"/>
    <n v="64.897959183673464"/>
    <n v="26.441317776252575"/>
    <n v="19.631467044649185"/>
    <n v="30.727720691935058"/>
    <n v="43.295019157088113"/>
    <n v="24.407453253388347"/>
    <n v="57.725050881769093"/>
    <n v="40.618877855681831"/>
    <n v="4.7778125000000005"/>
    <n v="-4.0278125000000005"/>
    <n v="1551"/>
    <n v="31"/>
    <s v="Open ended"/>
    <s v="CRISIL Short Term Credit Risk Fund"/>
    <n v="1000"/>
    <n v="1000"/>
  </r>
  <r>
    <x v="1552"/>
    <x v="40"/>
    <n v="-1.4"/>
    <n v="3.87"/>
    <n v="4.59"/>
    <n v="2.38"/>
    <n v="49.28034371643394"/>
    <n v="26.321207961564863"/>
    <n v="33.238837703756197"/>
    <n v="34.371849983634348"/>
    <n v="13.409961685823756"/>
    <n v="11.77784241004646"/>
    <n v="79.600178542260053"/>
    <n v="40.438460048838124"/>
    <n v="6.6483333333333334"/>
    <n v="-2.0583333333333336"/>
    <n v="1553"/>
    <n v="10"/>
    <s v="Open ended"/>
    <s v="CRISIL Hybrid 50+50 - Moderate Index"/>
    <n v="1000"/>
    <n v="1000"/>
  </r>
  <r>
    <x v="1553"/>
    <x v="40"/>
    <n v="-1.4"/>
    <n v="3.87"/>
    <n v="4.53"/>
    <n v="2.38"/>
    <n v="49.28034371643394"/>
    <n v="26.321207961564863"/>
    <n v="33.026222537207651"/>
    <n v="34.265542400360076"/>
    <n v="13.409961685823756"/>
    <n v="11.805899587205419"/>
    <n v="79.551582085903775"/>
    <n v="40.373157143111925"/>
    <n v="6.6483333333333334"/>
    <n v="-2.1183333333333332"/>
    <n v="1554"/>
    <n v="11"/>
    <s v="Open ended"/>
    <s v="CRISIL Hybrid 50+50 - Moderate Index"/>
    <n v="1000"/>
    <n v="1000"/>
  </r>
  <r>
    <x v="1554"/>
    <x v="37"/>
    <n v="2.99"/>
    <n v="6.15"/>
    <n v="5.37"/>
    <n v="2.48"/>
    <n v="58.711063372717511"/>
    <n v="30.233356211393282"/>
    <n v="36.002834868887312"/>
    <n v="38.813636972405142"/>
    <n v="9.578544061302674"/>
    <n v="15.055067424445403"/>
    <n v="73.923858309485439"/>
    <n v="40.282419078899601"/>
    <n v="7.1099999999999994"/>
    <n v="-1.7399999999999993"/>
    <n v="1555"/>
    <n v="12"/>
    <s v="Open ended"/>
    <s v="NIFTY 500"/>
    <n v="1000"/>
    <n v="1000"/>
  </r>
  <r>
    <x v="1555"/>
    <x v="40"/>
    <n v="-1.4"/>
    <n v="3.87"/>
    <n v="4.43"/>
    <n v="2.38"/>
    <n v="49.28034371643394"/>
    <n v="26.321207961564863"/>
    <n v="32.671863926293412"/>
    <n v="34.088363094902952"/>
    <n v="13.409961685823756"/>
    <n v="11.85533878844152"/>
    <n v="79.465950877477226"/>
    <n v="40.263159688276723"/>
    <n v="6.6483333333333334"/>
    <n v="-2.2183333333333337"/>
    <n v="1556"/>
    <n v="12"/>
    <s v="Open ended"/>
    <s v="CRISIL Hybrid 50+50 - Moderate Index"/>
    <n v="1000"/>
    <n v="1000"/>
  </r>
  <r>
    <x v="1556"/>
    <x v="43"/>
    <n v="-5.47"/>
    <n v="2.2799999999999998"/>
    <n v="4.6100000000000003"/>
    <n v="2.42"/>
    <n v="40.537056928034367"/>
    <n v="23.592999313658204"/>
    <n v="33.309709425939047"/>
    <n v="31.840165892673859"/>
    <n v="11.877394636015314"/>
    <n v="8.5024515656901674"/>
    <n v="85.27332189933108"/>
    <n v="40.207762080173524"/>
    <n v="8.7869230769230775"/>
    <n v="-4.1769230769230772"/>
    <n v="1557"/>
    <n v="9"/>
    <s v="Open ended"/>
    <s v="S&amp;P BSE 500 Japan - TRI"/>
    <n v="5000"/>
    <n v="1000"/>
  </r>
  <r>
    <x v="1557"/>
    <x v="43"/>
    <n v="-5.47"/>
    <n v="2.2799999999999998"/>
    <n v="4.6100000000000003"/>
    <n v="2.42"/>
    <n v="40.537056928034367"/>
    <n v="23.592999313658204"/>
    <n v="33.309709425939047"/>
    <n v="31.840165892673859"/>
    <n v="11.877394636015314"/>
    <n v="8.5024515656901674"/>
    <n v="85.27332189933108"/>
    <n v="40.207762080173524"/>
    <n v="8.7869230769230775"/>
    <n v="-4.1769230769230772"/>
    <n v="1557"/>
    <n v="9"/>
    <s v="Open ended"/>
    <s v="S&amp;P BSE 500 Japan - TRI"/>
    <n v="5000"/>
    <n v="1000"/>
  </r>
  <r>
    <x v="1558"/>
    <x v="43"/>
    <n v="-5.47"/>
    <n v="2.2799999999999998"/>
    <n v="4.6100000000000003"/>
    <n v="2.42"/>
    <n v="40.537056928034367"/>
    <n v="23.592999313658204"/>
    <n v="33.309709425939047"/>
    <n v="31.840165892673859"/>
    <n v="11.877394636015314"/>
    <n v="8.5024515656901674"/>
    <n v="85.27332189933108"/>
    <n v="40.207762080173524"/>
    <n v="8.7869230769230775"/>
    <n v="-4.1769230769230772"/>
    <n v="1557"/>
    <n v="9"/>
    <s v="Open ended"/>
    <s v="S&amp;P BSE 500 Japan - TRI"/>
    <n v="5000"/>
    <m/>
  </r>
  <r>
    <x v="1559"/>
    <x v="36"/>
    <n v="2.84"/>
    <n v="4.96"/>
    <n v="5"/>
    <n v="2.39"/>
    <n v="58.388829215896877"/>
    <n v="28.191489361702132"/>
    <n v="34.691708008504605"/>
    <n v="37.481066655942314"/>
    <n v="13.026819923371647"/>
    <n v="15.893844354779921"/>
    <n v="72.471054049929393"/>
    <n v="40.115001821296417"/>
    <n v="5.7759259259259252"/>
    <n v="-0.77592592592592524"/>
    <n v="1560"/>
    <n v="47"/>
    <s v="Open ended"/>
    <s v="CRISIL Hybrid 85+15 - Conservative Index"/>
    <n v="1000"/>
    <n v="1000"/>
  </r>
  <r>
    <x v="1560"/>
    <x v="13"/>
    <n v="0.2"/>
    <n v="9.2100000000000009"/>
    <n v="4.5599999999999996"/>
    <n v="2.64"/>
    <n v="52.717508055853912"/>
    <n v="35.483870967741936"/>
    <n v="33.132530120481924"/>
    <n v="37.754927961734325"/>
    <n v="3.4482758620689502"/>
    <n v="10.693443565987446"/>
    <n v="81.478412435839232"/>
    <n v="40.109136055344209"/>
    <n v="10.461"/>
    <n v="-5.9010000000000007"/>
    <n v="1561"/>
    <n v="40"/>
    <s v="Open ended"/>
    <s v="S&amp;P BSE 500 - TRI"/>
    <n v="5000"/>
    <n v="1000"/>
  </r>
  <r>
    <x v="1561"/>
    <x v="49"/>
    <n v="3.38"/>
    <n v="0.73"/>
    <n v="3.7"/>
    <n v="1.99"/>
    <n v="59.548872180451127"/>
    <n v="20.933424845573096"/>
    <n v="30.085046066619412"/>
    <n v="33.232324923071857"/>
    <n v="28.352490421455933"/>
    <n v="20.17846208672486"/>
    <n v="65.049878447190238"/>
    <n v="39.96675467869747"/>
    <n v="4.3271875"/>
    <n v="-0.62718749999999979"/>
    <n v="1562"/>
    <n v="25"/>
    <s v="Open ended"/>
    <s v="NIFTY Medium to Long Term Debt Index"/>
    <n v="1000"/>
    <n v="1000"/>
  </r>
  <r>
    <x v="1562"/>
    <x v="36"/>
    <n v="21.89"/>
    <n v="13.1"/>
    <n v="5.86"/>
    <n v="2.2999999999999998"/>
    <n v="99.312567132116001"/>
    <n v="42.158544955387789"/>
    <n v="37.73919206236711"/>
    <n v="51.379672944223095"/>
    <n v="16.475095785440619"/>
    <n v="34.344804188433329"/>
    <n v="40.513054169629093"/>
    <n v="39.936873960878977"/>
    <n v="5.7759259259259252"/>
    <n v="8.4074074074075078E-2"/>
    <n v="1563"/>
    <n v="48"/>
    <s v="Open ended"/>
    <s v="CRISIL Hybrid 85+15 - Conservative Index"/>
    <n v="10000"/>
    <n v="1000"/>
  </r>
  <r>
    <x v="1563"/>
    <x v="49"/>
    <n v="3.37"/>
    <n v="0.73"/>
    <n v="3.48"/>
    <n v="1.99"/>
    <n v="59.527389903329755"/>
    <n v="20.933424845573096"/>
    <n v="29.305457122608075"/>
    <n v="32.838233995641914"/>
    <n v="28.352490421455933"/>
    <n v="20.301684184362298"/>
    <n v="64.836451513466983"/>
    <n v="39.716352481551688"/>
    <n v="4.3271875"/>
    <n v="-0.84718749999999998"/>
    <n v="1564"/>
    <n v="26"/>
    <s v="Open ended"/>
    <s v="NIFTY Medium to Long Term Debt Index"/>
    <n v="1000"/>
    <n v="1000"/>
  </r>
  <r>
    <x v="1564"/>
    <x v="36"/>
    <n v="4.5199999999999996"/>
    <n v="3.14"/>
    <n v="2.6"/>
    <n v="1.97"/>
    <n v="61.997851772287859"/>
    <n v="25.068634179821554"/>
    <n v="26.18710134656272"/>
    <n v="33.013711281685403"/>
    <n v="29.118773946360154"/>
    <n v="21.005665612116708"/>
    <n v="63.617119913011457"/>
    <n v="39.690829105685602"/>
    <n v="5.7759259259259252"/>
    <n v="-3.1759259259259252"/>
    <n v="1565"/>
    <n v="49"/>
    <s v="Open ended"/>
    <s v="CRISIL Hybrid 85+15 - Conservative Index"/>
    <n v="5000"/>
    <n v="1000"/>
  </r>
  <r>
    <x v="1565"/>
    <x v="30"/>
    <n v="3.33"/>
    <n v="3.34"/>
    <n v="0.31"/>
    <n v="1.69"/>
    <n v="59.441460794844247"/>
    <n v="25.411805078929312"/>
    <n v="18.072289156626503"/>
    <n v="28.547978260960896"/>
    <n v="39.846743295019159"/>
    <n v="22.07296356839349"/>
    <n v="61.768505625925648"/>
    <n v="39.67780136071665"/>
    <n v="6.1480952380952392"/>
    <n v="-5.8380952380952396"/>
    <n v="1566"/>
    <n v="38"/>
    <s v="Open ended"/>
    <s v="NIFTY 50 Equity Savings Index"/>
    <n v="5000"/>
    <n v="1000"/>
  </r>
  <r>
    <x v="1566"/>
    <x v="30"/>
    <n v="3.33"/>
    <n v="3.34"/>
    <n v="0.31"/>
    <n v="1.69"/>
    <n v="59.441460794844247"/>
    <n v="25.411805078929312"/>
    <n v="18.072289156626503"/>
    <n v="28.547978260960896"/>
    <n v="39.846743295019159"/>
    <n v="22.07296356839349"/>
    <n v="61.768505625925648"/>
    <n v="39.67780136071665"/>
    <n v="6.1480952380952392"/>
    <n v="-5.8380952380952396"/>
    <n v="1566"/>
    <n v="38"/>
    <s v="Open ended"/>
    <s v="NIFTY 50 Equity Savings Index"/>
    <n v="5000"/>
    <m/>
  </r>
  <r>
    <x v="1567"/>
    <x v="18"/>
    <n v="1.33"/>
    <n v="0.38"/>
    <n v="-1.21"/>
    <n v="1.4"/>
    <n v="55.14500537056928"/>
    <n v="20.332875772134525"/>
    <n v="12.686038270729977"/>
    <n v="23.471882941119205"/>
    <n v="50.957854406130274"/>
    <n v="22.631550168353989"/>
    <n v="60.801005254366913"/>
    <n v="39.675656385683901"/>
    <n v="6.9120588235294118"/>
    <n v="-8.1220588235294109"/>
    <n v="1568"/>
    <n v="30"/>
    <s v="Open ended"/>
    <s v="MSCI Europe Index (Total Return Net)"/>
    <n v="5000"/>
    <n v="1000"/>
  </r>
  <r>
    <x v="1568"/>
    <x v="18"/>
    <n v="1.33"/>
    <n v="0.38"/>
    <n v="-1.21"/>
    <n v="1.4"/>
    <n v="55.14500537056928"/>
    <n v="20.332875772134525"/>
    <n v="12.686038270729977"/>
    <n v="23.471882941119205"/>
    <n v="50.957854406130274"/>
    <n v="22.631550168353989"/>
    <n v="60.801005254366913"/>
    <n v="39.675656385683901"/>
    <n v="6.9120588235294118"/>
    <n v="-8.1220588235294109"/>
    <n v="1568"/>
    <n v="30"/>
    <s v="Open ended"/>
    <s v="MSCI Europe Index (Total Return Net)"/>
    <n v="5000"/>
    <n v="1000"/>
  </r>
  <r>
    <x v="1569"/>
    <x v="36"/>
    <n v="21.89"/>
    <n v="13.1"/>
    <n v="5.67"/>
    <n v="2.2999999999999998"/>
    <n v="99.312567132116001"/>
    <n v="42.158544955387789"/>
    <n v="37.065910701630045"/>
    <n v="51.043032263854563"/>
    <n v="16.475095785440619"/>
    <n v="34.561933326024665"/>
    <n v="40.136975471517289"/>
    <n v="39.674533946166761"/>
    <n v="5.7759259259259252"/>
    <n v="-0.10592592592592531"/>
    <n v="1570"/>
    <n v="50"/>
    <s v="Open ended"/>
    <s v="CRISIL Hybrid 85+15 - Conservative Index"/>
    <n v="10000"/>
    <n v="1000"/>
  </r>
  <r>
    <x v="1570"/>
    <x v="36"/>
    <n v="21.89"/>
    <n v="13.11"/>
    <n v="5.62"/>
    <n v="2.2999999999999998"/>
    <n v="99.312567132116001"/>
    <n v="42.175703500343175"/>
    <n v="36.888731396172922"/>
    <n v="50.959590174612615"/>
    <n v="16.475095785440619"/>
    <n v="34.615286911262395"/>
    <n v="40.044564351119583"/>
    <n v="39.609710121446355"/>
    <n v="5.7759259259259252"/>
    <n v="-0.15592592592592514"/>
    <n v="1571"/>
    <n v="51"/>
    <s v="Open ended"/>
    <s v="CRISIL Hybrid 85+15 - Conservative Index"/>
    <n v="10000"/>
    <n v="1000"/>
  </r>
  <r>
    <x v="1571"/>
    <x v="49"/>
    <n v="3.37"/>
    <n v="0.73"/>
    <n v="3.3"/>
    <n v="1.99"/>
    <n v="59.527389903329755"/>
    <n v="20.933424845573096"/>
    <n v="28.667611622962436"/>
    <n v="32.519311245819097"/>
    <n v="28.352490421455933"/>
    <n v="20.41909930881835"/>
    <n v="64.63308255233207"/>
    <n v="39.506048866356551"/>
    <n v="4.3271875"/>
    <n v="-1.0271875000000001"/>
    <n v="1572"/>
    <n v="27"/>
    <s v="Open ended"/>
    <s v="NIFTY Medium to Long Term Debt Index"/>
    <n v="1000"/>
    <n v="1000"/>
  </r>
  <r>
    <x v="1572"/>
    <x v="30"/>
    <n v="3.33"/>
    <n v="3.34"/>
    <n v="0.19"/>
    <n v="1.69"/>
    <n v="59.441460794844247"/>
    <n v="25.411805078929312"/>
    <n v="17.647058823529409"/>
    <n v="28.335363094412351"/>
    <n v="39.846743295019159"/>
    <n v="22.230162650080835"/>
    <n v="61.496228829539994"/>
    <n v="39.503424578345964"/>
    <n v="6.1480952380952392"/>
    <n v="-5.9580952380952388"/>
    <n v="1573"/>
    <n v="40"/>
    <s v="Open ended"/>
    <s v="NIFTY 50 Equity Savings Index"/>
    <n v="5000"/>
    <n v="1000"/>
  </r>
  <r>
    <x v="1573"/>
    <x v="30"/>
    <n v="3.33"/>
    <n v="3.34"/>
    <n v="0.18"/>
    <n v="1.69"/>
    <n v="59.441460794844247"/>
    <n v="25.411805078929312"/>
    <n v="17.611622962437988"/>
    <n v="28.317645163866636"/>
    <n v="39.846743295019159"/>
    <n v="22.243334740544707"/>
    <n v="61.473414099614679"/>
    <n v="39.488861930591774"/>
    <n v="6.1480952380952392"/>
    <n v="-5.9680952380952395"/>
    <n v="1574"/>
    <n v="41"/>
    <s v="Open ended"/>
    <s v="NIFTY 50 Equity Savings Index"/>
    <n v="5000"/>
    <n v="1000"/>
  </r>
  <r>
    <x v="1574"/>
    <x v="30"/>
    <n v="3.33"/>
    <n v="3.34"/>
    <n v="0.15"/>
    <n v="1.69"/>
    <n v="59.441460794844247"/>
    <n v="25.411805078929312"/>
    <n v="17.505315379163715"/>
    <n v="28.2644913722295"/>
    <n v="39.846743295019159"/>
    <n v="22.282916998758282"/>
    <n v="61.404855617310453"/>
    <n v="39.445145414197157"/>
    <n v="6.1480952380952392"/>
    <n v="-5.9980952380952388"/>
    <n v="1575"/>
    <n v="42"/>
    <s v="Open ended"/>
    <s v="NIFTY 50 Equity Savings Index"/>
    <n v="5000"/>
    <n v="1000"/>
  </r>
  <r>
    <x v="1575"/>
    <x v="45"/>
    <n v="5.79"/>
    <n v="2.11"/>
    <n v="3.22"/>
    <n v="2"/>
    <n v="64.726100966702475"/>
    <n v="23.301304049416611"/>
    <n v="28.384124734231044"/>
    <n v="34.127673775280996"/>
    <n v="27.969348659003824"/>
    <n v="22.592727820524729"/>
    <n v="60.868247533276296"/>
    <n v="39.273235935710531"/>
    <n v="4.1175000000000006"/>
    <n v="-0.89750000000000041"/>
    <n v="1576"/>
    <n v="7"/>
    <s v="Open ended"/>
    <s v="NIFTY Long Duration Debt Index"/>
    <n v="5000"/>
    <n v="1000"/>
  </r>
  <r>
    <x v="1576"/>
    <x v="45"/>
    <n v="5.78"/>
    <n v="2.11"/>
    <n v="3.13"/>
    <n v="2"/>
    <n v="64.704618689581096"/>
    <n v="23.301304049416611"/>
    <n v="28.065201984408215"/>
    <n v="33.963915944945313"/>
    <n v="27.969348659003824"/>
    <n v="22.65456555613304"/>
    <n v="60.761141433377695"/>
    <n v="39.164580495568039"/>
    <n v="4.1175000000000006"/>
    <n v="-0.98750000000000071"/>
    <n v="1577"/>
    <n v="8"/>
    <s v="Open ended"/>
    <s v="NIFTY Long Duration Debt Index"/>
    <n v="5000"/>
    <n v="1000"/>
  </r>
  <r>
    <x v="1577"/>
    <x v="36"/>
    <n v="21.89"/>
    <n v="13.1"/>
    <n v="5.28"/>
    <n v="2.2999999999999998"/>
    <n v="99.312567132116001"/>
    <n v="42.158544955387789"/>
    <n v="35.683912119064495"/>
    <n v="50.352032972571791"/>
    <n v="16.475095785440619"/>
    <n v="35.016921766752191"/>
    <n v="39.348912375320666"/>
    <n v="39.132018526476216"/>
    <n v="5.7759259259259252"/>
    <n v="-0.49592592592592499"/>
    <n v="1578"/>
    <n v="52"/>
    <s v="Open ended"/>
    <s v="CRISIL Hybrid 85+15 - Conservative Index"/>
    <n v="10000"/>
    <n v="1000"/>
  </r>
  <r>
    <x v="1578"/>
    <x v="49"/>
    <n v="4.87"/>
    <n v="1.85"/>
    <n v="3.37"/>
    <n v="2.06"/>
    <n v="62.749731471535974"/>
    <n v="22.855181880576531"/>
    <n v="28.915662650602407"/>
    <n v="33.864332183781357"/>
    <n v="25.670498084291182"/>
    <n v="21.498250809500156"/>
    <n v="62.763937324086982"/>
    <n v="39.04077494398522"/>
    <n v="4.3271875"/>
    <n v="-0.95718749999999986"/>
    <n v="1579"/>
    <n v="28"/>
    <s v="Open ended"/>
    <s v="NIFTY Medium to Long Term Debt Index"/>
    <n v="1000"/>
    <n v="1000"/>
  </r>
  <r>
    <x v="1579"/>
    <x v="49"/>
    <n v="3.23"/>
    <n v="0.84"/>
    <n v="3.09"/>
    <n v="2.04"/>
    <n v="59.226638023630507"/>
    <n v="21.122168840082363"/>
    <n v="27.923458540042525"/>
    <n v="32.143707526772076"/>
    <n v="26.436781609195403"/>
    <n v="20.322799836327007"/>
    <n v="64.799878131429153"/>
    <n v="38.881018698542178"/>
    <n v="4.3271875"/>
    <n v="-1.2371875000000001"/>
    <n v="1580"/>
    <n v="29"/>
    <s v="Open ended"/>
    <s v="NIFTY Medium to Long Term Debt Index"/>
    <n v="5000"/>
    <n v="1000"/>
  </r>
  <r>
    <x v="1580"/>
    <x v="7"/>
    <n v="14.71"/>
    <n v="13.99"/>
    <n v="4.78"/>
    <n v="2.5299999999999998"/>
    <n v="83.888292158968852"/>
    <n v="43.685655456417308"/>
    <n v="33.912119064493261"/>
    <n v="46.839414600965597"/>
    <n v="7.6628352490421436"/>
    <n v="26.487078260322189"/>
    <n v="54.123034709068897"/>
    <n v="38.866174790010561"/>
    <n v="8.6526315789473696"/>
    <n v="-3.8726315789473693"/>
    <n v="1581"/>
    <n v="18"/>
    <s v="Open ended"/>
    <s v="S&amp;P BSE PSU - TRI"/>
    <n v="5000"/>
    <n v="1000"/>
  </r>
  <r>
    <x v="1581"/>
    <x v="7"/>
    <n v="14.71"/>
    <n v="13.99"/>
    <n v="4.78"/>
    <n v="2.5299999999999998"/>
    <n v="83.888292158968852"/>
    <n v="43.685655456417308"/>
    <n v="33.912119064493261"/>
    <n v="46.839414600965597"/>
    <n v="7.6628352490421436"/>
    <n v="26.487078260322189"/>
    <n v="54.123034709068897"/>
    <n v="38.866174790010561"/>
    <n v="8.6526315789473696"/>
    <n v="-3.8726315789473693"/>
    <n v="1581"/>
    <n v="18"/>
    <s v="Open ended"/>
    <s v="S&amp;P BSE PSU - TRI"/>
    <n v="5000"/>
    <n v="1000"/>
  </r>
  <r>
    <x v="1582"/>
    <x v="49"/>
    <n v="4.87"/>
    <n v="1.85"/>
    <n v="3.19"/>
    <n v="2.06"/>
    <n v="62.749731471535974"/>
    <n v="22.855181880576531"/>
    <n v="28.277817150956764"/>
    <n v="33.54540943395854"/>
    <n v="25.670498084291182"/>
    <n v="21.63828758345743"/>
    <n v="62.521386516664947"/>
    <n v="38.820675867218299"/>
    <n v="4.3271875"/>
    <n v="-1.1371875"/>
    <n v="1583"/>
    <n v="30"/>
    <s v="Open ended"/>
    <s v="NIFTY Medium to Long Term Debt Index"/>
    <n v="1000"/>
    <n v="1000"/>
  </r>
  <r>
    <x v="1583"/>
    <x v="49"/>
    <n v="3.38"/>
    <n v="0.73"/>
    <n v="2.72"/>
    <n v="1.99"/>
    <n v="59.548872180451127"/>
    <n v="20.933424845573096"/>
    <n v="26.612331679659817"/>
    <n v="31.495967729592063"/>
    <n v="28.352490421455933"/>
    <n v="20.849534190892779"/>
    <n v="63.887547467229247"/>
    <n v="38.807993336967328"/>
    <n v="4.3271875"/>
    <n v="-1.6071874999999998"/>
    <n v="1584"/>
    <n v="31"/>
    <s v="Open ended"/>
    <s v="NIFTY Medium to Long Term Debt Index"/>
    <n v="1000"/>
    <n v="1000"/>
  </r>
  <r>
    <x v="1584"/>
    <x v="49"/>
    <n v="3.23"/>
    <n v="0.84"/>
    <n v="2.93"/>
    <n v="2.04"/>
    <n v="59.226638023630507"/>
    <n v="21.122168840082363"/>
    <n v="27.356484762579729"/>
    <n v="31.860220638040673"/>
    <n v="26.436781609195403"/>
    <n v="20.439031025892348"/>
    <n v="64.598559805677809"/>
    <n v="38.68894567273864"/>
    <n v="4.3271875"/>
    <n v="-1.3971874999999998"/>
    <n v="1585"/>
    <n v="32"/>
    <s v="Open ended"/>
    <s v="NIFTY Medium to Long Term Debt Index"/>
    <n v="5000"/>
    <n v="1000"/>
  </r>
  <r>
    <x v="1585"/>
    <x v="36"/>
    <n v="4.5199999999999996"/>
    <n v="3.14"/>
    <n v="1.75"/>
    <n v="1.97"/>
    <n v="61.997851772287859"/>
    <n v="25.068634179821554"/>
    <n v="23.175053153791637"/>
    <n v="31.507687185299858"/>
    <n v="29.118773946360154"/>
    <n v="21.888210120466589"/>
    <n v="62.088507984608569"/>
    <n v="38.555664075392109"/>
    <n v="5.7759259259259252"/>
    <n v="-4.0259259259259252"/>
    <n v="1586"/>
    <n v="53"/>
    <s v="Open ended"/>
    <s v="CRISIL Hybrid 85+15 - Conservative Index"/>
    <n v="5000"/>
    <n v="1000"/>
  </r>
  <r>
    <x v="1586"/>
    <x v="36"/>
    <n v="4.5199999999999996"/>
    <n v="3.08"/>
    <n v="1.69"/>
    <n v="1.97"/>
    <n v="61.997851772287859"/>
    <n v="24.965682910089228"/>
    <n v="22.962437987243089"/>
    <n v="31.370494221105886"/>
    <n v="29.118773946360154"/>
    <n v="21.981651629745532"/>
    <n v="61.926662543001527"/>
    <n v="38.446606232893359"/>
    <n v="5.7759259259259252"/>
    <n v="-4.0859259259259257"/>
    <n v="1587"/>
    <n v="54"/>
    <s v="Open ended"/>
    <s v="CRISIL Hybrid 85+15 - Conservative Index"/>
    <n v="5000"/>
    <n v="1000"/>
  </r>
  <r>
    <x v="1587"/>
    <x v="51"/>
    <n v="10.9"/>
    <n v="8.36"/>
    <n v="5.88"/>
    <n v="2.61"/>
    <n v="75.703544575725019"/>
    <n v="34.025394646533982"/>
    <n v="37.810063784549961"/>
    <n v="44.253359201380178"/>
    <n v="4.5977011494252817"/>
    <n v="23.048166190522007"/>
    <n v="60.07940513672466"/>
    <n v="38.295956172227577"/>
    <n v="8.7813636363636363"/>
    <n v="-2.9013636363636364"/>
    <n v="1588"/>
    <n v="19"/>
    <s v="Open ended"/>
    <s v="Nifty Financial Services - TRI"/>
    <n v="5000"/>
    <n v="1000"/>
  </r>
  <r>
    <x v="1588"/>
    <x v="51"/>
    <n v="10.9"/>
    <n v="8.36"/>
    <n v="5.87"/>
    <n v="2.61"/>
    <n v="75.703544575725019"/>
    <n v="34.025394646533982"/>
    <n v="37.774627923458539"/>
    <n v="44.235641270834471"/>
    <n v="4.5977011494252817"/>
    <n v="23.056913822465134"/>
    <n v="60.064253793753252"/>
    <n v="38.283309371211871"/>
    <n v="8.7813636363636363"/>
    <n v="-2.9113636363636362"/>
    <n v="1589"/>
    <n v="20"/>
    <s v="Open ended"/>
    <s v="Nifty Financial Services - TRI"/>
    <n v="5000"/>
    <n v="1000"/>
  </r>
  <r>
    <x v="1589"/>
    <x v="43"/>
    <n v="-9.09"/>
    <n v="1.57"/>
    <n v="3.09"/>
    <n v="2.56"/>
    <n v="32.76047261009667"/>
    <n v="22.374742621825671"/>
    <n v="27.923458540042525"/>
    <n v="27.226246578588299"/>
    <n v="6.5134099616858121"/>
    <n v="5.1969276315313842"/>
    <n v="90.998657298929061"/>
    <n v="37.991140104447865"/>
    <n v="8.7869230769230775"/>
    <n v="-5.6969230769230776"/>
    <n v="1590"/>
    <n v="12"/>
    <s v="Open ended"/>
    <s v="MSCI Asia (ex-Japan) Standard Index"/>
    <n v="5000"/>
    <n v="1000"/>
  </r>
  <r>
    <x v="1590"/>
    <x v="51"/>
    <n v="6.88"/>
    <n v="7.43"/>
    <n v="5.14"/>
    <n v="2.64"/>
    <n v="67.067669172932327"/>
    <n v="32.429649965682913"/>
    <n v="35.187810063784546"/>
    <n v="40.736333856183613"/>
    <n v="3.4482758620689502"/>
    <n v="19.251516124484205"/>
    <n v="66.65539594966188"/>
    <n v="37.894084881024511"/>
    <n v="8.7813636363636363"/>
    <n v="-3.6413636363636366"/>
    <n v="1591"/>
    <n v="21"/>
    <s v="Open ended"/>
    <s v="Nifty Financial Services - TRI"/>
    <n v="5000"/>
    <n v="1000"/>
  </r>
  <r>
    <x v="1591"/>
    <x v="51"/>
    <n v="6.88"/>
    <n v="7.43"/>
    <n v="5.14"/>
    <n v="2.64"/>
    <n v="67.067669172932327"/>
    <n v="32.429649965682913"/>
    <n v="35.187810063784546"/>
    <n v="40.736333856183613"/>
    <n v="3.4482758620689502"/>
    <n v="19.251516124484205"/>
    <n v="66.65539594966188"/>
    <n v="37.894084881024511"/>
    <n v="8.7813636363636363"/>
    <n v="-3.6413636363636366"/>
    <n v="1591"/>
    <n v="21"/>
    <s v="Open ended"/>
    <s v="Nifty Financial Services - TRI"/>
    <n v="5000"/>
    <n v="1000"/>
  </r>
  <r>
    <x v="1592"/>
    <x v="43"/>
    <n v="-9.09"/>
    <n v="1.57"/>
    <n v="2.5299999999999998"/>
    <n v="2.56"/>
    <n v="32.76047261009667"/>
    <n v="22.374742621825671"/>
    <n v="25.939050318922746"/>
    <n v="26.234042468028409"/>
    <n v="6.5134099616858121"/>
    <n v="5.2773016909430375"/>
    <n v="90.859445344417509"/>
    <n v="37.460235060540036"/>
    <n v="8.7869230769230775"/>
    <n v="-6.2569230769230781"/>
    <n v="1593"/>
    <n v="13"/>
    <s v="Open ended"/>
    <s v="MSCI Asia (ex-Japan) Standard Index"/>
    <n v="5000"/>
    <n v="1000"/>
  </r>
  <r>
    <x v="1593"/>
    <x v="48"/>
    <n v="2.98"/>
    <n v="0.86"/>
    <n v="2.35"/>
    <n v="2.15"/>
    <n v="58.689581095596132"/>
    <n v="21.156485929993142"/>
    <n v="25.301204819277107"/>
    <n v="30.735464407755721"/>
    <n v="22.222222222222232"/>
    <n v="20.577882939985432"/>
    <n v="64.358061235740408"/>
    <n v="37.01280306836852"/>
    <n v="3.5597297297297299"/>
    <n v="-1.2097297297297298"/>
    <n v="1594"/>
    <n v="30"/>
    <s v="Open ended"/>
    <s v="NIFTY Medium Duration Debt Index"/>
    <n v="5000"/>
    <m/>
  </r>
  <r>
    <x v="1594"/>
    <x v="48"/>
    <n v="2.98"/>
    <n v="0.86"/>
    <n v="2.35"/>
    <n v="2.15"/>
    <n v="58.689581095596132"/>
    <n v="21.156485929993142"/>
    <n v="25.301204819277107"/>
    <n v="30.735464407755721"/>
    <n v="22.222222222222232"/>
    <n v="20.577882939985432"/>
    <n v="64.358061235740408"/>
    <n v="37.01280306836852"/>
    <n v="3.5597297297297299"/>
    <n v="-1.2097297297297298"/>
    <n v="1594"/>
    <n v="30"/>
    <s v="Open ended"/>
    <s v="NIFTY Medium Duration Debt Index"/>
    <n v="5000"/>
    <n v="1000"/>
  </r>
  <r>
    <x v="1595"/>
    <x v="48"/>
    <n v="2.98"/>
    <n v="0.86"/>
    <n v="2.2400000000000002"/>
    <n v="2.15"/>
    <n v="58.689581095596132"/>
    <n v="21.156485929993142"/>
    <n v="24.911410347271438"/>
    <n v="30.54056717175289"/>
    <n v="22.222222222222232"/>
    <n v="20.671226012635135"/>
    <n v="64.196386291376527"/>
    <n v="36.874935714276134"/>
    <n v="3.5597297297297299"/>
    <n v="-1.3197297297297297"/>
    <n v="1596"/>
    <n v="32"/>
    <s v="Open ended"/>
    <s v="NIFTY Medium Duration Debt Index"/>
    <n v="5000"/>
    <n v="1000"/>
  </r>
  <r>
    <x v="1596"/>
    <x v="48"/>
    <n v="2.98"/>
    <n v="0.86"/>
    <n v="2.13"/>
    <n v="2.15"/>
    <n v="58.689581095596132"/>
    <n v="21.156485929993142"/>
    <n v="24.521615875265766"/>
    <n v="30.345669935750053"/>
    <n v="22.222222222222232"/>
    <n v="20.766588467842951"/>
    <n v="64.03121367382208"/>
    <n v="36.7361939418861"/>
    <n v="3.5597297297297299"/>
    <n v="-1.42972972972973"/>
    <n v="1597"/>
    <n v="33"/>
    <s v="Open ended"/>
    <s v="NIFTY Medium Duration Debt Index"/>
    <n v="5000"/>
    <n v="1000"/>
  </r>
  <r>
    <x v="1597"/>
    <x v="48"/>
    <n v="2.98"/>
    <n v="0.86"/>
    <n v="1.9"/>
    <n v="2.15"/>
    <n v="58.689581095596132"/>
    <n v="21.156485929993142"/>
    <n v="23.706591070163004"/>
    <n v="29.93815753319867"/>
    <n v="22.222222222222232"/>
    <n v="20.972386051089835"/>
    <n v="63.674761803563598"/>
    <n v="36.443324773045788"/>
    <n v="3.5597297297297299"/>
    <n v="-1.65972972972973"/>
    <n v="1598"/>
    <n v="34"/>
    <s v="Open ended"/>
    <s v="NIFTY Medium Duration Debt Index"/>
    <n v="5000"/>
    <n v="1000"/>
  </r>
  <r>
    <x v="1598"/>
    <x v="34"/>
    <n v="14.9"/>
    <n v="8.86"/>
    <n v="4.91"/>
    <n v="2.6"/>
    <n v="84.296455424274967"/>
    <n v="34.883321894303364"/>
    <n v="34.37278525868178"/>
    <n v="44.510680282486888"/>
    <n v="4.9808429118773923"/>
    <n v="28.677201327041587"/>
    <n v="50.329630282682338"/>
    <n v="36.082958439883377"/>
    <n v="7.9378947368421047"/>
    <n v="-3.0278947368421045"/>
    <n v="1599"/>
    <n v="18"/>
    <s v="Open ended"/>
    <s v="NIFTY 50 Hybrid Composite Debt 50:50 Index"/>
    <n v="5000"/>
    <n v="1000"/>
  </r>
  <r>
    <x v="1599"/>
    <x v="34"/>
    <n v="14.9"/>
    <n v="8.85"/>
    <n v="4.9000000000000004"/>
    <n v="2.6"/>
    <n v="84.296455424274967"/>
    <n v="34.866163349347978"/>
    <n v="34.337349397590359"/>
    <n v="44.487814788454571"/>
    <n v="4.9808429118773923"/>
    <n v="28.692466182471655"/>
    <n v="50.303190777507268"/>
    <n v="36.064915816573446"/>
    <n v="7.9378947368421047"/>
    <n v="-3.0378947368421043"/>
    <n v="1600"/>
    <n v="19"/>
    <s v="Open ended"/>
    <s v="NIFTY 50 Hybrid Composite Debt 50:50 Index"/>
    <n v="5000"/>
    <n v="1000"/>
  </r>
  <r>
    <x v="1600"/>
    <x v="19"/>
    <n v="12.25"/>
    <n v="16.170000000000002"/>
    <n v="1.79"/>
    <n v="2.59"/>
    <n v="78.603651987110638"/>
    <n v="47.42621825669184"/>
    <n v="23.316796598157335"/>
    <n v="41.606994173508348"/>
    <n v="5.3639846743295028"/>
    <n v="27.718624802115464"/>
    <n v="51.989933526797202"/>
    <n v="35.141976637035853"/>
    <n v="9.4014285714285712"/>
    <n v="-7.6114285714285712"/>
    <n v="1601"/>
    <n v="34"/>
    <s v="Open ended"/>
    <s v="S&amp;P BSE India Infrastructure Index - TRI"/>
    <n v="1000"/>
    <n v="1000"/>
  </r>
  <r>
    <x v="1601"/>
    <x v="19"/>
    <n v="12.27"/>
    <n v="16.18"/>
    <n v="1.56"/>
    <n v="2.59"/>
    <n v="78.646616541353382"/>
    <n v="47.443376801647226"/>
    <n v="22.501771793054569"/>
    <n v="41.21322224529213"/>
    <n v="5.3639846743295028"/>
    <n v="28.130556999073708"/>
    <n v="51.276446032392045"/>
    <n v="34.766718799326455"/>
    <n v="9.4014285714285712"/>
    <n v="-7.8414285714285707"/>
    <n v="1602"/>
    <n v="35"/>
    <s v="Open ended"/>
    <s v="S&amp;P BSE India Infrastructure Index - TRI"/>
    <n v="1000"/>
    <n v="1000"/>
  </r>
  <r>
    <x v="1602"/>
    <x v="48"/>
    <n v="4.34"/>
    <n v="1.87"/>
    <n v="-2.91"/>
    <n v="1.95"/>
    <n v="61.611170784103109"/>
    <n v="22.889498970487306"/>
    <n v="6.6619418851878081"/>
    <n v="22.520054790560717"/>
    <n v="29.885057471264375"/>
    <n v="28.231540380643452"/>
    <n v="51.101537684793144"/>
    <n v="31.506676184294736"/>
    <n v="3.5597297297297299"/>
    <n v="-6.46972972972973"/>
    <n v="1603"/>
    <n v="35"/>
    <s v="Open ended"/>
    <s v="CRISIL Medium Term Debt Index"/>
    <n v="5000"/>
    <n v="1000"/>
  </r>
  <r>
    <x v="1603"/>
    <x v="48"/>
    <n v="4.34"/>
    <n v="1.87"/>
    <n v="-2.91"/>
    <n v="1.95"/>
    <n v="61.611170784103109"/>
    <n v="22.889498970487306"/>
    <n v="6.6619418851878081"/>
    <n v="22.520054790560717"/>
    <n v="29.885057471264375"/>
    <n v="28.231540380643452"/>
    <n v="51.101537684793144"/>
    <n v="31.506676184294736"/>
    <n v="3.5597297297297299"/>
    <n v="-6.46972972972973"/>
    <n v="1603"/>
    <n v="35"/>
    <s v="Open ended"/>
    <s v="CRISIL Medium Term Debt Index"/>
    <n v="5000"/>
    <n v="1000"/>
  </r>
  <r>
    <x v="1604"/>
    <x v="48"/>
    <n v="4.34"/>
    <n v="1.86"/>
    <n v="-2.91"/>
    <n v="1.95"/>
    <n v="61.611170784103109"/>
    <n v="22.872340425531917"/>
    <n v="6.6619418851878081"/>
    <n v="22.514907227074101"/>
    <n v="29.885057471264375"/>
    <n v="28.233820602758012"/>
    <n v="51.09758822423818"/>
    <n v="31.503115037412687"/>
    <n v="3.5597297297297299"/>
    <n v="-6.46972972972973"/>
    <n v="1605"/>
    <n v="37"/>
    <s v="Open ended"/>
    <s v="CRISIL Medium Term Debt Index"/>
    <n v="5000"/>
    <n v="1000"/>
  </r>
  <r>
    <x v="1605"/>
    <x v="18"/>
    <n v="-24.34"/>
    <n v="-7.16"/>
    <n v="-2.9"/>
    <n v="2.38"/>
    <n v="0"/>
    <n v="7.3953328757721373"/>
    <n v="6.6973777462792343"/>
    <n v="5.5672887358712586"/>
    <n v="13.409961685823756"/>
    <n v="4.0831556093830574"/>
    <n v="92.927767029338682"/>
    <n v="29.36807654672624"/>
    <n v="6.9120588235294118"/>
    <n v="-9.8120588235294122"/>
    <n v="1606"/>
    <n v="32"/>
    <s v="Open ended"/>
    <s v="MSCI EMU Index"/>
    <n v="5000"/>
    <m/>
  </r>
  <r>
    <x v="1606"/>
    <x v="18"/>
    <n v="-3.83"/>
    <n v="-11.47"/>
    <n v="-4.79"/>
    <n v="2.4500000000000002"/>
    <n v="44.060150375939841"/>
    <n v="0"/>
    <n v="0"/>
    <n v="8.8120300751879679"/>
    <n v="10.727969348658984"/>
    <n v="25.438139680084259"/>
    <n v="55.939849624060159"/>
    <n v="21.072969780773768"/>
    <n v="6.9120588235294118"/>
    <n v="-11.702058823529413"/>
    <n v="1607"/>
    <n v="33"/>
    <s v="Open ended"/>
    <s v="MSCI Brazil 10/40 Index"/>
    <n v="5000"/>
    <n v="1000"/>
  </r>
  <r>
    <x v="1607"/>
    <x v="18"/>
    <n v="-3.83"/>
    <n v="-11.47"/>
    <n v="-4.79"/>
    <n v="2.4500000000000002"/>
    <n v="44.060150375939841"/>
    <n v="0"/>
    <n v="0"/>
    <n v="8.8120300751879679"/>
    <n v="10.727969348658984"/>
    <n v="25.438139680084259"/>
    <n v="55.939849624060159"/>
    <n v="21.072969780773768"/>
    <n v="6.9120588235294118"/>
    <n v="-11.702058823529413"/>
    <n v="1607"/>
    <n v="33"/>
    <s v="Open ended"/>
    <s v="MSCI Brazil 10/40 Index"/>
    <n v="50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F290CE-57B1-4AEF-8768-B532F4A98D6D}" name="PT_Top10_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0:AB31" firstHeaderRow="1" firstDataRow="1" firstDataCol="1"/>
  <pivotFields count="22">
    <pivotField showAll="0"/>
    <pivotField axis="axisRow" showAll="0" measureFilter="1" sortType="descending">
      <items count="56">
        <item x="16"/>
        <item x="29"/>
        <item x="53"/>
        <item x="38"/>
        <item x="31"/>
        <item x="50"/>
        <item x="39"/>
        <item x="20"/>
        <item x="45"/>
        <item x="25"/>
        <item x="48"/>
        <item x="49"/>
        <item x="26"/>
        <item x="24"/>
        <item x="15"/>
        <item x="33"/>
        <item x="8"/>
        <item x="28"/>
        <item x="23"/>
        <item x="13"/>
        <item x="22"/>
        <item x="21"/>
        <item x="27"/>
        <item x="11"/>
        <item x="32"/>
        <item x="54"/>
        <item x="51"/>
        <item x="44"/>
        <item x="47"/>
        <item x="19"/>
        <item x="41"/>
        <item x="52"/>
        <item x="17"/>
        <item x="4"/>
        <item x="43"/>
        <item x="42"/>
        <item x="7"/>
        <item x="6"/>
        <item x="5"/>
        <item x="3"/>
        <item x="2"/>
        <item x="18"/>
        <item x="12"/>
        <item x="46"/>
        <item x="34"/>
        <item x="36"/>
        <item x="40"/>
        <item x="30"/>
        <item x="10"/>
        <item x="1"/>
        <item x="14"/>
        <item x="9"/>
        <item x="0"/>
        <item x="35"/>
        <item x="3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32"/>
    </i>
    <i>
      <x v="52"/>
    </i>
    <i>
      <x v="16"/>
    </i>
    <i>
      <x v="30"/>
    </i>
    <i>
      <x v="33"/>
    </i>
    <i>
      <x v="24"/>
    </i>
    <i>
      <x v="49"/>
    </i>
    <i>
      <x v="23"/>
    </i>
    <i>
      <x v="38"/>
    </i>
    <i>
      <x v="27"/>
    </i>
    <i t="grand">
      <x/>
    </i>
  </rowItems>
  <colItems count="1">
    <i/>
  </colItems>
  <dataFields count="1">
    <dataField name="Average of CAGR% 3 Year" fld="4" subtotal="average" baseField="1"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8D2DA-77FA-4587-A97D-80FA6445FDE3}" name="TopFunds"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B48:G58" firstHeaderRow="0" firstDataRow="1" firstDataCol="2"/>
  <pivotFields count="22">
    <pivotField axis="axisRow" compact="0" outline="0" subtotalTop="0" showAll="0" measureFilter="1" defaultSubtotal="0">
      <items count="1608">
        <item x="282"/>
        <item x="280"/>
        <item x="281"/>
        <item x="961"/>
        <item x="999"/>
        <item x="488"/>
        <item x="487"/>
        <item x="489"/>
        <item x="881"/>
        <item x="944"/>
        <item x="1271"/>
        <item x="1292"/>
        <item x="586"/>
        <item x="649"/>
        <item x="629"/>
        <item x="606"/>
        <item x="268"/>
        <item x="283"/>
        <item x="598"/>
        <item x="605"/>
        <item x="1209"/>
        <item x="1243"/>
        <item x="812"/>
        <item x="811"/>
        <item x="810"/>
        <item x="1225"/>
        <item x="1229"/>
        <item x="855"/>
        <item x="877"/>
        <item x="1457"/>
        <item x="1459"/>
        <item x="82"/>
        <item x="83"/>
        <item x="86"/>
        <item x="88"/>
        <item x="68"/>
        <item x="69"/>
        <item x="548"/>
        <item x="575"/>
        <item x="314"/>
        <item x="300"/>
        <item x="311"/>
        <item x="734"/>
        <item x="762"/>
        <item x="432"/>
        <item x="460"/>
        <item x="131"/>
        <item x="132"/>
        <item x="1121"/>
        <item x="56"/>
        <item x="55"/>
        <item x="951"/>
        <item x="970"/>
        <item x="1407"/>
        <item x="822"/>
        <item x="841"/>
        <item x="720"/>
        <item x="737"/>
        <item x="1349"/>
        <item x="1363"/>
        <item x="1350"/>
        <item x="1389"/>
        <item x="1369"/>
        <item x="1387"/>
        <item x="345"/>
        <item x="231"/>
        <item x="344"/>
        <item x="1141"/>
        <item x="1124"/>
        <item x="1140"/>
        <item x="1445"/>
        <item x="1466"/>
        <item x="864"/>
        <item x="926"/>
        <item x="1515"/>
        <item x="1526"/>
        <item x="230"/>
        <item x="209"/>
        <item x="222"/>
        <item x="17"/>
        <item x="18"/>
        <item x="1479"/>
        <item x="1480"/>
        <item x="1189"/>
        <item x="1262"/>
        <item x="1188"/>
        <item x="401"/>
        <item x="391"/>
        <item x="403"/>
        <item x="865"/>
        <item x="867"/>
        <item x="1332"/>
        <item x="1342"/>
        <item x="1305"/>
        <item x="1283"/>
        <item x="974"/>
        <item x="1019"/>
        <item x="1328"/>
        <item x="1331"/>
        <item x="525"/>
        <item x="518"/>
        <item x="535"/>
        <item x="520"/>
        <item x="659"/>
        <item x="677"/>
        <item x="1301"/>
        <item x="1300"/>
        <item x="767"/>
        <item x="750"/>
        <item x="751"/>
        <item x="773"/>
        <item x="768"/>
        <item x="1337"/>
        <item x="1343"/>
        <item x="1341"/>
        <item x="653"/>
        <item x="687"/>
        <item x="662"/>
        <item x="1354"/>
        <item x="1378"/>
        <item x="1372"/>
        <item x="861"/>
        <item x="876"/>
        <item x="1306"/>
        <item x="1316"/>
        <item x="948"/>
        <item x="1007"/>
        <item x="1088"/>
        <item x="58"/>
        <item x="57"/>
        <item x="208"/>
        <item x="138"/>
        <item x="204"/>
        <item x="929"/>
        <item x="931"/>
        <item x="251"/>
        <item x="285"/>
        <item x="278"/>
        <item x="297"/>
        <item x="279"/>
        <item x="286"/>
        <item x="289"/>
        <item x="1508"/>
        <item x="1432"/>
        <item x="863"/>
        <item x="872"/>
        <item x="93"/>
        <item x="100"/>
        <item x="880"/>
        <item x="913"/>
        <item x="905"/>
        <item x="537"/>
        <item x="530"/>
        <item x="541"/>
        <item x="540"/>
        <item x="1093"/>
        <item x="1098"/>
        <item x="1183"/>
        <item x="1181"/>
        <item x="1180"/>
        <item x="1182"/>
        <item x="1184"/>
        <item x="1598"/>
        <item x="1599"/>
        <item x="1570"/>
        <item x="1562"/>
        <item x="1577"/>
        <item x="1569"/>
        <item x="1317"/>
        <item x="1330"/>
        <item x="1319"/>
        <item x="218"/>
        <item x="144"/>
        <item x="214"/>
        <item x="950"/>
        <item x="1052"/>
        <item x="1062"/>
        <item x="914"/>
        <item x="919"/>
        <item x="97"/>
        <item x="96"/>
        <item x="98"/>
        <item x="705"/>
        <item x="704"/>
        <item x="573"/>
        <item x="582"/>
        <item x="1014"/>
        <item x="1020"/>
        <item x="1006"/>
        <item x="1042"/>
        <item x="1546"/>
        <item x="1547"/>
        <item x="1541"/>
        <item x="1559"/>
        <item x="1549"/>
        <item x="778"/>
        <item x="775"/>
        <item x="805"/>
        <item x="777"/>
        <item x="1167"/>
        <item x="1175"/>
        <item x="1168"/>
        <item x="1470"/>
        <item x="1477"/>
        <item x="1485"/>
        <item x="1501"/>
        <item x="1484"/>
        <item x="1483"/>
        <item x="1207"/>
        <item x="1220"/>
        <item x="1312"/>
        <item x="1311"/>
        <item x="1538"/>
        <item x="1540"/>
        <item x="831"/>
        <item x="903"/>
        <item x="1029"/>
        <item x="995"/>
        <item x="1064"/>
        <item x="1025"/>
        <item x="1128"/>
        <item x="1129"/>
        <item x="1127"/>
        <item x="1145"/>
        <item x="1130"/>
        <item x="515"/>
        <item x="551"/>
        <item x="471"/>
        <item x="458"/>
        <item x="461"/>
        <item x="457"/>
        <item x="571"/>
        <item x="621"/>
        <item x="321"/>
        <item x="312"/>
        <item x="353"/>
        <item x="361"/>
        <item x="1122"/>
        <item x="1223"/>
        <item x="1279"/>
        <item x="748"/>
        <item x="772"/>
        <item x="1023"/>
        <item x="1022"/>
        <item x="1486"/>
        <item x="1488"/>
        <item x="255"/>
        <item x="266"/>
        <item x="483"/>
        <item x="538"/>
        <item x="384"/>
        <item x="395"/>
        <item x="369"/>
        <item x="423"/>
        <item x="1246"/>
        <item x="1247"/>
        <item x="1536"/>
        <item x="1542"/>
        <item x="1095"/>
        <item x="1143"/>
        <item x="199"/>
        <item x="135"/>
        <item x="202"/>
        <item x="584"/>
        <item x="577"/>
        <item x="576"/>
        <item x="580"/>
        <item x="1035"/>
        <item x="1043"/>
        <item x="1081"/>
        <item x="1034"/>
        <item x="1032"/>
        <item x="1040"/>
        <item x="774"/>
        <item x="896"/>
        <item x="904"/>
        <item x="975"/>
        <item x="474"/>
        <item x="565"/>
        <item x="780"/>
        <item x="781"/>
        <item x="572"/>
        <item x="644"/>
        <item x="1252"/>
        <item x="1286"/>
        <item x="746"/>
        <item x="795"/>
        <item x="531"/>
        <item x="583"/>
        <item x="928"/>
        <item x="952"/>
        <item x="591"/>
        <item x="645"/>
        <item x="1260"/>
        <item x="1268"/>
        <item x="1215"/>
        <item x="1214"/>
        <item x="1107"/>
        <item x="1080"/>
        <item x="947"/>
        <item x="1041"/>
        <item x="177"/>
        <item x="287"/>
        <item x="566"/>
        <item x="581"/>
        <item x="622"/>
        <item x="660"/>
        <item x="744"/>
        <item x="807"/>
        <item x="30"/>
        <item x="29"/>
        <item x="981"/>
        <item x="1133"/>
        <item x="482"/>
        <item x="946"/>
        <item x="1024"/>
        <item x="121"/>
        <item x="137"/>
        <item x="136"/>
        <item x="1161"/>
        <item x="1213"/>
        <item x="270"/>
        <item x="315"/>
        <item x="1254"/>
        <item x="1290"/>
        <item x="1087"/>
        <item x="1102"/>
        <item x="837"/>
        <item x="879"/>
        <item x="1512"/>
        <item x="1524"/>
        <item x="1444"/>
        <item x="1443"/>
        <item x="1505"/>
        <item x="1504"/>
        <item x="107"/>
        <item x="106"/>
        <item x="1190"/>
        <item x="1232"/>
        <item x="973"/>
        <item x="1010"/>
        <item x="1028"/>
        <item x="470"/>
        <item x="593"/>
        <item x="498"/>
        <item x="554"/>
        <item x="555"/>
        <item x="1259"/>
        <item x="1277"/>
        <item x="1401"/>
        <item x="834"/>
        <item x="833"/>
        <item x="1170"/>
        <item x="1172"/>
        <item x="1192"/>
        <item x="639"/>
        <item x="683"/>
        <item x="1114"/>
        <item x="1156"/>
        <item x="390"/>
        <item x="307"/>
        <item x="389"/>
        <item x="398"/>
        <item x="1217"/>
        <item x="1241"/>
        <item x="274"/>
        <item x="358"/>
        <item x="1049"/>
        <item x="1048"/>
        <item x="1589"/>
        <item x="1592"/>
        <item x="784"/>
        <item x="839"/>
        <item x="494"/>
        <item x="558"/>
        <item x="648"/>
        <item x="667"/>
        <item x="862"/>
        <item x="735"/>
        <item x="817"/>
        <item x="792"/>
        <item x="798"/>
        <item x="1047"/>
        <item x="1204"/>
        <item x="1187"/>
        <item x="616"/>
        <item x="770"/>
        <item x="815"/>
        <item x="842"/>
        <item x="1072"/>
        <item x="1094"/>
        <item x="1148"/>
        <item x="1149"/>
        <item x="1568"/>
        <item x="1567"/>
        <item x="178"/>
        <item x="224"/>
        <item x="984"/>
        <item x="1033"/>
        <item x="193"/>
        <item x="220"/>
        <item x="1154"/>
        <item x="1191"/>
        <item x="211"/>
        <item x="134"/>
        <item x="217"/>
        <item x="1303"/>
        <item x="1302"/>
        <item x="22"/>
        <item x="23"/>
        <item x="1089"/>
        <item x="1144"/>
        <item x="1537"/>
        <item x="1554"/>
        <item x="676"/>
        <item x="699"/>
        <item x="276"/>
        <item x="232"/>
        <item x="305"/>
        <item x="378"/>
        <item x="448"/>
        <item x="479"/>
        <item x="543"/>
        <item x="1211"/>
        <item x="1216"/>
        <item x="883"/>
        <item x="930"/>
        <item x="927"/>
        <item x="324"/>
        <item x="399"/>
        <item x="686"/>
        <item x="694"/>
        <item x="802"/>
        <item x="899"/>
        <item x="552"/>
        <item x="464"/>
        <item x="465"/>
        <item x="475"/>
        <item x="1274"/>
        <item x="1281"/>
        <item x="1478"/>
        <item x="1452"/>
        <item x="1473"/>
        <item x="1463"/>
        <item x="110"/>
        <item x="111"/>
        <item x="1250"/>
        <item x="1278"/>
        <item x="170"/>
        <item x="288"/>
        <item x="334"/>
        <item x="327"/>
        <item x="335"/>
        <item x="350"/>
        <item x="962"/>
        <item x="1060"/>
        <item x="1016"/>
        <item x="1037"/>
        <item x="67"/>
        <item x="1413"/>
        <item x="1137"/>
        <item x="1240"/>
        <item x="1242"/>
        <item x="505"/>
        <item x="506"/>
        <item x="1578"/>
        <item x="1582"/>
        <item x="6"/>
        <item x="5"/>
        <item x="1600"/>
        <item x="1601"/>
        <item x="363"/>
        <item x="447"/>
        <item x="325"/>
        <item x="200"/>
        <item x="320"/>
        <item x="322"/>
        <item x="932"/>
        <item x="922"/>
        <item x="933"/>
        <item x="943"/>
        <item x="1210"/>
        <item x="1202"/>
        <item x="133"/>
        <item x="175"/>
        <item x="317"/>
        <item x="968"/>
        <item x="1030"/>
        <item x="197"/>
        <item x="387"/>
        <item x="1439"/>
        <item x="1151"/>
        <item x="643"/>
        <item x="638"/>
        <item x="122"/>
        <item x="128"/>
        <item x="888"/>
        <item x="1027"/>
        <item x="508"/>
        <item x="614"/>
        <item x="617"/>
        <item x="609"/>
        <item x="615"/>
        <item x="630"/>
        <item x="1100"/>
        <item x="1078"/>
        <item x="902"/>
        <item x="957"/>
        <item x="956"/>
        <item x="1322"/>
        <item x="1323"/>
        <item x="1364"/>
        <item x="1393"/>
        <item x="685"/>
        <item x="681"/>
        <item x="691"/>
        <item x="689"/>
        <item x="1606"/>
        <item x="1607"/>
        <item x="1423"/>
        <item x="1438"/>
        <item x="1446"/>
        <item x="1494"/>
        <item x="1453"/>
        <item x="612"/>
        <item x="1467"/>
        <item x="1430"/>
        <item x="1435"/>
        <item x="1406"/>
        <item x="1412"/>
        <item x="1090"/>
        <item x="1131"/>
        <item x="949"/>
        <item x="990"/>
        <item x="978"/>
        <item x="818"/>
        <item x="1454"/>
        <item x="1468"/>
        <item x="1543"/>
        <item x="1544"/>
        <item x="1233"/>
        <item x="1231"/>
        <item x="1053"/>
        <item x="1071"/>
        <item x="228"/>
        <item x="145"/>
        <item x="240"/>
        <item x="866"/>
        <item x="874"/>
        <item x="1276"/>
        <item x="1275"/>
        <item x="425"/>
        <item x="426"/>
        <item x="484"/>
        <item x="485"/>
        <item x="1324"/>
        <item x="1329"/>
        <item x="1579"/>
        <item x="1584"/>
        <item x="889"/>
        <item x="972"/>
        <item x="745"/>
        <item x="733"/>
        <item x="756"/>
        <item x="769"/>
        <item x="729"/>
        <item x="747"/>
        <item x="109"/>
        <item x="120"/>
        <item x="452"/>
        <item x="446"/>
        <item x="451"/>
        <item x="456"/>
        <item x="404"/>
        <item x="428"/>
        <item x="1111"/>
        <item x="1113"/>
        <item x="1112"/>
        <item x="164"/>
        <item x="574"/>
        <item x="585"/>
        <item x="1196"/>
        <item x="1244"/>
        <item x="618"/>
        <item x="619"/>
        <item x="189"/>
        <item x="213"/>
        <item x="1051"/>
        <item x="1067"/>
        <item x="1068"/>
        <item x="1085"/>
        <item x="1344"/>
        <item x="439"/>
        <item x="495"/>
        <item x="351"/>
        <item x="360"/>
        <item x="357"/>
        <item x="1200"/>
        <item x="1203"/>
        <item x="379"/>
        <item x="380"/>
        <item x="642"/>
        <item x="1157"/>
        <item x="103"/>
        <item x="99"/>
        <item x="526"/>
        <item x="559"/>
        <item x="875"/>
        <item x="910"/>
        <item x="886"/>
        <item x="908"/>
        <item x="1173"/>
        <item x="1160"/>
        <item x="1164"/>
        <item x="1185"/>
        <item x="1193"/>
        <item x="127"/>
        <item x="139"/>
        <item x="964"/>
        <item x="963"/>
        <item x="636"/>
        <item x="637"/>
        <item x="563"/>
        <item x="562"/>
        <item x="542"/>
        <item x="579"/>
        <item x="149"/>
        <item x="166"/>
        <item x="306"/>
        <item x="191"/>
        <item x="303"/>
        <item x="1575"/>
        <item x="1576"/>
        <item x="347"/>
        <item x="370"/>
        <item x="1179"/>
        <item x="1178"/>
        <item x="569"/>
        <item x="620"/>
        <item x="236"/>
        <item x="216"/>
        <item x="237"/>
        <item x="142"/>
        <item x="198"/>
        <item x="516"/>
        <item x="550"/>
        <item x="4"/>
        <item x="94"/>
        <item x="95"/>
        <item x="8"/>
        <item x="7"/>
        <item x="54"/>
        <item x="53"/>
        <item x="1044"/>
        <item x="1086"/>
        <item x="1135"/>
        <item x="1"/>
        <item x="0"/>
        <item x="383"/>
        <item x="385"/>
        <item x="377"/>
        <item x="392"/>
        <item x="382"/>
        <item x="853"/>
        <item x="860"/>
        <item x="115"/>
        <item x="117"/>
        <item x="590"/>
        <item x="599"/>
        <item x="34"/>
        <item x="727"/>
        <item x="711"/>
        <item x="725"/>
        <item x="726"/>
        <item x="721"/>
        <item x="602"/>
        <item x="601"/>
        <item x="39"/>
        <item x="52"/>
        <item x="1255"/>
        <item x="1257"/>
        <item x="1258"/>
        <item x="1338"/>
        <item x="1347"/>
        <item x="1415"/>
        <item x="1416"/>
        <item x="1414"/>
        <item x="1084"/>
        <item x="1097"/>
        <item x="1219"/>
        <item x="1218"/>
        <item x="72"/>
        <item x="1475"/>
        <item x="1474"/>
        <item x="1004"/>
        <item x="1018"/>
        <item x="158"/>
        <item x="123"/>
        <item x="157"/>
        <item x="156"/>
        <item x="1359"/>
        <item x="1073"/>
        <item x="45"/>
        <item x="44"/>
        <item x="161"/>
        <item x="160"/>
        <item x="696"/>
        <item x="695"/>
        <item x="419"/>
        <item x="420"/>
        <item x="421"/>
        <item x="409"/>
        <item x="402"/>
        <item x="405"/>
        <item x="407"/>
        <item x="242"/>
        <item x="143"/>
        <item x="250"/>
        <item x="219"/>
        <item x="987"/>
        <item x="1036"/>
        <item x="666"/>
        <item x="723"/>
        <item x="493"/>
        <item x="564"/>
        <item x="490"/>
        <item x="553"/>
        <item x="1226"/>
        <item x="1245"/>
        <item x="501"/>
        <item x="710"/>
        <item x="1583"/>
        <item x="1561"/>
        <item x="1571"/>
        <item x="1563"/>
        <item x="1397"/>
        <item x="1384"/>
        <item x="1399"/>
        <item x="1390"/>
        <item x="1400"/>
        <item x="738"/>
        <item x="722"/>
        <item x="741"/>
        <item x="269"/>
        <item x="168"/>
        <item x="275"/>
        <item x="272"/>
        <item x="700"/>
        <item x="791"/>
        <item x="536"/>
        <item x="785"/>
        <item x="1436"/>
        <item x="1408"/>
        <item x="1420"/>
        <item x="1487"/>
        <item x="1411"/>
        <item x="1449"/>
        <item x="1530"/>
        <item x="1462"/>
        <item x="915"/>
        <item x="934"/>
        <item x="971"/>
        <item x="1026"/>
        <item x="1333"/>
        <item x="1348"/>
        <item x="787"/>
        <item x="825"/>
        <item x="820"/>
        <item x="1318"/>
        <item x="1230"/>
        <item x="1269"/>
        <item x="1373"/>
        <item x="1251"/>
        <item x="1287"/>
        <item x="1293"/>
        <item x="1352"/>
        <item x="1351"/>
        <item x="1021"/>
        <item x="1059"/>
        <item x="528"/>
        <item x="519"/>
        <item x="539"/>
        <item x="534"/>
        <item x="977"/>
        <item x="960"/>
        <item x="976"/>
        <item x="967"/>
        <item x="12"/>
        <item x="16"/>
        <item x="1489"/>
        <item x="1525"/>
        <item x="154"/>
        <item x="184"/>
        <item x="167"/>
        <item x="183"/>
        <item x="415"/>
        <item x="400"/>
        <item x="408"/>
        <item x="545"/>
        <item x="414"/>
        <item x="406"/>
        <item x="412"/>
        <item x="411"/>
        <item x="422"/>
        <item x="413"/>
        <item x="249"/>
        <item x="248"/>
        <item x="328"/>
        <item x="210"/>
        <item x="332"/>
        <item x="331"/>
        <item x="1212"/>
        <item x="1248"/>
        <item x="1398"/>
        <item x="1396"/>
        <item x="814"/>
        <item x="826"/>
        <item x="800"/>
        <item x="816"/>
        <item x="827"/>
        <item x="346"/>
        <item x="352"/>
        <item x="238"/>
        <item x="342"/>
        <item x="349"/>
        <item x="1422"/>
        <item x="1417"/>
        <item x="1418"/>
        <item x="1419"/>
        <item x="1395"/>
        <item x="1394"/>
        <item x="1460"/>
        <item x="1461"/>
        <item x="512"/>
        <item x="514"/>
        <item x="481"/>
        <item x="480"/>
        <item x="965"/>
        <item x="1002"/>
        <item x="850"/>
        <item x="856"/>
        <item x="868"/>
        <item x="336"/>
        <item x="356"/>
        <item x="673"/>
        <item x="624"/>
        <item x="623"/>
        <item x="646"/>
        <item x="1383"/>
        <item x="1382"/>
        <item x="1371"/>
        <item x="1502"/>
        <item x="1518"/>
        <item x="1434"/>
        <item x="1441"/>
        <item x="1339"/>
        <item x="1298"/>
        <item x="1299"/>
        <item x="1321"/>
        <item x="40"/>
        <item x="41"/>
        <item x="763"/>
        <item x="760"/>
        <item x="749"/>
        <item x="755"/>
        <item x="1120"/>
        <item x="226"/>
        <item x="146"/>
        <item x="233"/>
        <item x="227"/>
        <item x="355"/>
        <item x="364"/>
        <item x="557"/>
        <item x="547"/>
        <item x="560"/>
        <item x="702"/>
        <item x="703"/>
        <item x="1357"/>
        <item x="1379"/>
        <item x="1197"/>
        <item x="1208"/>
        <item x="1199"/>
        <item x="1075"/>
        <item x="1069"/>
        <item x="603"/>
        <item x="596"/>
        <item x="600"/>
        <item x="597"/>
        <item x="1015"/>
        <item x="891"/>
        <item x="898"/>
        <item x="897"/>
        <item x="1139"/>
        <item x="1138"/>
        <item x="954"/>
        <item x="953"/>
        <item x="1011"/>
        <item x="1012"/>
        <item x="1013"/>
        <item x="1126"/>
        <item x="1152"/>
        <item x="1519"/>
        <item x="1520"/>
        <item x="1222"/>
        <item x="1377"/>
        <item x="265"/>
        <item x="163"/>
        <item x="162"/>
        <item x="267"/>
        <item x="172"/>
        <item x="173"/>
        <item x="174"/>
        <item x="176"/>
        <item x="1195"/>
        <item x="1194"/>
        <item x="992"/>
        <item x="991"/>
        <item x="1105"/>
        <item x="1104"/>
        <item x="682"/>
        <item x="684"/>
        <item x="473"/>
        <item x="497"/>
        <item x="1493"/>
        <item x="1492"/>
        <item x="1134"/>
        <item x="568"/>
        <item x="570"/>
        <item x="1516"/>
        <item x="1539"/>
        <item x="935"/>
        <item x="1076"/>
        <item x="1256"/>
        <item x="77"/>
        <item x="78"/>
        <item x="878"/>
        <item x="921"/>
        <item x="549"/>
        <item x="578"/>
        <item x="258"/>
        <item x="310"/>
        <item x="1270"/>
        <item x="1288"/>
        <item x="372"/>
        <item x="394"/>
        <item x="463"/>
        <item x="467"/>
        <item x="1335"/>
        <item x="1353"/>
        <item x="48"/>
        <item x="49"/>
        <item x="628"/>
        <item x="647"/>
        <item x="1061"/>
        <item x="337"/>
        <item x="221"/>
        <item x="1119"/>
        <item x="1123"/>
        <item x="1386"/>
        <item x="1424"/>
        <item x="15"/>
        <item x="14"/>
        <item x="754"/>
        <item x="766"/>
        <item x="108"/>
        <item x="112"/>
        <item x="527"/>
        <item x="561"/>
        <item x="1587"/>
        <item x="1588"/>
        <item x="836"/>
        <item x="840"/>
        <item x="849"/>
        <item x="843"/>
        <item x="847"/>
        <item x="846"/>
        <item x="1482"/>
        <item x="1527"/>
        <item x="1509"/>
        <item x="1522"/>
        <item x="1521"/>
        <item x="1503"/>
        <item x="1514"/>
        <item x="1472"/>
        <item x="1471"/>
        <item x="1366"/>
        <item x="1365"/>
        <item x="1308"/>
        <item x="1307"/>
        <item x="906"/>
        <item x="909"/>
        <item x="1296"/>
        <item x="1304"/>
        <item x="313"/>
        <item x="196"/>
        <item x="60"/>
        <item x="59"/>
        <item x="62"/>
        <item x="61"/>
        <item x="718"/>
        <item x="765"/>
        <item x="771"/>
        <item x="764"/>
        <item x="1367"/>
        <item x="1368"/>
        <item x="1370"/>
        <item x="1381"/>
        <item x="416"/>
        <item x="445"/>
        <item x="444"/>
        <item x="441"/>
        <item x="1511"/>
        <item x="1531"/>
        <item x="1523"/>
        <item x="1038"/>
        <item x="1039"/>
        <item x="1427"/>
        <item x="1429"/>
        <item x="259"/>
        <item x="155"/>
        <item x="260"/>
        <item x="1169"/>
        <item x="1163"/>
        <item x="1174"/>
        <item x="1177"/>
        <item x="610"/>
        <item x="611"/>
        <item x="631"/>
        <item x="626"/>
        <item x="697"/>
        <item x="701"/>
        <item x="731"/>
        <item x="284"/>
        <item x="171"/>
        <item x="277"/>
        <item x="1206"/>
        <item x="1205"/>
        <item x="125"/>
        <item x="126"/>
        <item x="627"/>
        <item x="654"/>
        <item x="529"/>
        <item x="546"/>
        <item x="234"/>
        <item x="263"/>
        <item x="894"/>
        <item x="885"/>
        <item x="895"/>
        <item x="828"/>
        <item x="890"/>
        <item x="1147"/>
        <item x="1146"/>
        <item x="129"/>
        <item x="130"/>
        <item x="1553"/>
        <item x="1552"/>
        <item x="1555"/>
        <item x="1380"/>
        <item x="1385"/>
        <item x="1239"/>
        <item x="1261"/>
        <item x="1001"/>
        <item x="1009"/>
        <item x="148"/>
        <item x="159"/>
        <item x="918"/>
        <item x="917"/>
        <item x="225"/>
        <item x="141"/>
        <item x="254"/>
        <item x="215"/>
        <item x="1532"/>
        <item x="1548"/>
        <item x="1534"/>
        <item x="1046"/>
        <item x="1063"/>
        <item x="1077"/>
        <item x="1066"/>
        <item x="1065"/>
        <item x="1118"/>
        <item x="1186"/>
        <item x="1201"/>
        <item x="714"/>
        <item x="713"/>
        <item x="742"/>
        <item x="759"/>
        <item x="732"/>
        <item x="1056"/>
        <item x="1110"/>
        <item x="504"/>
        <item x="510"/>
        <item x="524"/>
        <item x="544"/>
        <item x="517"/>
        <item x="1447"/>
        <item x="1448"/>
        <item x="716"/>
        <item x="717"/>
        <item x="1437"/>
        <item x="1451"/>
        <item x="1450"/>
        <item x="1566"/>
        <item x="1565"/>
        <item x="1574"/>
        <item x="1573"/>
        <item x="1572"/>
        <item x="443"/>
        <item x="433"/>
        <item x="453"/>
        <item x="449"/>
        <item x="323"/>
        <item x="381"/>
        <item x="1431"/>
        <item x="1440"/>
        <item x="36"/>
        <item x="35"/>
        <item x="114"/>
        <item x="124"/>
        <item x="1564"/>
        <item x="1586"/>
        <item x="1585"/>
        <item x="1535"/>
        <item x="1491"/>
        <item x="1517"/>
        <item x="1507"/>
        <item x="1510"/>
        <item x="27"/>
        <item x="20"/>
        <item x="26"/>
        <item x="25"/>
        <item x="33"/>
        <item x="28"/>
        <item x="31"/>
        <item x="32"/>
        <item x="1558"/>
        <item x="1557"/>
        <item x="1556"/>
        <item x="499"/>
        <item x="556"/>
        <item x="348"/>
        <item x="235"/>
        <item x="376"/>
        <item x="354"/>
        <item x="343"/>
        <item x="936"/>
        <item x="923"/>
        <item x="938"/>
        <item x="937"/>
        <item x="940"/>
        <item x="256"/>
        <item x="247"/>
        <item x="252"/>
        <item x="264"/>
        <item x="253"/>
        <item x="393"/>
        <item x="418"/>
        <item x="706"/>
        <item x="640"/>
        <item x="664"/>
        <item x="641"/>
        <item x="655"/>
        <item x="656"/>
        <item x="478"/>
        <item x="509"/>
        <item x="1221"/>
        <item x="1280"/>
        <item x="46"/>
        <item x="47"/>
        <item x="1465"/>
        <item x="1464"/>
        <item x="1313"/>
        <item x="1334"/>
        <item x="1079"/>
        <item x="1096"/>
        <item x="1109"/>
        <item x="21"/>
        <item x="19"/>
        <item x="1602"/>
        <item x="1603"/>
        <item x="1604"/>
        <item x="1228"/>
        <item x="1249"/>
        <item x="993"/>
        <item x="997"/>
        <item x="996"/>
        <item x="998"/>
        <item x="1392"/>
        <item x="1391"/>
        <item x="316"/>
        <item x="366"/>
        <item x="1099"/>
        <item x="1155"/>
        <item x="92"/>
        <item x="988"/>
        <item x="1031"/>
        <item x="359"/>
        <item x="982"/>
        <item x="892"/>
        <item x="901"/>
        <item x="912"/>
        <item x="1442"/>
        <item x="730"/>
        <item x="743"/>
        <item x="1605"/>
        <item x="739"/>
        <item x="680"/>
        <item x="724"/>
        <item x="435"/>
        <item x="437"/>
        <item x="1358"/>
        <item x="1376"/>
        <item x="1533"/>
        <item x="1402"/>
        <item x="1421"/>
        <item x="1327"/>
        <item x="1346"/>
        <item x="273"/>
        <item x="169"/>
        <item x="257"/>
        <item x="271"/>
        <item x="84"/>
        <item x="89"/>
        <item x="1227"/>
        <item x="1238"/>
        <item x="806"/>
        <item x="796"/>
        <item x="821"/>
        <item x="804"/>
        <item x="87"/>
        <item x="85"/>
        <item x="309"/>
        <item x="319"/>
        <item x="113"/>
        <item x="116"/>
        <item x="753"/>
        <item x="740"/>
        <item x="118"/>
        <item x="119"/>
        <item x="212"/>
        <item x="201"/>
        <item x="1003"/>
        <item x="367"/>
        <item x="887"/>
        <item x="893"/>
        <item x="91"/>
        <item x="81"/>
        <item x="76"/>
        <item x="75"/>
        <item x="66"/>
        <item x="63"/>
        <item x="194"/>
        <item x="180"/>
        <item x="652"/>
        <item x="661"/>
        <item x="51"/>
        <item x="50"/>
        <item x="24"/>
        <item x="329"/>
        <item x="205"/>
        <item x="330"/>
        <item x="688"/>
        <item x="692"/>
        <item x="90"/>
        <item x="674"/>
        <item x="675"/>
        <item x="707"/>
        <item x="761"/>
        <item x="958"/>
        <item x="955"/>
        <item x="809"/>
        <item x="797"/>
        <item x="206"/>
        <item x="207"/>
        <item x="396"/>
        <item x="340"/>
        <item x="386"/>
        <item x="397"/>
        <item x="782"/>
        <item x="783"/>
        <item x="64"/>
        <item x="65"/>
        <item x="708"/>
        <item x="715"/>
        <item x="709"/>
        <item x="1273"/>
        <item x="1272"/>
        <item x="1409"/>
        <item x="1410"/>
        <item x="368"/>
        <item x="375"/>
        <item x="492"/>
        <item x="496"/>
        <item x="500"/>
        <item x="431"/>
        <item x="429"/>
        <item x="595"/>
        <item x="594"/>
        <item x="38"/>
        <item x="37"/>
        <item x="477"/>
        <item x="476"/>
        <item x="844"/>
        <item x="845"/>
        <item x="187"/>
        <item x="186"/>
        <item x="299"/>
        <item x="292"/>
        <item x="188"/>
        <item x="298"/>
        <item x="365"/>
        <item x="436"/>
        <item x="339"/>
        <item x="1455"/>
        <item x="1456"/>
        <item x="712"/>
        <item x="719"/>
        <item x="632"/>
        <item x="633"/>
        <item x="832"/>
        <item x="830"/>
        <item x="532"/>
        <item x="533"/>
        <item x="1294"/>
        <item x="1295"/>
        <item x="924"/>
        <item x="916"/>
        <item x="911"/>
        <item x="920"/>
        <item x="925"/>
        <item x="1092"/>
        <item x="1091"/>
        <item x="80"/>
        <item x="79"/>
        <item x="455"/>
        <item x="450"/>
        <item x="454"/>
        <item x="989"/>
        <item x="907"/>
        <item x="983"/>
        <item x="985"/>
        <item x="10"/>
        <item x="9"/>
        <item x="179"/>
        <item x="1580"/>
        <item x="1581"/>
        <item x="690"/>
        <item x="693"/>
        <item x="698"/>
        <item x="789"/>
        <item x="786"/>
        <item x="788"/>
        <item x="790"/>
        <item x="74"/>
        <item x="73"/>
        <item x="105"/>
        <item x="104"/>
        <item x="1374"/>
        <item x="1375"/>
        <item x="969"/>
        <item x="1153"/>
        <item x="854"/>
        <item x="873"/>
        <item x="1433"/>
        <item x="1490"/>
        <item x="442"/>
        <item x="430"/>
        <item x="440"/>
        <item x="424"/>
        <item x="1405"/>
        <item x="1428"/>
        <item x="459"/>
        <item x="410"/>
        <item x="434"/>
        <item x="417"/>
        <item x="427"/>
        <item x="1476"/>
        <item x="1513"/>
        <item x="1506"/>
        <item x="1005"/>
        <item x="1008"/>
        <item x="1253"/>
        <item x="1267"/>
        <item x="1266"/>
        <item x="1336"/>
        <item x="1356"/>
        <item x="1017"/>
        <item x="1314"/>
        <item x="1315"/>
        <item x="1360"/>
        <item x="1388"/>
        <item x="613"/>
        <item x="625"/>
        <item x="469"/>
        <item x="438"/>
        <item x="472"/>
        <item x="468"/>
        <item x="1237"/>
        <item x="1234"/>
        <item x="1235"/>
        <item x="1236"/>
        <item x="1597"/>
        <item x="1593"/>
        <item x="1594"/>
        <item x="1596"/>
        <item x="1595"/>
        <item x="1050"/>
        <item x="1101"/>
        <item x="308"/>
        <item x="296"/>
        <item x="293"/>
        <item x="304"/>
        <item x="301"/>
        <item x="634"/>
        <item x="635"/>
        <item x="70"/>
        <item x="71"/>
        <item x="852"/>
        <item x="851"/>
        <item x="994"/>
        <item x="1054"/>
        <item x="941"/>
        <item x="942"/>
        <item x="1361"/>
        <item x="1355"/>
        <item x="1362"/>
        <item x="900"/>
        <item x="871"/>
        <item x="869"/>
        <item x="658"/>
        <item x="657"/>
        <item x="522"/>
        <item x="523"/>
        <item x="758"/>
        <item x="736"/>
        <item x="728"/>
        <item x="291"/>
        <item x="362"/>
        <item x="295"/>
        <item x="294"/>
        <item x="302"/>
        <item x="1481"/>
        <item x="1458"/>
        <item x="870"/>
        <item x="945"/>
        <item x="959"/>
        <item x="1000"/>
        <item x="986"/>
        <item x="857"/>
        <item x="858"/>
        <item x="663"/>
        <item x="757"/>
        <item x="776"/>
        <item x="779"/>
        <item x="521"/>
        <item x="511"/>
        <item x="882"/>
        <item x="884"/>
        <item x="333"/>
        <item x="203"/>
        <item x="318"/>
        <item x="338"/>
        <item x="341"/>
        <item x="326"/>
        <item x="11"/>
        <item x="1159"/>
        <item x="1165"/>
        <item x="1469"/>
        <item x="1176"/>
        <item x="1106"/>
        <item x="13"/>
        <item x="1132"/>
        <item x="1142"/>
        <item x="1136"/>
        <item x="486"/>
        <item x="491"/>
        <item x="513"/>
        <item x="1162"/>
        <item x="1158"/>
        <item x="1171"/>
        <item x="1125"/>
        <item x="1345"/>
        <item x="1340"/>
        <item x="1116"/>
        <item x="1117"/>
        <item x="1108"/>
        <item x="1103"/>
        <item x="1545"/>
        <item x="1560"/>
        <item x="1263"/>
        <item x="1500"/>
        <item x="1499"/>
        <item x="42"/>
        <item x="43"/>
        <item x="1309"/>
        <item x="1310"/>
        <item x="241"/>
        <item x="290"/>
        <item x="1074"/>
        <item x="1150"/>
        <item x="1058"/>
        <item x="1057"/>
        <item x="679"/>
        <item x="678"/>
        <item x="1425"/>
        <item x="1426"/>
        <item x="665"/>
        <item x="669"/>
        <item x="1282"/>
        <item x="244"/>
        <item x="246"/>
        <item x="245"/>
        <item x="165"/>
        <item x="262"/>
        <item x="261"/>
        <item x="243"/>
        <item x="829"/>
        <item x="838"/>
        <item x="607"/>
        <item x="608"/>
        <item x="819"/>
        <item x="859"/>
        <item x="102"/>
        <item x="101"/>
        <item x="1590"/>
        <item x="1591"/>
        <item x="823"/>
        <item x="824"/>
        <item x="1115"/>
        <item x="1325"/>
        <item x="1326"/>
        <item x="1082"/>
        <item x="1083"/>
        <item x="502"/>
        <item x="503"/>
        <item x="462"/>
        <item x="507"/>
        <item x="466"/>
        <item x="1551"/>
        <item x="1550"/>
        <item x="567"/>
        <item x="589"/>
        <item x="587"/>
        <item x="588"/>
        <item x="670"/>
        <item x="671"/>
        <item x="794"/>
        <item x="835"/>
        <item x="793"/>
        <item x="848"/>
        <item x="801"/>
        <item x="980"/>
        <item x="979"/>
        <item x="1265"/>
        <item x="1264"/>
        <item x="752"/>
        <item x="813"/>
        <item x="1403"/>
        <item x="1404"/>
        <item x="1285"/>
        <item x="1284"/>
        <item x="229"/>
        <item x="147"/>
        <item x="223"/>
        <item x="239"/>
        <item x="668"/>
        <item x="672"/>
        <item x="592"/>
        <item x="604"/>
        <item x="1498"/>
        <item x="1497"/>
        <item x="1495"/>
        <item x="1496"/>
        <item x="373"/>
        <item x="374"/>
        <item x="1289"/>
        <item x="1291"/>
        <item x="192"/>
        <item x="182"/>
        <item x="190"/>
        <item x="181"/>
        <item x="1297"/>
        <item x="1320"/>
        <item x="3"/>
        <item x="2"/>
        <item x="185"/>
        <item x="140"/>
        <item x="195"/>
        <item x="1198"/>
        <item x="1166"/>
        <item x="1224"/>
        <item x="939"/>
        <item x="966"/>
        <item x="650"/>
        <item x="651"/>
        <item x="1528"/>
        <item x="1529"/>
        <item x="151"/>
        <item x="152"/>
        <item x="150"/>
        <item x="153"/>
        <item x="808"/>
        <item x="799"/>
        <item x="803"/>
        <item x="371"/>
        <item x="388"/>
        <item x="1070"/>
        <item x="1045"/>
        <item x="1055"/>
      </items>
      <extLst>
        <ext xmlns:x14="http://schemas.microsoft.com/office/spreadsheetml/2009/9/main" uri="{2946ED86-A175-432a-8AC1-64E0C546D7DE}">
          <x14:pivotField fillDownLabels="1"/>
        </ext>
      </extLst>
    </pivotField>
    <pivotField axis="axisRow" compact="0" outline="0" subtotalTop="0" showAll="0" defaultSubtotal="0">
      <items count="55">
        <item x="16"/>
        <item x="29"/>
        <item x="53"/>
        <item x="38"/>
        <item x="31"/>
        <item x="50"/>
        <item x="39"/>
        <item x="20"/>
        <item x="45"/>
        <item x="25"/>
        <item x="48"/>
        <item x="49"/>
        <item x="26"/>
        <item x="24"/>
        <item x="15"/>
        <item x="33"/>
        <item x="8"/>
        <item x="28"/>
        <item x="23"/>
        <item x="13"/>
        <item x="22"/>
        <item x="21"/>
        <item x="27"/>
        <item x="11"/>
        <item x="32"/>
        <item x="54"/>
        <item x="51"/>
        <item x="44"/>
        <item x="47"/>
        <item x="19"/>
        <item x="41"/>
        <item x="52"/>
        <item x="17"/>
        <item x="4"/>
        <item x="43"/>
        <item x="42"/>
        <item x="7"/>
        <item x="6"/>
        <item x="5"/>
        <item x="3"/>
        <item x="2"/>
        <item x="18"/>
        <item x="12"/>
        <item x="46"/>
        <item x="34"/>
        <item x="36"/>
        <item x="40"/>
        <item x="30"/>
        <item x="10"/>
        <item x="1"/>
        <item x="14"/>
        <item x="9"/>
        <item x="0"/>
        <item x="35"/>
        <item x="3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10">
    <i>
      <x v="467"/>
      <x v="49"/>
    </i>
    <i>
      <x v="468"/>
      <x v="52"/>
    </i>
    <i>
      <x v="646"/>
      <x v="49"/>
    </i>
    <i>
      <x v="649"/>
      <x v="40"/>
    </i>
    <i>
      <x v="650"/>
      <x v="40"/>
    </i>
    <i>
      <x v="656"/>
      <x v="52"/>
    </i>
    <i>
      <x v="657"/>
      <x v="52"/>
    </i>
    <i>
      <x v="1341"/>
      <x v="49"/>
    </i>
    <i>
      <x v="1582"/>
      <x v="49"/>
    </i>
    <i>
      <x v="1583"/>
      <x v="49"/>
    </i>
  </rowItems>
  <colFields count="1">
    <field x="-2"/>
  </colFields>
  <colItems count="4">
    <i>
      <x/>
    </i>
    <i i="1">
      <x v="1"/>
    </i>
    <i i="2">
      <x v="2"/>
    </i>
    <i i="3">
      <x v="3"/>
    </i>
  </colItems>
  <dataFields count="4">
    <dataField name="Overall Score" fld="13" subtotal="average" baseField="0" baseItem="0" numFmtId="2"/>
    <dataField name="Performance Score" fld="9" subtotal="average" baseField="0" baseItem="0" numFmtId="2"/>
    <dataField name="Cost Score" fld="10" subtotal="average" baseField="0" baseItem="0" numFmtId="2"/>
    <dataField name="Consistency Score" fld="12" subtotal="average" baseField="0" baseItem="0" numFmtId="2"/>
  </dataFields>
  <formats count="72">
    <format dxfId="77">
      <pivotArea field="0" type="button" dataOnly="0" labelOnly="1" outline="0" axis="axisRow" fieldPosition="0"/>
    </format>
    <format dxfId="76">
      <pivotArea field="1" type="button" dataOnly="0" labelOnly="1" outline="0" axis="axisRow" fieldPosition="1"/>
    </format>
    <format dxfId="75">
      <pivotArea dataOnly="0" labelOnly="1" outline="0" fieldPosition="0">
        <references count="1">
          <reference field="4294967294" count="4">
            <x v="0"/>
            <x v="1"/>
            <x v="2"/>
            <x v="3"/>
          </reference>
        </references>
      </pivotArea>
    </format>
    <format dxfId="74">
      <pivotArea field="0" type="button" dataOnly="0" labelOnly="1" outline="0" axis="axisRow" fieldPosition="0"/>
    </format>
    <format dxfId="73">
      <pivotArea field="1" type="button" dataOnly="0" labelOnly="1" outline="0" axis="axisRow" fieldPosition="1"/>
    </format>
    <format dxfId="72">
      <pivotArea dataOnly="0" labelOnly="1" outline="0" fieldPosition="0">
        <references count="1">
          <reference field="4294967294" count="4">
            <x v="0"/>
            <x v="1"/>
            <x v="2"/>
            <x v="3"/>
          </reference>
        </references>
      </pivotArea>
    </format>
    <format dxfId="71">
      <pivotArea field="0" type="button" dataOnly="0" labelOnly="1" outline="0" axis="axisRow" fieldPosition="0"/>
    </format>
    <format dxfId="70">
      <pivotArea field="1" type="button" dataOnly="0" labelOnly="1" outline="0" axis="axisRow" fieldPosition="1"/>
    </format>
    <format dxfId="69">
      <pivotArea dataOnly="0" labelOnly="1" outline="0" fieldPosition="0">
        <references count="1">
          <reference field="4294967294" count="4">
            <x v="0"/>
            <x v="1"/>
            <x v="2"/>
            <x v="3"/>
          </reference>
        </references>
      </pivotArea>
    </format>
    <format dxfId="68">
      <pivotArea outline="0" fieldPosition="0">
        <references count="1">
          <reference field="4294967294" count="1" selected="0">
            <x v="0"/>
          </reference>
        </references>
      </pivotArea>
    </format>
    <format dxfId="67">
      <pivotArea outline="0" fieldPosition="0">
        <references count="1">
          <reference field="4294967294" count="1" selected="0">
            <x v="0"/>
          </reference>
        </references>
      </pivotArea>
    </format>
    <format dxfId="66">
      <pivotArea outline="0" collapsedLevelsAreSubtotals="1" fieldPosition="0"/>
    </format>
    <format dxfId="65">
      <pivotArea outline="0" collapsedLevelsAreSubtotals="1" fieldPosition="0"/>
    </format>
    <format dxfId="64">
      <pivotArea dataOnly="0" labelOnly="1" outline="0" fieldPosition="0">
        <references count="1">
          <reference field="0" count="10">
            <x v="467"/>
            <x v="468"/>
            <x v="646"/>
            <x v="649"/>
            <x v="650"/>
            <x v="656"/>
            <x v="657"/>
            <x v="1341"/>
            <x v="1582"/>
            <x v="1583"/>
          </reference>
        </references>
      </pivotArea>
    </format>
    <format dxfId="63">
      <pivotArea dataOnly="0" labelOnly="1" outline="0" fieldPosition="0">
        <references count="2">
          <reference field="0" count="1" selected="0">
            <x v="467"/>
          </reference>
          <reference field="1" count="1">
            <x v="49"/>
          </reference>
        </references>
      </pivotArea>
    </format>
    <format dxfId="62">
      <pivotArea dataOnly="0" labelOnly="1" outline="0" fieldPosition="0">
        <references count="2">
          <reference field="0" count="1" selected="0">
            <x v="468"/>
          </reference>
          <reference field="1" count="1">
            <x v="52"/>
          </reference>
        </references>
      </pivotArea>
    </format>
    <format dxfId="61">
      <pivotArea dataOnly="0" labelOnly="1" outline="0" fieldPosition="0">
        <references count="2">
          <reference field="0" count="1" selected="0">
            <x v="646"/>
          </reference>
          <reference field="1" count="1">
            <x v="49"/>
          </reference>
        </references>
      </pivotArea>
    </format>
    <format dxfId="60">
      <pivotArea dataOnly="0" labelOnly="1" outline="0" fieldPosition="0">
        <references count="2">
          <reference field="0" count="1" selected="0">
            <x v="649"/>
          </reference>
          <reference field="1" count="1">
            <x v="40"/>
          </reference>
        </references>
      </pivotArea>
    </format>
    <format dxfId="59">
      <pivotArea dataOnly="0" labelOnly="1" outline="0" fieldPosition="0">
        <references count="2">
          <reference field="0" count="1" selected="0">
            <x v="650"/>
          </reference>
          <reference field="1" count="1">
            <x v="40"/>
          </reference>
        </references>
      </pivotArea>
    </format>
    <format dxfId="58">
      <pivotArea dataOnly="0" labelOnly="1" outline="0" fieldPosition="0">
        <references count="2">
          <reference field="0" count="1" selected="0">
            <x v="656"/>
          </reference>
          <reference field="1" count="1">
            <x v="52"/>
          </reference>
        </references>
      </pivotArea>
    </format>
    <format dxfId="57">
      <pivotArea dataOnly="0" labelOnly="1" outline="0" fieldPosition="0">
        <references count="2">
          <reference field="0" count="1" selected="0">
            <x v="657"/>
          </reference>
          <reference field="1" count="1">
            <x v="52"/>
          </reference>
        </references>
      </pivotArea>
    </format>
    <format dxfId="56">
      <pivotArea dataOnly="0" labelOnly="1" outline="0" fieldPosition="0">
        <references count="2">
          <reference field="0" count="1" selected="0">
            <x v="1341"/>
          </reference>
          <reference field="1" count="1">
            <x v="49"/>
          </reference>
        </references>
      </pivotArea>
    </format>
    <format dxfId="55">
      <pivotArea dataOnly="0" labelOnly="1" outline="0" fieldPosition="0">
        <references count="2">
          <reference field="0" count="1" selected="0">
            <x v="1582"/>
          </reference>
          <reference field="1" count="1">
            <x v="49"/>
          </reference>
        </references>
      </pivotArea>
    </format>
    <format dxfId="54">
      <pivotArea dataOnly="0" labelOnly="1" outline="0" fieldPosition="0">
        <references count="2">
          <reference field="0" count="1" selected="0">
            <x v="1583"/>
          </reference>
          <reference field="1" count="1">
            <x v="49"/>
          </reference>
        </references>
      </pivotArea>
    </format>
    <format dxfId="53">
      <pivotArea dataOnly="0" labelOnly="1" outline="0" fieldPosition="0">
        <references count="1">
          <reference field="0" count="10">
            <x v="467"/>
            <x v="468"/>
            <x v="646"/>
            <x v="649"/>
            <x v="650"/>
            <x v="656"/>
            <x v="657"/>
            <x v="1341"/>
            <x v="1582"/>
            <x v="1583"/>
          </reference>
        </references>
      </pivotArea>
    </format>
    <format dxfId="52">
      <pivotArea dataOnly="0" labelOnly="1" outline="0" fieldPosition="0">
        <references count="2">
          <reference field="0" count="1" selected="0">
            <x v="467"/>
          </reference>
          <reference field="1" count="1">
            <x v="49"/>
          </reference>
        </references>
      </pivotArea>
    </format>
    <format dxfId="51">
      <pivotArea dataOnly="0" labelOnly="1" outline="0" fieldPosition="0">
        <references count="2">
          <reference field="0" count="1" selected="0">
            <x v="468"/>
          </reference>
          <reference field="1" count="1">
            <x v="52"/>
          </reference>
        </references>
      </pivotArea>
    </format>
    <format dxfId="50">
      <pivotArea dataOnly="0" labelOnly="1" outline="0" fieldPosition="0">
        <references count="2">
          <reference field="0" count="1" selected="0">
            <x v="646"/>
          </reference>
          <reference field="1" count="1">
            <x v="49"/>
          </reference>
        </references>
      </pivotArea>
    </format>
    <format dxfId="49">
      <pivotArea dataOnly="0" labelOnly="1" outline="0" fieldPosition="0">
        <references count="2">
          <reference field="0" count="1" selected="0">
            <x v="649"/>
          </reference>
          <reference field="1" count="1">
            <x v="40"/>
          </reference>
        </references>
      </pivotArea>
    </format>
    <format dxfId="48">
      <pivotArea dataOnly="0" labelOnly="1" outline="0" fieldPosition="0">
        <references count="2">
          <reference field="0" count="1" selected="0">
            <x v="650"/>
          </reference>
          <reference field="1" count="1">
            <x v="40"/>
          </reference>
        </references>
      </pivotArea>
    </format>
    <format dxfId="47">
      <pivotArea dataOnly="0" labelOnly="1" outline="0" fieldPosition="0">
        <references count="2">
          <reference field="0" count="1" selected="0">
            <x v="656"/>
          </reference>
          <reference field="1" count="1">
            <x v="52"/>
          </reference>
        </references>
      </pivotArea>
    </format>
    <format dxfId="46">
      <pivotArea dataOnly="0" labelOnly="1" outline="0" fieldPosition="0">
        <references count="2">
          <reference field="0" count="1" selected="0">
            <x v="657"/>
          </reference>
          <reference field="1" count="1">
            <x v="52"/>
          </reference>
        </references>
      </pivotArea>
    </format>
    <format dxfId="45">
      <pivotArea dataOnly="0" labelOnly="1" outline="0" fieldPosition="0">
        <references count="2">
          <reference field="0" count="1" selected="0">
            <x v="1341"/>
          </reference>
          <reference field="1" count="1">
            <x v="49"/>
          </reference>
        </references>
      </pivotArea>
    </format>
    <format dxfId="44">
      <pivotArea dataOnly="0" labelOnly="1" outline="0" fieldPosition="0">
        <references count="2">
          <reference field="0" count="1" selected="0">
            <x v="1582"/>
          </reference>
          <reference field="1" count="1">
            <x v="49"/>
          </reference>
        </references>
      </pivotArea>
    </format>
    <format dxfId="43">
      <pivotArea dataOnly="0" labelOnly="1" outline="0" fieldPosition="0">
        <references count="2">
          <reference field="0" count="1" selected="0">
            <x v="1583"/>
          </reference>
          <reference field="1" count="1">
            <x v="49"/>
          </reference>
        </references>
      </pivotArea>
    </format>
    <format dxfId="42">
      <pivotArea type="all" dataOnly="0" outline="0" fieldPosition="0"/>
    </format>
    <format dxfId="41">
      <pivotArea dataOnly="0" labelOnly="1" outline="0" fieldPosition="0">
        <references count="2">
          <reference field="0" count="1" selected="0">
            <x v="467"/>
          </reference>
          <reference field="1" count="1">
            <x v="49"/>
          </reference>
        </references>
      </pivotArea>
    </format>
    <format dxfId="40">
      <pivotArea dataOnly="0" labelOnly="1" outline="0" fieldPosition="0">
        <references count="2">
          <reference field="0" count="1" selected="0">
            <x v="468"/>
          </reference>
          <reference field="1" count="1">
            <x v="52"/>
          </reference>
        </references>
      </pivotArea>
    </format>
    <format dxfId="39">
      <pivotArea dataOnly="0" labelOnly="1" outline="0" fieldPosition="0">
        <references count="2">
          <reference field="0" count="1" selected="0">
            <x v="646"/>
          </reference>
          <reference field="1" count="1">
            <x v="49"/>
          </reference>
        </references>
      </pivotArea>
    </format>
    <format dxfId="38">
      <pivotArea dataOnly="0" labelOnly="1" outline="0" fieldPosition="0">
        <references count="2">
          <reference field="0" count="1" selected="0">
            <x v="649"/>
          </reference>
          <reference field="1" count="1">
            <x v="40"/>
          </reference>
        </references>
      </pivotArea>
    </format>
    <format dxfId="37">
      <pivotArea dataOnly="0" labelOnly="1" outline="0" fieldPosition="0">
        <references count="2">
          <reference field="0" count="1" selected="0">
            <x v="650"/>
          </reference>
          <reference field="1" count="1">
            <x v="40"/>
          </reference>
        </references>
      </pivotArea>
    </format>
    <format dxfId="36">
      <pivotArea dataOnly="0" labelOnly="1" outline="0" fieldPosition="0">
        <references count="2">
          <reference field="0" count="1" selected="0">
            <x v="656"/>
          </reference>
          <reference field="1" count="1">
            <x v="52"/>
          </reference>
        </references>
      </pivotArea>
    </format>
    <format dxfId="35">
      <pivotArea dataOnly="0" labelOnly="1" outline="0" fieldPosition="0">
        <references count="2">
          <reference field="0" count="1" selected="0">
            <x v="657"/>
          </reference>
          <reference field="1" count="1">
            <x v="52"/>
          </reference>
        </references>
      </pivotArea>
    </format>
    <format dxfId="34">
      <pivotArea dataOnly="0" labelOnly="1" outline="0" fieldPosition="0">
        <references count="2">
          <reference field="0" count="1" selected="0">
            <x v="1341"/>
          </reference>
          <reference field="1" count="1">
            <x v="49"/>
          </reference>
        </references>
      </pivotArea>
    </format>
    <format dxfId="33">
      <pivotArea dataOnly="0" labelOnly="1" outline="0" fieldPosition="0">
        <references count="2">
          <reference field="0" count="1" selected="0">
            <x v="1582"/>
          </reference>
          <reference field="1" count="1">
            <x v="49"/>
          </reference>
        </references>
      </pivotArea>
    </format>
    <format dxfId="32">
      <pivotArea dataOnly="0" labelOnly="1" outline="0" fieldPosition="0">
        <references count="2">
          <reference field="0" count="1" selected="0">
            <x v="1583"/>
          </reference>
          <reference field="1" count="1">
            <x v="49"/>
          </reference>
        </references>
      </pivotArea>
    </format>
    <format dxfId="31">
      <pivotArea dataOnly="0" labelOnly="1" outline="0" fieldPosition="0">
        <references count="2">
          <reference field="0" count="1" selected="0">
            <x v="467"/>
          </reference>
          <reference field="1" count="1">
            <x v="49"/>
          </reference>
        </references>
      </pivotArea>
    </format>
    <format dxfId="30">
      <pivotArea dataOnly="0" labelOnly="1" outline="0" fieldPosition="0">
        <references count="2">
          <reference field="0" count="1" selected="0">
            <x v="468"/>
          </reference>
          <reference field="1" count="1">
            <x v="52"/>
          </reference>
        </references>
      </pivotArea>
    </format>
    <format dxfId="29">
      <pivotArea dataOnly="0" labelOnly="1" outline="0" fieldPosition="0">
        <references count="2">
          <reference field="0" count="1" selected="0">
            <x v="646"/>
          </reference>
          <reference field="1" count="1">
            <x v="49"/>
          </reference>
        </references>
      </pivotArea>
    </format>
    <format dxfId="28">
      <pivotArea dataOnly="0" labelOnly="1" outline="0" fieldPosition="0">
        <references count="2">
          <reference field="0" count="1" selected="0">
            <x v="649"/>
          </reference>
          <reference field="1" count="1">
            <x v="40"/>
          </reference>
        </references>
      </pivotArea>
    </format>
    <format dxfId="27">
      <pivotArea dataOnly="0" labelOnly="1" outline="0" fieldPosition="0">
        <references count="2">
          <reference field="0" count="1" selected="0">
            <x v="650"/>
          </reference>
          <reference field="1" count="1">
            <x v="40"/>
          </reference>
        </references>
      </pivotArea>
    </format>
    <format dxfId="26">
      <pivotArea dataOnly="0" labelOnly="1" outline="0" fieldPosition="0">
        <references count="2">
          <reference field="0" count="1" selected="0">
            <x v="656"/>
          </reference>
          <reference field="1" count="1">
            <x v="52"/>
          </reference>
        </references>
      </pivotArea>
    </format>
    <format dxfId="25">
      <pivotArea dataOnly="0" labelOnly="1" outline="0" fieldPosition="0">
        <references count="2">
          <reference field="0" count="1" selected="0">
            <x v="657"/>
          </reference>
          <reference field="1" count="1">
            <x v="52"/>
          </reference>
        </references>
      </pivotArea>
    </format>
    <format dxfId="24">
      <pivotArea dataOnly="0" labelOnly="1" outline="0" fieldPosition="0">
        <references count="2">
          <reference field="0" count="1" selected="0">
            <x v="1341"/>
          </reference>
          <reference field="1" count="1">
            <x v="49"/>
          </reference>
        </references>
      </pivotArea>
    </format>
    <format dxfId="23">
      <pivotArea dataOnly="0" labelOnly="1" outline="0" fieldPosition="0">
        <references count="2">
          <reference field="0" count="1" selected="0">
            <x v="1582"/>
          </reference>
          <reference field="1" count="1">
            <x v="49"/>
          </reference>
        </references>
      </pivotArea>
    </format>
    <format dxfId="22">
      <pivotArea dataOnly="0" labelOnly="1" outline="0" fieldPosition="0">
        <references count="2">
          <reference field="0" count="1" selected="0">
            <x v="1583"/>
          </reference>
          <reference field="1" count="1">
            <x v="49"/>
          </reference>
        </references>
      </pivotArea>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field="1" type="button" dataOnly="0" labelOnly="1" outline="0" axis="axisRow" fieldPosition="1"/>
    </format>
    <format dxfId="17">
      <pivotArea dataOnly="0" labelOnly="1" outline="0" fieldPosition="0">
        <references count="1">
          <reference field="0" count="10">
            <x v="467"/>
            <x v="468"/>
            <x v="646"/>
            <x v="649"/>
            <x v="650"/>
            <x v="656"/>
            <x v="657"/>
            <x v="1341"/>
            <x v="1582"/>
            <x v="1583"/>
          </reference>
        </references>
      </pivotArea>
    </format>
    <format dxfId="16">
      <pivotArea dataOnly="0" labelOnly="1" outline="0" fieldPosition="0">
        <references count="2">
          <reference field="0" count="1" selected="0">
            <x v="467"/>
          </reference>
          <reference field="1" count="1">
            <x v="49"/>
          </reference>
        </references>
      </pivotArea>
    </format>
    <format dxfId="15">
      <pivotArea dataOnly="0" labelOnly="1" outline="0" fieldPosition="0">
        <references count="2">
          <reference field="0" count="1" selected="0">
            <x v="468"/>
          </reference>
          <reference field="1" count="1">
            <x v="52"/>
          </reference>
        </references>
      </pivotArea>
    </format>
    <format dxfId="14">
      <pivotArea dataOnly="0" labelOnly="1" outline="0" fieldPosition="0">
        <references count="2">
          <reference field="0" count="1" selected="0">
            <x v="646"/>
          </reference>
          <reference field="1" count="1">
            <x v="49"/>
          </reference>
        </references>
      </pivotArea>
    </format>
    <format dxfId="13">
      <pivotArea dataOnly="0" labelOnly="1" outline="0" fieldPosition="0">
        <references count="2">
          <reference field="0" count="1" selected="0">
            <x v="649"/>
          </reference>
          <reference field="1" count="1">
            <x v="40"/>
          </reference>
        </references>
      </pivotArea>
    </format>
    <format dxfId="12">
      <pivotArea dataOnly="0" labelOnly="1" outline="0" fieldPosition="0">
        <references count="2">
          <reference field="0" count="1" selected="0">
            <x v="650"/>
          </reference>
          <reference field="1" count="1">
            <x v="40"/>
          </reference>
        </references>
      </pivotArea>
    </format>
    <format dxfId="11">
      <pivotArea dataOnly="0" labelOnly="1" outline="0" fieldPosition="0">
        <references count="2">
          <reference field="0" count="1" selected="0">
            <x v="656"/>
          </reference>
          <reference field="1" count="1">
            <x v="52"/>
          </reference>
        </references>
      </pivotArea>
    </format>
    <format dxfId="10">
      <pivotArea dataOnly="0" labelOnly="1" outline="0" fieldPosition="0">
        <references count="2">
          <reference field="0" count="1" selected="0">
            <x v="657"/>
          </reference>
          <reference field="1" count="1">
            <x v="52"/>
          </reference>
        </references>
      </pivotArea>
    </format>
    <format dxfId="9">
      <pivotArea dataOnly="0" labelOnly="1" outline="0" fieldPosition="0">
        <references count="2">
          <reference field="0" count="1" selected="0">
            <x v="1341"/>
          </reference>
          <reference field="1" count="1">
            <x v="49"/>
          </reference>
        </references>
      </pivotArea>
    </format>
    <format dxfId="8">
      <pivotArea dataOnly="0" labelOnly="1" outline="0" fieldPosition="0">
        <references count="2">
          <reference field="0" count="1" selected="0">
            <x v="1582"/>
          </reference>
          <reference field="1" count="1">
            <x v="49"/>
          </reference>
        </references>
      </pivotArea>
    </format>
    <format dxfId="7">
      <pivotArea dataOnly="0" labelOnly="1" outline="0" fieldPosition="0">
        <references count="2">
          <reference field="0" count="1" selected="0">
            <x v="1583"/>
          </reference>
          <reference field="1" count="1">
            <x v="49"/>
          </reference>
        </references>
      </pivotArea>
    </format>
    <format dxfId="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478FC-3E24-4A41-A8A5-AF9136E7C59B}" name="PT_Selected_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K20:AL75" firstHeaderRow="1" firstDataRow="1" firstDataCol="1"/>
  <pivotFields count="22">
    <pivotField showAll="0"/>
    <pivotField axis="axisRow" showAll="0">
      <items count="56">
        <item x="16"/>
        <item x="29"/>
        <item x="53"/>
        <item x="38"/>
        <item x="31"/>
        <item x="50"/>
        <item x="39"/>
        <item x="20"/>
        <item x="45"/>
        <item x="25"/>
        <item x="48"/>
        <item x="49"/>
        <item x="26"/>
        <item x="24"/>
        <item x="15"/>
        <item x="33"/>
        <item x="8"/>
        <item x="28"/>
        <item x="23"/>
        <item x="13"/>
        <item x="22"/>
        <item x="21"/>
        <item x="27"/>
        <item x="11"/>
        <item x="32"/>
        <item x="54"/>
        <item x="51"/>
        <item x="44"/>
        <item x="47"/>
        <item x="19"/>
        <item x="41"/>
        <item x="52"/>
        <item x="17"/>
        <item x="4"/>
        <item x="43"/>
        <item x="42"/>
        <item x="7"/>
        <item x="6"/>
        <item x="5"/>
        <item x="3"/>
        <item x="2"/>
        <item x="18"/>
        <item x="12"/>
        <item x="46"/>
        <item x="34"/>
        <item x="36"/>
        <item x="40"/>
        <item x="30"/>
        <item x="10"/>
        <item x="1"/>
        <item x="14"/>
        <item x="9"/>
        <item x="0"/>
        <item x="35"/>
        <item x="3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rowItems>
  <colItems count="1">
    <i/>
  </colItems>
  <dataFields count="1">
    <dataField name="Average of CAGR% 3 Year"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370B6F-C80C-4720-A864-6E6EF55BE965}" autoFormatId="16" applyNumberFormats="0" applyBorderFormats="0" applyFontFormats="0" applyPatternFormats="0" applyAlignmentFormats="0" applyWidthHeightFormats="0">
  <queryTableRefresh nextId="23">
    <queryTableFields count="22">
      <queryTableField id="1" name="Scheme" tableColumnId="1"/>
      <queryTableField id="2" name="Category" tableColumnId="2"/>
      <queryTableField id="3" name="CAGR% 6 Months" tableColumnId="3"/>
      <queryTableField id="4" name="CAGR% 1 Year" tableColumnId="4"/>
      <queryTableField id="5" name="CAGR% 3 Year" tableColumnId="5"/>
      <queryTableField id="6" name="Exp. Ratio(%)" tableColumnId="6"/>
      <queryTableField id="7" name="6M_Score" tableColumnId="7"/>
      <queryTableField id="8" name="1Y_Score" tableColumnId="8"/>
      <queryTableField id="9" name="3Y_Score" tableColumnId="9"/>
      <queryTableField id="10" name="Performance_Score" tableColumnId="10"/>
      <queryTableField id="11" name="Cost_Score" tableColumnId="11"/>
      <queryTableField id="12" name="Return_Std" tableColumnId="12"/>
      <queryTableField id="13" name="Consistency_Score" tableColumnId="13"/>
      <queryTableField id="14" name="Overall_Score" tableColumnId="14"/>
      <queryTableField id="15" name="Category_Avg_3Y" tableColumnId="15"/>
      <queryTableField id="16" name="3Y_vs_Category" tableColumnId="16"/>
      <queryTableField id="17" name="Overall_Rank" tableColumnId="17"/>
      <queryTableField id="18" name="Category_Rank" tableColumnId="18"/>
      <queryTableField id="19" name="Type" tableColumnId="19"/>
      <queryTableField id="20" name="Benchmark" tableColumnId="20"/>
      <queryTableField id="21" name="Min. Invest(Rs.)" tableColumnId="21"/>
      <queryTableField id="22" name="SIP Min. Inv.(R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D60150-2B8A-4E3D-8C1F-718334DCF5DC}" sourceName="Category">
  <pivotTables>
    <pivotTable tabId="1" name="PT_Selected_Category"/>
  </pivotTables>
  <data>
    <tabular pivotCacheId="1236920440">
      <items count="55">
        <i x="16" s="1"/>
        <i x="29" s="1"/>
        <i x="53" s="1"/>
        <i x="38" s="1"/>
        <i x="31" s="1"/>
        <i x="50" s="1"/>
        <i x="39" s="1"/>
        <i x="20" s="1"/>
        <i x="45" s="1"/>
        <i x="25" s="1"/>
        <i x="48" s="1"/>
        <i x="49" s="1"/>
        <i x="26" s="1"/>
        <i x="24" s="1"/>
        <i x="15" s="1"/>
        <i x="33" s="1"/>
        <i x="8" s="1"/>
        <i x="28" s="1"/>
        <i x="23" s="1"/>
        <i x="13" s="1"/>
        <i x="22" s="1"/>
        <i x="21" s="1"/>
        <i x="27" s="1"/>
        <i x="11" s="1"/>
        <i x="32" s="1"/>
        <i x="54" s="1"/>
        <i x="51" s="1"/>
        <i x="44" s="1"/>
        <i x="47" s="1"/>
        <i x="19" s="1"/>
        <i x="41" s="1"/>
        <i x="52" s="1"/>
        <i x="17" s="1"/>
        <i x="4" s="1"/>
        <i x="43" s="1"/>
        <i x="42" s="1"/>
        <i x="7" s="1"/>
        <i x="6" s="1"/>
        <i x="5" s="1"/>
        <i x="3" s="1"/>
        <i x="2" s="1"/>
        <i x="18" s="1"/>
        <i x="12" s="1"/>
        <i x="46" s="1"/>
        <i x="34" s="1"/>
        <i x="36" s="1"/>
        <i x="40" s="1"/>
        <i x="30" s="1"/>
        <i x="10" s="1"/>
        <i x="1" s="1"/>
        <i x="14" s="1"/>
        <i x="9" s="1"/>
        <i x="0" s="1"/>
        <i x="35" s="1"/>
        <i x="3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625FA2-CCCF-471A-997E-6F750C15214C}" cache="Slicer_Category" caption="Category" startItem="38"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F785B5-8262-4B3F-A1B1-8A87E2ED5873}" name="FundData" displayName="FundData" ref="A1:V1609" tableType="queryTable" totalsRowShown="0">
  <autoFilter ref="A1:V1609" xr:uid="{F0F785B5-8262-4B3F-A1B1-8A87E2ED5873}"/>
  <tableColumns count="22">
    <tableColumn id="1" xr3:uid="{F79B02CA-46C1-4E45-81E2-543A2B399192}" uniqueName="1" name="Scheme" queryTableFieldId="1" dataDxfId="81"/>
    <tableColumn id="2" xr3:uid="{FF2D39FF-4353-4E30-806D-A067C7268568}" uniqueName="2" name="Category" queryTableFieldId="2" dataDxfId="80"/>
    <tableColumn id="3" xr3:uid="{3898DE51-F3C4-4249-9353-82E1C64C6663}" uniqueName="3" name="CAGR% 6 Months" queryTableFieldId="3"/>
    <tableColumn id="4" xr3:uid="{9D9F5494-01C7-4508-A239-C214AADC8419}" uniqueName="4" name="CAGR% 1 Year" queryTableFieldId="4"/>
    <tableColumn id="5" xr3:uid="{6CF05548-4F4A-46CD-8268-E5E7590E01D3}" uniqueName="5" name="CAGR% 3 Year" queryTableFieldId="5"/>
    <tableColumn id="6" xr3:uid="{B99E5D8D-FC18-40D3-B8BD-F8F182E7BA02}" uniqueName="6" name="Exp. Ratio(%)" queryTableFieldId="6"/>
    <tableColumn id="7" xr3:uid="{D1AECF16-414B-4BDD-8648-B8FB5C49EF08}" uniqueName="7" name="6M_Score" queryTableFieldId="7"/>
    <tableColumn id="8" xr3:uid="{A98CFF68-97CD-404B-8DF6-EA2D857CCAB3}" uniqueName="8" name="1Y_Score" queryTableFieldId="8"/>
    <tableColumn id="9" xr3:uid="{90D50ECE-6FF9-4DCB-8A4F-CE9162AB125D}" uniqueName="9" name="3Y_Score" queryTableFieldId="9"/>
    <tableColumn id="10" xr3:uid="{BC528FBC-4802-44BD-96DE-94ABFCBC142C}" uniqueName="10" name="Performance_Score" queryTableFieldId="10"/>
    <tableColumn id="11" xr3:uid="{58702EAE-8DAD-4D02-9BE7-9012A3A1E085}" uniqueName="11" name="Cost_Score" queryTableFieldId="11"/>
    <tableColumn id="12" xr3:uid="{6536AC6B-D4D7-49E9-A4AA-03D5D4561BE3}" uniqueName="12" name="Return_Std" queryTableFieldId="12"/>
    <tableColumn id="13" xr3:uid="{4AF7EB52-EF2D-439A-B46A-A2BFA1995CEB}" uniqueName="13" name="Consistency_Score" queryTableFieldId="13"/>
    <tableColumn id="14" xr3:uid="{25290BBA-81AB-4B66-944F-2E907BE34A04}" uniqueName="14" name="Overall_Score" queryTableFieldId="14"/>
    <tableColumn id="15" xr3:uid="{D3033F3F-69BB-450D-957B-91D0D9C9D75D}" uniqueName="15" name="Category_Avg_3Y" queryTableFieldId="15"/>
    <tableColumn id="16" xr3:uid="{5699FBB9-973A-45F6-81A3-490E7D7B37F5}" uniqueName="16" name="3Y_vs_Category" queryTableFieldId="16"/>
    <tableColumn id="17" xr3:uid="{25A0DEC2-F640-4D47-BADB-07A3F500288D}" uniqueName="17" name="Overall_Rank" queryTableFieldId="17"/>
    <tableColumn id="18" xr3:uid="{DF99F1B6-6C07-415B-8BE9-17E2D3EDC0DA}" uniqueName="18" name="Category_Rank" queryTableFieldId="18"/>
    <tableColumn id="19" xr3:uid="{A9419FEB-D59F-45F2-AC90-665BA665893B}" uniqueName="19" name="Type" queryTableFieldId="19" dataDxfId="79"/>
    <tableColumn id="20" xr3:uid="{AEEDDAAF-F1EA-4D02-A43C-0DCFA884B7FA}" uniqueName="20" name="Benchmark" queryTableFieldId="20" dataDxfId="78"/>
    <tableColumn id="21" xr3:uid="{76B2B4A3-67E2-4D5D-A463-A316B9F1F747}" uniqueName="21" name="Min. Invest(Rs.)" queryTableFieldId="21"/>
    <tableColumn id="22" xr3:uid="{6C6D08D9-2C1C-4E1E-A5E3-32EBB5D64A89}" uniqueName="22" name="SIP Min. Inv.(R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9BBB-2822-4CF7-B8E5-94FA725A2A65}">
  <sheetPr>
    <pageSetUpPr autoPageBreaks="0"/>
  </sheetPr>
  <dimension ref="A1:AV75"/>
  <sheetViews>
    <sheetView showGridLines="0" tabSelected="1" zoomScale="85" zoomScaleNormal="85" workbookViewId="0">
      <selection activeCell="A4" sqref="A4"/>
    </sheetView>
  </sheetViews>
  <sheetFormatPr defaultRowHeight="14.4" x14ac:dyDescent="0.3"/>
  <cols>
    <col min="1" max="1" width="25.33203125" customWidth="1"/>
    <col min="2" max="2" width="40.77734375" customWidth="1"/>
    <col min="3" max="3" width="29" customWidth="1"/>
    <col min="4" max="4" width="20.109375" customWidth="1"/>
    <col min="5" max="5" width="28.109375" customWidth="1"/>
    <col min="6" max="6" width="15.5546875" customWidth="1"/>
    <col min="7" max="7" width="28.33203125" customWidth="1"/>
    <col min="8" max="8" width="23.21875" customWidth="1"/>
    <col min="9" max="9" width="21.109375" customWidth="1"/>
    <col min="10" max="10" width="24.5546875" bestFit="1" customWidth="1"/>
    <col min="11" max="11" width="12.44140625" bestFit="1" customWidth="1"/>
    <col min="12" max="12" width="11.33203125" bestFit="1" customWidth="1"/>
    <col min="13" max="17" width="12.44140625" bestFit="1" customWidth="1"/>
    <col min="18" max="18" width="17.109375" bestFit="1" customWidth="1"/>
    <col min="19" max="25" width="12.44140625" bestFit="1" customWidth="1"/>
    <col min="26" max="26" width="23.88671875" bestFit="1" customWidth="1"/>
    <col min="27" max="27" width="39.88671875" bestFit="1" customWidth="1"/>
    <col min="28" max="28" width="23" bestFit="1" customWidth="1"/>
    <col min="29" max="31" width="12.44140625" bestFit="1" customWidth="1"/>
    <col min="32" max="32" width="11.33203125" bestFit="1" customWidth="1"/>
    <col min="33" max="33" width="12.44140625" bestFit="1" customWidth="1"/>
    <col min="34" max="34" width="24.109375" bestFit="1" customWidth="1"/>
    <col min="35" max="35" width="29.21875" bestFit="1" customWidth="1"/>
    <col min="36" max="36" width="21.77734375" bestFit="1" customWidth="1"/>
    <col min="37" max="37" width="44.109375" bestFit="1" customWidth="1"/>
    <col min="38" max="38" width="22.77734375" bestFit="1" customWidth="1"/>
    <col min="47" max="47" width="10.6640625" customWidth="1"/>
    <col min="48" max="48" width="18.44140625" customWidth="1"/>
  </cols>
  <sheetData>
    <row r="1" spans="1:10" ht="34.950000000000003" customHeight="1" x14ac:dyDescent="0.3">
      <c r="A1" s="61" t="s">
        <v>1793</v>
      </c>
      <c r="B1" s="61"/>
      <c r="C1" s="61"/>
      <c r="D1" s="61"/>
      <c r="E1" s="61"/>
      <c r="F1" s="61"/>
      <c r="G1" s="61"/>
      <c r="H1" s="61"/>
      <c r="I1" s="61"/>
      <c r="J1" s="61"/>
    </row>
    <row r="3" spans="1:10" ht="14.4" customHeight="1" x14ac:dyDescent="0.3">
      <c r="B3" s="68" t="s">
        <v>1794</v>
      </c>
      <c r="C3" s="69"/>
      <c r="D3" s="66" t="s">
        <v>1795</v>
      </c>
      <c r="E3" s="67"/>
      <c r="F3" s="64" t="s">
        <v>1796</v>
      </c>
      <c r="G3" s="65"/>
      <c r="H3" s="62" t="s">
        <v>1797</v>
      </c>
      <c r="I3" s="63"/>
    </row>
    <row r="4" spans="1:10" ht="21" x14ac:dyDescent="0.4">
      <c r="B4" s="59">
        <f>COUNTA(FundData[Scheme])</f>
        <v>1608</v>
      </c>
      <c r="C4" s="60"/>
      <c r="D4" s="70">
        <f>AVERAGE(FundData[CAGR% 3 Year])</f>
        <v>7.1646144278606831</v>
      </c>
      <c r="E4" s="71"/>
      <c r="F4" s="57">
        <f>AVERAGE(FundData[Exp. Ratio(%)])</f>
        <v>1.4279166666666643</v>
      </c>
      <c r="G4" s="58"/>
      <c r="H4" s="55">
        <f>MAX(FundData[Overall_Score])</f>
        <v>72.992899788074283</v>
      </c>
      <c r="I4" s="56"/>
    </row>
    <row r="18" spans="27:48" x14ac:dyDescent="0.3">
      <c r="AA18" s="53" t="s">
        <v>1809</v>
      </c>
      <c r="AB18" s="53"/>
      <c r="AK18" s="53" t="s">
        <v>1810</v>
      </c>
      <c r="AL18" s="53"/>
      <c r="AU18" s="53" t="s">
        <v>1811</v>
      </c>
      <c r="AV18" s="54"/>
    </row>
    <row r="20" spans="27:48" x14ac:dyDescent="0.3">
      <c r="AA20" s="1" t="s">
        <v>1798</v>
      </c>
      <c r="AB20" t="s">
        <v>1800</v>
      </c>
      <c r="AK20" s="1" t="s">
        <v>1798</v>
      </c>
      <c r="AL20" t="s">
        <v>1800</v>
      </c>
      <c r="AU20" s="5" t="s">
        <v>1</v>
      </c>
      <c r="AV20" s="6" t="s">
        <v>1808</v>
      </c>
    </row>
    <row r="21" spans="27:48" x14ac:dyDescent="0.3">
      <c r="AA21" s="2" t="s">
        <v>166</v>
      </c>
      <c r="AB21">
        <v>20.878999999999998</v>
      </c>
      <c r="AK21" s="2" t="s">
        <v>161</v>
      </c>
      <c r="AL21">
        <v>4.9189795918367345</v>
      </c>
      <c r="AU21" s="7" t="str" cm="1">
        <f t="array" ref="AU21:AV30">_xlfn.LET(
_xlpm.selectedCount,COUNTA(AK21:AK100),
_xlpm.totalCategories,COUNTA(_xlfn.UNIQUE(FundData[Category])),
IF(
_xlpm.selectedCount&lt;_xlpm.totalCategories,
_xlfn._xlws.FILTER(AK21:AL100,AK21:AK100&lt;&gt;""),
_xlfn._xlws.FILTER(AA21:AB30,AA21:AA30&lt;&gt;"")
)
)</f>
        <v>Equity - Sectoral Fund - Technology</v>
      </c>
      <c r="AV21" s="8">
        <v>20.878999999999998</v>
      </c>
    </row>
    <row r="22" spans="27:48" x14ac:dyDescent="0.3">
      <c r="AA22" s="2" t="s">
        <v>23</v>
      </c>
      <c r="AB22">
        <v>12.6</v>
      </c>
      <c r="AK22" s="2" t="s">
        <v>358</v>
      </c>
      <c r="AL22">
        <v>5.0554237288135573</v>
      </c>
      <c r="AU22" s="9" t="str">
        <v>Index Funds - Sensex</v>
      </c>
      <c r="AV22" s="10">
        <v>12.6</v>
      </c>
    </row>
    <row r="23" spans="27:48" x14ac:dyDescent="0.3">
      <c r="AA23" s="2" t="s">
        <v>106</v>
      </c>
      <c r="AB23">
        <v>12.436666666666666</v>
      </c>
      <c r="AK23" s="2" t="s">
        <v>1331</v>
      </c>
      <c r="AL23">
        <v>4.7778124999999996</v>
      </c>
      <c r="AU23" s="7" t="str">
        <v>Equity - Contra Fund</v>
      </c>
      <c r="AV23" s="8">
        <v>12.436666666666666</v>
      </c>
    </row>
    <row r="24" spans="27:48" x14ac:dyDescent="0.3">
      <c r="AA24" s="2" t="s">
        <v>592</v>
      </c>
      <c r="AB24">
        <v>12.223750000000003</v>
      </c>
      <c r="AK24" s="2" t="s">
        <v>520</v>
      </c>
      <c r="AL24">
        <v>4.6249999999999991</v>
      </c>
      <c r="AU24" s="9" t="str">
        <v>Equity - Sectoral Fund - Pharma &amp; Health Care</v>
      </c>
      <c r="AV24" s="10">
        <v>12.223750000000003</v>
      </c>
    </row>
    <row r="25" spans="27:48" x14ac:dyDescent="0.3">
      <c r="AA25" s="2" t="s">
        <v>51</v>
      </c>
      <c r="AB25">
        <v>12.127586206896556</v>
      </c>
      <c r="AK25" s="2" t="s">
        <v>395</v>
      </c>
      <c r="AL25">
        <v>5.2778260869565221</v>
      </c>
      <c r="AU25" s="7" t="str">
        <v>Equity - Small cap Fund</v>
      </c>
      <c r="AV25" s="8">
        <v>12.127586206896556</v>
      </c>
    </row>
    <row r="26" spans="27:48" x14ac:dyDescent="0.3">
      <c r="AA26" s="2" t="s">
        <v>405</v>
      </c>
      <c r="AB26">
        <v>12.057857142857145</v>
      </c>
      <c r="AK26" s="2" t="s">
        <v>976</v>
      </c>
      <c r="AL26">
        <v>4.3111111111111109</v>
      </c>
      <c r="AU26" s="9" t="str">
        <v>Equity - Multi Cap Fund</v>
      </c>
      <c r="AV26" s="10">
        <v>12.057857142857145</v>
      </c>
    </row>
    <row r="27" spans="27:48" x14ac:dyDescent="0.3">
      <c r="AA27" s="2" t="s">
        <v>28</v>
      </c>
      <c r="AB27">
        <v>11.520799999999999</v>
      </c>
      <c r="AK27" s="2" t="s">
        <v>551</v>
      </c>
      <c r="AL27">
        <v>3.985555555555556</v>
      </c>
      <c r="AU27" s="7" t="str">
        <v>Index Funds - Nifty</v>
      </c>
      <c r="AV27" s="8">
        <v>11.520799999999999</v>
      </c>
    </row>
    <row r="28" spans="27:48" x14ac:dyDescent="0.3">
      <c r="AA28" s="2" t="s">
        <v>126</v>
      </c>
      <c r="AB28">
        <v>11.362272727272732</v>
      </c>
      <c r="AK28" s="2" t="s">
        <v>192</v>
      </c>
      <c r="AL28">
        <v>4.4280373831775703</v>
      </c>
      <c r="AU28" s="9" t="str">
        <v>Equity - Mid Cap Fund</v>
      </c>
      <c r="AV28" s="10">
        <v>11.362272727272732</v>
      </c>
    </row>
    <row r="29" spans="27:48" x14ac:dyDescent="0.3">
      <c r="AA29" s="2" t="s">
        <v>58</v>
      </c>
      <c r="AB29">
        <v>11.126842105263156</v>
      </c>
      <c r="AK29" s="2" t="s">
        <v>773</v>
      </c>
      <c r="AL29">
        <v>4.1174999999999997</v>
      </c>
      <c r="AU29" s="7" t="str">
        <v>FoFs (Domestic / Overseas ) - Gold</v>
      </c>
      <c r="AV29" s="8">
        <v>11.126842105263156</v>
      </c>
    </row>
    <row r="30" spans="27:48" x14ac:dyDescent="0.3">
      <c r="AA30" s="2" t="s">
        <v>755</v>
      </c>
      <c r="AB30">
        <v>11.035555555555554</v>
      </c>
      <c r="AK30" s="2" t="s">
        <v>229</v>
      </c>
      <c r="AL30">
        <v>5.1221052631578967</v>
      </c>
      <c r="AU30" s="9" t="str">
        <v>Equity - Sectoral Fund - Consumption</v>
      </c>
      <c r="AV30" s="10">
        <v>11.035555555555554</v>
      </c>
    </row>
    <row r="31" spans="27:48" x14ac:dyDescent="0.3">
      <c r="AA31" s="2" t="s">
        <v>1799</v>
      </c>
      <c r="AB31">
        <v>12.162404371584707</v>
      </c>
      <c r="AK31" s="2" t="s">
        <v>921</v>
      </c>
      <c r="AL31">
        <v>3.5597297297297299</v>
      </c>
      <c r="AU31" s="3"/>
      <c r="AV31" s="4"/>
    </row>
    <row r="32" spans="27:48" x14ac:dyDescent="0.3">
      <c r="AK32" s="2" t="s">
        <v>965</v>
      </c>
      <c r="AL32">
        <v>4.3271875000000009</v>
      </c>
    </row>
    <row r="33" spans="2:38" x14ac:dyDescent="0.3">
      <c r="AK33" s="2" t="s">
        <v>262</v>
      </c>
      <c r="AL33">
        <v>4.4728846153846149</v>
      </c>
    </row>
    <row r="34" spans="2:38" x14ac:dyDescent="0.3">
      <c r="AK34" s="2" t="s">
        <v>216</v>
      </c>
      <c r="AL34">
        <v>4.3459999999999992</v>
      </c>
    </row>
    <row r="35" spans="2:38" x14ac:dyDescent="0.3">
      <c r="AK35" s="2" t="s">
        <v>155</v>
      </c>
      <c r="AL35">
        <v>5.2086538461538465</v>
      </c>
    </row>
    <row r="36" spans="2:38" x14ac:dyDescent="0.3">
      <c r="AK36" s="2" t="s">
        <v>410</v>
      </c>
      <c r="AL36">
        <v>4.4264935064935065</v>
      </c>
    </row>
    <row r="37" spans="2:38" x14ac:dyDescent="0.3">
      <c r="AK37" s="2" t="s">
        <v>106</v>
      </c>
      <c r="AL37">
        <v>12.436666666666666</v>
      </c>
    </row>
    <row r="38" spans="2:38" x14ac:dyDescent="0.3">
      <c r="AK38" s="2" t="s">
        <v>328</v>
      </c>
      <c r="AL38">
        <v>10.249000000000001</v>
      </c>
    </row>
    <row r="39" spans="2:38" x14ac:dyDescent="0.3">
      <c r="AK39" s="2" t="s">
        <v>202</v>
      </c>
      <c r="AL39">
        <v>10.023387096774195</v>
      </c>
    </row>
    <row r="40" spans="2:38" x14ac:dyDescent="0.3">
      <c r="AK40" s="2" t="s">
        <v>148</v>
      </c>
      <c r="AL40">
        <v>10.461</v>
      </c>
    </row>
    <row r="41" spans="2:38" x14ac:dyDescent="0.3">
      <c r="AK41" s="2" t="s">
        <v>199</v>
      </c>
      <c r="AL41">
        <v>9.8300000000000018</v>
      </c>
    </row>
    <row r="42" spans="2:38" x14ac:dyDescent="0.3">
      <c r="AK42" s="2" t="s">
        <v>195</v>
      </c>
      <c r="AL42">
        <v>10.412619047619044</v>
      </c>
    </row>
    <row r="43" spans="2:38" x14ac:dyDescent="0.3">
      <c r="AK43" s="2" t="s">
        <v>272</v>
      </c>
      <c r="AL43">
        <v>10.044583333333332</v>
      </c>
    </row>
    <row r="44" spans="2:38" x14ac:dyDescent="0.3">
      <c r="AK44" s="2" t="s">
        <v>126</v>
      </c>
      <c r="AL44">
        <v>11.362272727272732</v>
      </c>
    </row>
    <row r="45" spans="2:38" x14ac:dyDescent="0.3">
      <c r="AK45" s="2" t="s">
        <v>405</v>
      </c>
      <c r="AL45">
        <v>12.057857142857145</v>
      </c>
    </row>
    <row r="46" spans="2:38" ht="18" x14ac:dyDescent="0.35">
      <c r="B46" s="31" t="s">
        <v>1801</v>
      </c>
      <c r="AK46" s="2" t="s">
        <v>1705</v>
      </c>
      <c r="AL46">
        <v>4.13</v>
      </c>
    </row>
    <row r="47" spans="2:38" x14ac:dyDescent="0.3">
      <c r="AK47" s="2" t="s">
        <v>1019</v>
      </c>
      <c r="AL47">
        <v>8.7813636363636363</v>
      </c>
    </row>
    <row r="48" spans="2:38" ht="17.399999999999999" x14ac:dyDescent="0.3">
      <c r="B48" s="49" t="s">
        <v>0</v>
      </c>
      <c r="C48" s="49" t="s">
        <v>1</v>
      </c>
      <c r="D48" s="49" t="s">
        <v>1802</v>
      </c>
      <c r="E48" s="49" t="s">
        <v>1803</v>
      </c>
      <c r="F48" s="49" t="s">
        <v>1804</v>
      </c>
      <c r="G48" s="49" t="s">
        <v>1805</v>
      </c>
      <c r="AK48" s="2" t="s">
        <v>755</v>
      </c>
      <c r="AL48">
        <v>11.035555555555554</v>
      </c>
    </row>
    <row r="49" spans="2:38" ht="17.399999999999999" x14ac:dyDescent="0.3">
      <c r="B49" s="50" t="s">
        <v>33</v>
      </c>
      <c r="C49" s="50" t="s">
        <v>28</v>
      </c>
      <c r="D49" s="51">
        <v>71.245986555973488</v>
      </c>
      <c r="E49" s="51">
        <v>55.912783265719433</v>
      </c>
      <c r="F49" s="51">
        <v>89.272030651340998</v>
      </c>
      <c r="G49" s="51">
        <v>83.886349041114102</v>
      </c>
      <c r="AK49" s="2" t="s">
        <v>884</v>
      </c>
      <c r="AL49">
        <v>9.6316666666666677</v>
      </c>
    </row>
    <row r="50" spans="2:38" ht="17.399999999999999" x14ac:dyDescent="0.3">
      <c r="B50" s="50" t="s">
        <v>32</v>
      </c>
      <c r="C50" s="50" t="s">
        <v>23</v>
      </c>
      <c r="D50" s="51">
        <v>71.554023511551776</v>
      </c>
      <c r="E50" s="51">
        <v>58.251215912081719</v>
      </c>
      <c r="F50" s="51">
        <v>89.272030651340998</v>
      </c>
      <c r="G50" s="51">
        <v>80.441631570702668</v>
      </c>
      <c r="AK50" s="2" t="s">
        <v>185</v>
      </c>
      <c r="AL50">
        <v>9.4014285714285712</v>
      </c>
    </row>
    <row r="51" spans="2:38" ht="17.399999999999999" x14ac:dyDescent="0.3">
      <c r="B51" s="50" t="s">
        <v>31</v>
      </c>
      <c r="C51" s="50" t="s">
        <v>28</v>
      </c>
      <c r="D51" s="51">
        <v>71.591562249407815</v>
      </c>
      <c r="E51" s="51">
        <v>55.499804300467709</v>
      </c>
      <c r="F51" s="51">
        <v>91.187739463601531</v>
      </c>
      <c r="G51" s="51">
        <v>84.178900933094354</v>
      </c>
      <c r="AK51" s="2" t="s">
        <v>592</v>
      </c>
      <c r="AL51">
        <v>12.223750000000003</v>
      </c>
    </row>
    <row r="52" spans="2:38" ht="17.399999999999999" x14ac:dyDescent="0.3">
      <c r="B52" s="50" t="s">
        <v>37</v>
      </c>
      <c r="C52" s="50" t="s">
        <v>35</v>
      </c>
      <c r="D52" s="51">
        <v>70.690318396805239</v>
      </c>
      <c r="E52" s="51">
        <v>54.650974223545951</v>
      </c>
      <c r="F52" s="51">
        <v>90.421455938697321</v>
      </c>
      <c r="G52" s="51">
        <v>83.037869201431732</v>
      </c>
      <c r="AK52" s="2" t="s">
        <v>1038</v>
      </c>
      <c r="AL52">
        <v>10.33</v>
      </c>
    </row>
    <row r="53" spans="2:38" ht="17.399999999999999" x14ac:dyDescent="0.3">
      <c r="B53" s="50" t="s">
        <v>34</v>
      </c>
      <c r="C53" s="50" t="s">
        <v>35</v>
      </c>
      <c r="D53" s="51">
        <v>70.699740357508276</v>
      </c>
      <c r="E53" s="51">
        <v>54.700469558186271</v>
      </c>
      <c r="F53" s="51">
        <v>90.421455938697321</v>
      </c>
      <c r="G53" s="51">
        <v>82.976566374963227</v>
      </c>
      <c r="AK53" s="2" t="s">
        <v>166</v>
      </c>
      <c r="AL53">
        <v>20.878999999999998</v>
      </c>
    </row>
    <row r="54" spans="2:38" ht="17.399999999999999" x14ac:dyDescent="0.3">
      <c r="B54" s="50" t="s">
        <v>26</v>
      </c>
      <c r="C54" s="50" t="s">
        <v>23</v>
      </c>
      <c r="D54" s="51">
        <v>72.992899788074283</v>
      </c>
      <c r="E54" s="51">
        <v>58.417681074890695</v>
      </c>
      <c r="F54" s="51">
        <v>94.252873563218387</v>
      </c>
      <c r="G54" s="51">
        <v>80.883363439297327</v>
      </c>
      <c r="AK54" s="2" t="s">
        <v>51</v>
      </c>
      <c r="AL54">
        <v>12.127586206896556</v>
      </c>
    </row>
    <row r="55" spans="2:38" ht="17.399999999999999" x14ac:dyDescent="0.3">
      <c r="B55" s="50" t="s">
        <v>22</v>
      </c>
      <c r="C55" s="50" t="s">
        <v>23</v>
      </c>
      <c r="D55" s="51">
        <v>72.992899788074283</v>
      </c>
      <c r="E55" s="51">
        <v>58.417681074890695</v>
      </c>
      <c r="F55" s="51">
        <v>94.252873563218387</v>
      </c>
      <c r="G55" s="51">
        <v>80.883363439297327</v>
      </c>
      <c r="AK55" s="2" t="s">
        <v>727</v>
      </c>
      <c r="AL55">
        <v>8.7869230769230775</v>
      </c>
    </row>
    <row r="56" spans="2:38" ht="17.399999999999999" x14ac:dyDescent="0.3">
      <c r="B56" s="50" t="s">
        <v>38</v>
      </c>
      <c r="C56" s="50" t="s">
        <v>28</v>
      </c>
      <c r="D56" s="51">
        <v>69.941674864286028</v>
      </c>
      <c r="E56" s="51">
        <v>55.152460460092215</v>
      </c>
      <c r="F56" s="51">
        <v>85.440613026819918</v>
      </c>
      <c r="G56" s="51">
        <v>84.021165510139781</v>
      </c>
      <c r="AK56" s="2" t="s">
        <v>654</v>
      </c>
      <c r="AL56">
        <v>6.7733333333333325</v>
      </c>
    </row>
    <row r="57" spans="2:38" ht="17.399999999999999" x14ac:dyDescent="0.3">
      <c r="B57" s="50" t="s">
        <v>30</v>
      </c>
      <c r="C57" s="50" t="s">
        <v>28</v>
      </c>
      <c r="D57" s="51">
        <v>72.447850918563176</v>
      </c>
      <c r="E57" s="51">
        <v>56.427968282219993</v>
      </c>
      <c r="F57" s="51">
        <v>93.103448275862064</v>
      </c>
      <c r="G57" s="51">
        <v>83.832018833950684</v>
      </c>
      <c r="AK57" s="2" t="s">
        <v>86</v>
      </c>
      <c r="AL57">
        <v>8.652631578947366</v>
      </c>
    </row>
    <row r="58" spans="2:38" ht="17.399999999999999" x14ac:dyDescent="0.3">
      <c r="B58" s="50" t="s">
        <v>27</v>
      </c>
      <c r="C58" s="50" t="s">
        <v>28</v>
      </c>
      <c r="D58" s="51">
        <v>72.447850918563176</v>
      </c>
      <c r="E58" s="51">
        <v>56.427968282219993</v>
      </c>
      <c r="F58" s="51">
        <v>93.103448275862064</v>
      </c>
      <c r="G58" s="51">
        <v>83.832018833950684</v>
      </c>
      <c r="AK58" s="2" t="s">
        <v>77</v>
      </c>
      <c r="AL58">
        <v>9.0435999999999996</v>
      </c>
    </row>
    <row r="59" spans="2:38" x14ac:dyDescent="0.3">
      <c r="AK59" s="2" t="s">
        <v>58</v>
      </c>
      <c r="AL59">
        <v>11.126842105263156</v>
      </c>
    </row>
    <row r="60" spans="2:38" x14ac:dyDescent="0.3">
      <c r="AK60" s="2" t="s">
        <v>44</v>
      </c>
      <c r="AL60">
        <v>7.5967647058823538</v>
      </c>
    </row>
    <row r="61" spans="2:38" x14ac:dyDescent="0.3">
      <c r="AK61" s="2" t="s">
        <v>35</v>
      </c>
      <c r="AL61">
        <v>9.2084615384615383</v>
      </c>
    </row>
    <row r="62" spans="2:38" x14ac:dyDescent="0.3">
      <c r="AK62" s="2" t="s">
        <v>170</v>
      </c>
      <c r="AL62">
        <v>6.9120588235294136</v>
      </c>
    </row>
    <row r="63" spans="2:38" x14ac:dyDescent="0.3">
      <c r="AK63" s="2" t="s">
        <v>138</v>
      </c>
      <c r="AL63">
        <v>9.219019607843137</v>
      </c>
    </row>
    <row r="64" spans="2:38" x14ac:dyDescent="0.3">
      <c r="AK64" s="2" t="s">
        <v>844</v>
      </c>
      <c r="AL64">
        <v>4.4820000000000011</v>
      </c>
    </row>
    <row r="65" spans="37:38" x14ac:dyDescent="0.3">
      <c r="AK65" s="2" t="s">
        <v>424</v>
      </c>
      <c r="AL65">
        <v>7.9378947368421082</v>
      </c>
    </row>
    <row r="66" spans="37:38" x14ac:dyDescent="0.3">
      <c r="AK66" s="2" t="s">
        <v>445</v>
      </c>
      <c r="AL66">
        <v>5.7759259259259279</v>
      </c>
    </row>
    <row r="67" spans="37:38" x14ac:dyDescent="0.3">
      <c r="AK67" s="2" t="s">
        <v>585</v>
      </c>
      <c r="AL67">
        <v>6.6483333333333334</v>
      </c>
    </row>
    <row r="68" spans="37:38" x14ac:dyDescent="0.3">
      <c r="AK68" s="2" t="s">
        <v>383</v>
      </c>
      <c r="AL68">
        <v>6.1480952380952374</v>
      </c>
    </row>
    <row r="69" spans="37:38" x14ac:dyDescent="0.3">
      <c r="AK69" s="2" t="s">
        <v>123</v>
      </c>
      <c r="AL69">
        <v>10.56357142857143</v>
      </c>
    </row>
    <row r="70" spans="37:38" x14ac:dyDescent="0.3">
      <c r="AK70" s="2" t="s">
        <v>28</v>
      </c>
      <c r="AL70">
        <v>11.520799999999999</v>
      </c>
    </row>
    <row r="71" spans="37:38" x14ac:dyDescent="0.3">
      <c r="AK71" s="2" t="s">
        <v>151</v>
      </c>
      <c r="AL71">
        <v>5.0250000000000004</v>
      </c>
    </row>
    <row r="72" spans="37:38" x14ac:dyDescent="0.3">
      <c r="AK72" s="2" t="s">
        <v>115</v>
      </c>
      <c r="AL72">
        <v>9.1675000000000004</v>
      </c>
    </row>
    <row r="73" spans="37:38" x14ac:dyDescent="0.3">
      <c r="AK73" s="2" t="s">
        <v>23</v>
      </c>
      <c r="AL73">
        <v>12.6</v>
      </c>
    </row>
    <row r="74" spans="37:38" x14ac:dyDescent="0.3">
      <c r="AK74" s="2" t="s">
        <v>442</v>
      </c>
      <c r="AL74">
        <v>8.6269999999999989</v>
      </c>
    </row>
    <row r="75" spans="37:38" x14ac:dyDescent="0.3">
      <c r="AK75" s="2" t="s">
        <v>494</v>
      </c>
      <c r="AL75">
        <v>7.11</v>
      </c>
    </row>
  </sheetData>
  <mergeCells count="12">
    <mergeCell ref="B4:C4"/>
    <mergeCell ref="A1:J1"/>
    <mergeCell ref="H3:I3"/>
    <mergeCell ref="F3:G3"/>
    <mergeCell ref="D3:E3"/>
    <mergeCell ref="B3:C3"/>
    <mergeCell ref="D4:E4"/>
    <mergeCell ref="AK18:AL18"/>
    <mergeCell ref="AU18:AV18"/>
    <mergeCell ref="AA18:AB18"/>
    <mergeCell ref="H4:I4"/>
    <mergeCell ref="F4:G4"/>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0D80-3CB2-4C8C-B3BA-331BBE692059}">
  <dimension ref="A1:H21"/>
  <sheetViews>
    <sheetView zoomScale="115" zoomScaleNormal="115" workbookViewId="0">
      <selection activeCell="C3" sqref="C3"/>
    </sheetView>
  </sheetViews>
  <sheetFormatPr defaultRowHeight="14.4" x14ac:dyDescent="0.3"/>
  <cols>
    <col min="2" max="2" width="20.6640625" bestFit="1" customWidth="1"/>
    <col min="3" max="3" width="37.88671875" bestFit="1" customWidth="1"/>
    <col min="4" max="4" width="39.88671875" bestFit="1" customWidth="1"/>
    <col min="5" max="5" width="38.109375" bestFit="1" customWidth="1"/>
    <col min="6" max="6" width="12" bestFit="1" customWidth="1"/>
  </cols>
  <sheetData>
    <row r="1" spans="1:8" ht="22.8" x14ac:dyDescent="0.3">
      <c r="A1" s="11"/>
      <c r="B1" s="72" t="s">
        <v>1822</v>
      </c>
      <c r="C1" s="72"/>
      <c r="D1" s="72"/>
      <c r="E1" s="72"/>
      <c r="F1" s="72"/>
    </row>
    <row r="2" spans="1:8" ht="15" thickBot="1" x14ac:dyDescent="0.35">
      <c r="A2" s="11"/>
      <c r="B2" s="11"/>
      <c r="C2" s="11"/>
      <c r="D2" s="11"/>
      <c r="E2" s="11"/>
      <c r="F2" s="11"/>
    </row>
    <row r="3" spans="1:8" ht="15" thickBot="1" x14ac:dyDescent="0.35">
      <c r="A3" s="11"/>
      <c r="B3" s="29" t="s">
        <v>1827</v>
      </c>
      <c r="C3" s="30" t="s">
        <v>39</v>
      </c>
      <c r="D3" s="11"/>
      <c r="E3" s="11"/>
      <c r="F3" s="11"/>
    </row>
    <row r="4" spans="1:8" x14ac:dyDescent="0.3">
      <c r="A4" s="11"/>
      <c r="B4" s="11"/>
      <c r="C4" s="11"/>
      <c r="D4" s="11"/>
      <c r="E4" s="11"/>
      <c r="F4" s="11"/>
    </row>
    <row r="5" spans="1:8" x14ac:dyDescent="0.3">
      <c r="A5" s="11"/>
      <c r="D5" s="11"/>
    </row>
    <row r="6" spans="1:8" x14ac:dyDescent="0.3">
      <c r="A6" s="11"/>
      <c r="B6" s="20" t="s">
        <v>1823</v>
      </c>
      <c r="C6" s="18"/>
      <c r="D6" s="11"/>
      <c r="E6" s="23" t="s">
        <v>1824</v>
      </c>
      <c r="F6" s="25"/>
    </row>
    <row r="7" spans="1:8" x14ac:dyDescent="0.3">
      <c r="A7" s="11"/>
      <c r="B7" s="13" t="s">
        <v>0</v>
      </c>
      <c r="C7" s="14" t="str">
        <f>_xlfn.XLOOKUP($C$3,FundData[Scheme],FundData[Scheme],"Not found")</f>
        <v>SBI Nifty Index Fund-Reg(G)</v>
      </c>
      <c r="D7" s="11"/>
      <c r="E7" s="13" t="s">
        <v>1816</v>
      </c>
      <c r="F7" s="21">
        <f>_xlfn.XLOOKUP($C$3,FundData[Scheme],FundData[CAGR% 6 Months],"Not available")</f>
        <v>4.55</v>
      </c>
    </row>
    <row r="8" spans="1:8" x14ac:dyDescent="0.3">
      <c r="A8" s="11"/>
      <c r="B8" s="13" t="s">
        <v>1</v>
      </c>
      <c r="C8" s="14" t="str">
        <f>_xlfn.XLOOKUP($C$3,FundData[Scheme],FundData[Category],"Not found")</f>
        <v>Index Funds - Nifty</v>
      </c>
      <c r="D8" s="11"/>
      <c r="E8" s="13" t="s">
        <v>1817</v>
      </c>
      <c r="F8" s="21">
        <f>_xlfn.XLOOKUP($C$3,FundData[Scheme],FundData[CAGR% 1 Year],"Not available")</f>
        <v>14.52</v>
      </c>
      <c r="G8" s="24"/>
    </row>
    <row r="9" spans="1:8" x14ac:dyDescent="0.3">
      <c r="A9" s="11"/>
      <c r="B9" s="13" t="s">
        <v>18</v>
      </c>
      <c r="C9" s="14" t="str">
        <f>_xlfn.XLOOKUP($C$3,FundData[Scheme],FundData[Type],"Not found")</f>
        <v>Open ended</v>
      </c>
      <c r="D9" s="11"/>
      <c r="E9" s="13" t="s">
        <v>1818</v>
      </c>
      <c r="F9" s="21">
        <f>_xlfn.XLOOKUP($C$3,FundData[Scheme],FundData[CAGR% 3 Year],"Not available")</f>
        <v>11.74</v>
      </c>
      <c r="G9" s="24"/>
    </row>
    <row r="10" spans="1:8" x14ac:dyDescent="0.3">
      <c r="A10" s="11"/>
      <c r="B10" s="13" t="s">
        <v>19</v>
      </c>
      <c r="C10" s="14" t="str">
        <f>_xlfn.XLOOKUP($C$3,FundData[Scheme],FundData[Benchmark],"Not available")</f>
        <v>NIFTY 50 - TRI</v>
      </c>
      <c r="D10" s="11"/>
      <c r="E10" s="13"/>
      <c r="F10" s="22"/>
    </row>
    <row r="11" spans="1:8" x14ac:dyDescent="0.3">
      <c r="A11" s="11"/>
      <c r="B11" s="15" t="s">
        <v>1812</v>
      </c>
      <c r="C11" s="16">
        <f>INDEX(FundData[],MATCH($C$3,FundData[Scheme],0),5)</f>
        <v>11.74</v>
      </c>
      <c r="D11" s="11"/>
      <c r="E11" s="13" t="s">
        <v>1803</v>
      </c>
      <c r="F11" s="16">
        <f>_xlfn.XLOOKUP($C$3,FundData[Scheme],FundData[Performance_Score],"Not available")</f>
        <v>55.078716414508619</v>
      </c>
      <c r="H11" s="11"/>
    </row>
    <row r="12" spans="1:8" x14ac:dyDescent="0.3">
      <c r="A12" s="11"/>
      <c r="B12" s="13" t="s">
        <v>1813</v>
      </c>
      <c r="C12" s="17">
        <f>_xlfn.XLOOKUP($C$3,FundData[Scheme],FundData[Min. Invest(Rs.)],"Not available")</f>
        <v>5000</v>
      </c>
      <c r="D12" s="11"/>
      <c r="E12" s="13" t="s">
        <v>1804</v>
      </c>
      <c r="F12" s="16">
        <f>_xlfn.XLOOKUP($C$3,FundData[Scheme],FundData[Cost_Score],"Not available")</f>
        <v>85.440613026819918</v>
      </c>
    </row>
    <row r="13" spans="1:8" x14ac:dyDescent="0.3">
      <c r="A13" s="11"/>
      <c r="B13" s="13" t="s">
        <v>1814</v>
      </c>
      <c r="C13" s="17">
        <f>_xlfn.XLOOKUP($C$3,FundData[Scheme],FundData[SIP Min. Inv.(Rs.)],"Not available")</f>
        <v>1000</v>
      </c>
      <c r="D13" s="11"/>
      <c r="E13" s="13" t="s">
        <v>1805</v>
      </c>
      <c r="F13" s="16">
        <f>_xlfn.XLOOKUP($C$3,FundData[Scheme],FundData[Consistency_Score],"Not available")</f>
        <v>83.988839168548949</v>
      </c>
    </row>
    <row r="14" spans="1:8" ht="17.399999999999999" x14ac:dyDescent="0.3">
      <c r="A14" s="11"/>
      <c r="B14" s="18" t="s">
        <v>1815</v>
      </c>
      <c r="C14" s="19">
        <f>_xlfn.XLOOKUP($C$3,FundData[Scheme],FundData[Exp. Ratio(%)],"Not available")</f>
        <v>0.5</v>
      </c>
      <c r="D14" s="11"/>
      <c r="E14" s="18" t="s">
        <v>1802</v>
      </c>
      <c r="F14" s="12">
        <f>_xlfn.XLOOKUP($C$3,FundData[Scheme],FundData[Overall_Score],"Not available")</f>
        <v>69.896721256096527</v>
      </c>
    </row>
    <row r="15" spans="1:8" x14ac:dyDescent="0.3">
      <c r="A15" s="11"/>
    </row>
    <row r="16" spans="1:8" x14ac:dyDescent="0.3">
      <c r="A16" s="11"/>
      <c r="D16" s="20" t="s">
        <v>1826</v>
      </c>
      <c r="E16" s="11"/>
    </row>
    <row r="17" spans="1:6" x14ac:dyDescent="0.3">
      <c r="A17" s="11"/>
      <c r="D17" s="26" t="s">
        <v>1819</v>
      </c>
      <c r="E17" s="27">
        <f>_xlfn.XLOOKUP($C$3,FundData[Scheme],FundData[Overall_Rank],"Not available")</f>
        <v>11</v>
      </c>
    </row>
    <row r="18" spans="1:6" x14ac:dyDescent="0.3">
      <c r="A18" s="11"/>
      <c r="D18" s="13" t="s">
        <v>1820</v>
      </c>
      <c r="E18" s="28">
        <f>_xlfn.XLOOKUP($C$3,FundData[Scheme],FundData[Category_Rank],"Not available")</f>
        <v>6</v>
      </c>
      <c r="F18" s="11"/>
    </row>
    <row r="19" spans="1:6" x14ac:dyDescent="0.3">
      <c r="A19" s="11"/>
      <c r="B19" s="11"/>
      <c r="C19" s="11"/>
      <c r="D19" s="18" t="s">
        <v>1821</v>
      </c>
      <c r="E19" s="19">
        <f>_xlfn.XLOOKUP($C$3,FundData[Scheme],FundData[3Y_vs_Category],"Not available")</f>
        <v>0.21920000000000073</v>
      </c>
      <c r="F19" s="11"/>
    </row>
    <row r="20" spans="1:6" x14ac:dyDescent="0.3">
      <c r="A20" s="11"/>
      <c r="C20" s="11"/>
      <c r="D20" s="11"/>
      <c r="E20" s="11"/>
      <c r="F20" s="11"/>
    </row>
    <row r="21" spans="1:6" x14ac:dyDescent="0.3">
      <c r="B21" s="73" t="s">
        <v>1825</v>
      </c>
      <c r="C21" s="73"/>
      <c r="D21" s="73"/>
      <c r="E21" s="32"/>
    </row>
  </sheetData>
  <mergeCells count="2">
    <mergeCell ref="B1:F1"/>
    <mergeCell ref="B21:D21"/>
  </mergeCells>
  <dataValidations count="1">
    <dataValidation type="list" allowBlank="1" showInputMessage="1" showErrorMessage="1" sqref="C3" xr:uid="{778CA42E-659A-497D-8BD5-F68F3B416562}">
      <formula1>FundNames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CDA7-19D7-4448-B759-F787312C0485}">
  <dimension ref="A1:G22"/>
  <sheetViews>
    <sheetView zoomScale="115" zoomScaleNormal="115" workbookViewId="0">
      <selection activeCell="C3" sqref="C3"/>
    </sheetView>
  </sheetViews>
  <sheetFormatPr defaultRowHeight="14.4" x14ac:dyDescent="0.3"/>
  <cols>
    <col min="2" max="2" width="20.6640625" bestFit="1" customWidth="1"/>
    <col min="3" max="3" width="33.88671875" bestFit="1" customWidth="1"/>
    <col min="4" max="4" width="18" customWidth="1"/>
    <col min="5" max="5" width="18.21875" customWidth="1"/>
    <col min="6" max="6" width="31.21875" bestFit="1" customWidth="1"/>
  </cols>
  <sheetData>
    <row r="1" spans="1:7" ht="20.399999999999999" x14ac:dyDescent="0.35">
      <c r="A1" s="74" t="s">
        <v>1831</v>
      </c>
      <c r="B1" s="74"/>
      <c r="C1" s="74"/>
      <c r="D1" s="74"/>
      <c r="E1" s="74"/>
      <c r="F1" s="74"/>
      <c r="G1" s="74"/>
    </row>
    <row r="2" spans="1:7" x14ac:dyDescent="0.3">
      <c r="A2" s="11"/>
      <c r="B2" s="11"/>
      <c r="C2" s="11"/>
      <c r="D2" s="11"/>
      <c r="E2" s="11"/>
      <c r="F2" s="11"/>
      <c r="G2" s="11"/>
    </row>
    <row r="3" spans="1:7" x14ac:dyDescent="0.3">
      <c r="A3" s="11"/>
      <c r="B3" s="33" t="s">
        <v>1828</v>
      </c>
      <c r="C3" s="34" t="s">
        <v>39</v>
      </c>
      <c r="D3" s="11"/>
      <c r="E3" s="33" t="s">
        <v>1829</v>
      </c>
      <c r="F3" s="35" t="s">
        <v>38</v>
      </c>
      <c r="G3" s="11"/>
    </row>
    <row r="4" spans="1:7" x14ac:dyDescent="0.3">
      <c r="A4" s="11"/>
      <c r="B4" s="11"/>
      <c r="C4" s="11"/>
      <c r="D4" s="11"/>
      <c r="E4" s="11"/>
      <c r="F4" s="11"/>
      <c r="G4" s="11"/>
    </row>
    <row r="5" spans="1:7" x14ac:dyDescent="0.3">
      <c r="A5" s="11"/>
      <c r="B5" s="36" t="s">
        <v>1830</v>
      </c>
      <c r="C5" s="37" t="s">
        <v>1828</v>
      </c>
      <c r="D5" s="37" t="s">
        <v>1829</v>
      </c>
      <c r="F5" s="11"/>
      <c r="G5" s="11"/>
    </row>
    <row r="6" spans="1:7" x14ac:dyDescent="0.3">
      <c r="A6" s="11"/>
      <c r="B6" s="38" t="s">
        <v>1</v>
      </c>
      <c r="C6" s="39" t="str">
        <f>_xlfn.XLOOKUP($C$3,FundData[Scheme],FundData[Category],"Not available")</f>
        <v>Index Funds - Nifty</v>
      </c>
      <c r="D6" s="39" t="str">
        <f>_xlfn.XLOOKUP($F$3,FundData[Scheme],FundData[Category],"Not available")</f>
        <v>Index Funds - Nifty</v>
      </c>
      <c r="F6" s="11"/>
      <c r="G6" s="11"/>
    </row>
    <row r="7" spans="1:7" x14ac:dyDescent="0.3">
      <c r="A7" s="11"/>
      <c r="B7" s="40" t="s">
        <v>1816</v>
      </c>
      <c r="C7" s="41">
        <f>_xlfn.XLOOKUP($C$3,FundData[Scheme],FundData[CAGR% 6 Months],"Not available")</f>
        <v>4.55</v>
      </c>
      <c r="D7" s="41">
        <f>_xlfn.XLOOKUP($F$3,FundData[Scheme],FundData[CAGR% 6 Months],"Not available")</f>
        <v>4.55</v>
      </c>
      <c r="F7" s="11"/>
      <c r="G7" s="11"/>
    </row>
    <row r="8" spans="1:7" x14ac:dyDescent="0.3">
      <c r="A8" s="11"/>
      <c r="B8" s="40" t="s">
        <v>1817</v>
      </c>
      <c r="C8" s="41">
        <f>_xlfn.XLOOKUP($C$3,FundData[Scheme],FundData[CAGR% 1 Year],"Not available")</f>
        <v>14.52</v>
      </c>
      <c r="D8" s="41">
        <f>_xlfn.XLOOKUP($F$3,FundData[Scheme],FundData[CAGR% 1 Year],"Not available")</f>
        <v>14.56</v>
      </c>
      <c r="F8" s="11"/>
      <c r="G8" s="11"/>
    </row>
    <row r="9" spans="1:7" x14ac:dyDescent="0.3">
      <c r="A9" s="11"/>
      <c r="B9" s="40" t="s">
        <v>1818</v>
      </c>
      <c r="C9" s="41">
        <f>_xlfn.XLOOKUP($C$3,FundData[Scheme],FundData[CAGR% 3 Year],"Not available")</f>
        <v>11.74</v>
      </c>
      <c r="D9" s="41">
        <f>_xlfn.XLOOKUP($F$3,FundData[Scheme],FundData[CAGR% 3 Year],"Not available")</f>
        <v>11.77</v>
      </c>
      <c r="F9" s="11"/>
      <c r="G9" s="11"/>
    </row>
    <row r="10" spans="1:7" x14ac:dyDescent="0.3">
      <c r="A10" s="11"/>
      <c r="B10" s="40" t="s">
        <v>1815</v>
      </c>
      <c r="C10" s="41">
        <f>_xlfn.XLOOKUP($C$3,FundData[Scheme],FundData[Exp. Ratio(%)],"Not available")</f>
        <v>0.5</v>
      </c>
      <c r="D10" s="41">
        <f>_xlfn.XLOOKUP($F$3,FundData[Scheme],FundData[Exp. Ratio(%)],"Not available")</f>
        <v>0.5</v>
      </c>
      <c r="F10" s="11"/>
      <c r="G10" s="11"/>
    </row>
    <row r="11" spans="1:7" x14ac:dyDescent="0.3">
      <c r="A11" s="11"/>
      <c r="B11" s="40" t="s">
        <v>1813</v>
      </c>
      <c r="C11" s="42">
        <f>_xlfn.XLOOKUP($C$3,FundData[Scheme],FundData[Min. Invest(Rs.)],"Not available")</f>
        <v>5000</v>
      </c>
      <c r="D11" s="42">
        <f>_xlfn.XLOOKUP($F$3,FundData[Scheme],FundData[Min. Invest(Rs.)],"Not available")</f>
        <v>5000</v>
      </c>
      <c r="F11" s="11"/>
      <c r="G11" s="11"/>
    </row>
    <row r="12" spans="1:7" x14ac:dyDescent="0.3">
      <c r="A12" s="11"/>
      <c r="B12" s="40" t="s">
        <v>1814</v>
      </c>
      <c r="C12" s="42">
        <f>_xlfn.XLOOKUP($C$3,FundData[Scheme],FundData[SIP Min. Inv.(Rs.)],"Not available")</f>
        <v>1000</v>
      </c>
      <c r="D12" s="42">
        <f>_xlfn.XLOOKUP($F$3,FundData[Scheme],FundData[SIP Min. Inv.(Rs.)],"Not available")</f>
        <v>1000</v>
      </c>
      <c r="F12" s="11"/>
      <c r="G12" s="11"/>
    </row>
    <row r="13" spans="1:7" x14ac:dyDescent="0.3">
      <c r="A13" s="11"/>
      <c r="B13" s="40" t="s">
        <v>1803</v>
      </c>
      <c r="C13" s="43">
        <f>_xlfn.XLOOKUP($C$3,FundData[Scheme],FundData[Performance_Score],"Not available")</f>
        <v>55.078716414508619</v>
      </c>
      <c r="D13" s="43">
        <f>_xlfn.XLOOKUP($F$3,FundData[Scheme],FundData[Performance_Score],"Not available")</f>
        <v>55.152460460092215</v>
      </c>
      <c r="F13" s="11"/>
      <c r="G13" s="11"/>
    </row>
    <row r="14" spans="1:7" x14ac:dyDescent="0.3">
      <c r="A14" s="11"/>
      <c r="B14" s="40" t="s">
        <v>1804</v>
      </c>
      <c r="C14" s="43">
        <f>_xlfn.XLOOKUP($C$3,FundData[Scheme],FundData[Cost_Score],"Not available")</f>
        <v>85.440613026819918</v>
      </c>
      <c r="D14" s="43">
        <f>_xlfn.XLOOKUP($F$3,FundData[Scheme],FundData[Cost_Score],"Not available")</f>
        <v>85.440613026819918</v>
      </c>
      <c r="F14" s="11"/>
      <c r="G14" s="11"/>
    </row>
    <row r="15" spans="1:7" x14ac:dyDescent="0.3">
      <c r="A15" s="11"/>
      <c r="B15" s="40" t="s">
        <v>1805</v>
      </c>
      <c r="C15" s="43">
        <f>_xlfn.XLOOKUP($C$3,FundData[Scheme],FundData[Consistency_Score],"Not available")</f>
        <v>83.988839168548949</v>
      </c>
      <c r="D15" s="43">
        <f>_xlfn.XLOOKUP($F$3,FundData[Scheme],FundData[Consistency_Score],"Not available")</f>
        <v>84.021165510139781</v>
      </c>
      <c r="F15" s="11"/>
      <c r="G15" s="11"/>
    </row>
    <row r="16" spans="1:7" x14ac:dyDescent="0.3">
      <c r="A16" s="11"/>
      <c r="B16" s="44" t="s">
        <v>1802</v>
      </c>
      <c r="C16" s="45">
        <f>_xlfn.XLOOKUP($C$3,FundData[Scheme],FundData[Overall_Score],"Not available")</f>
        <v>69.896721256096527</v>
      </c>
      <c r="D16" s="45">
        <f>_xlfn.XLOOKUP($F$3,FundData[Scheme],FundData[Overall_Score],"Not available")</f>
        <v>69.941674864286028</v>
      </c>
      <c r="F16" s="11"/>
      <c r="G16" s="11"/>
    </row>
    <row r="17" spans="1:7" x14ac:dyDescent="0.3">
      <c r="A17" s="11"/>
      <c r="B17" s="40" t="s">
        <v>1819</v>
      </c>
      <c r="C17" s="46">
        <f>_xlfn.XLOOKUP($C$3,FundData[Scheme],FundData[Overall_Rank],"Not available")</f>
        <v>11</v>
      </c>
      <c r="D17" s="46">
        <f>_xlfn.XLOOKUP($F$3,FundData[Scheme],FundData[Overall_Rank],"Not available")</f>
        <v>10</v>
      </c>
      <c r="F17" s="11"/>
      <c r="G17" s="11"/>
    </row>
    <row r="18" spans="1:7" x14ac:dyDescent="0.3">
      <c r="A18" s="11"/>
      <c r="B18" s="40" t="s">
        <v>1820</v>
      </c>
      <c r="C18" s="46">
        <f>_xlfn.XLOOKUP($C$3,FundData[Scheme],FundData[Category_Rank],"Not available")</f>
        <v>6</v>
      </c>
      <c r="D18" s="46">
        <f>_xlfn.XLOOKUP($F$3,FundData[Scheme],FundData[Category_Rank],"Not available")</f>
        <v>5</v>
      </c>
      <c r="F18" s="11"/>
      <c r="G18" s="11"/>
    </row>
    <row r="19" spans="1:7" x14ac:dyDescent="0.3">
      <c r="A19" s="11"/>
      <c r="B19" s="47" t="s">
        <v>1821</v>
      </c>
      <c r="C19" s="48">
        <f>_xlfn.XLOOKUP($C$3,FundData[Scheme],FundData[3Y_vs_Category],"Not available")</f>
        <v>0.21920000000000073</v>
      </c>
      <c r="D19" s="48">
        <f>_xlfn.XLOOKUP($F$3,FundData[Scheme],FundData[3Y_vs_Category],"Not available")</f>
        <v>0.24920000000000009</v>
      </c>
      <c r="F19" s="11"/>
      <c r="G19" s="11"/>
    </row>
    <row r="22" spans="1:7" x14ac:dyDescent="0.3">
      <c r="B22" s="75" t="s">
        <v>1832</v>
      </c>
      <c r="C22" s="75"/>
      <c r="D22" s="75"/>
      <c r="E22" s="75"/>
      <c r="F22" s="75"/>
    </row>
  </sheetData>
  <mergeCells count="2">
    <mergeCell ref="A1:G1"/>
    <mergeCell ref="B22:F22"/>
  </mergeCells>
  <conditionalFormatting sqref="B6:D19">
    <cfRule type="expression" dxfId="5" priority="8">
      <formula>MOD(ROW(),2)=0</formula>
    </cfRule>
  </conditionalFormatting>
  <conditionalFormatting sqref="C7:D9">
    <cfRule type="expression" dxfId="4" priority="3">
      <formula>C7=MAX($C7:$D7)</formula>
    </cfRule>
  </conditionalFormatting>
  <conditionalFormatting sqref="C10:D10">
    <cfRule type="expression" dxfId="3" priority="2">
      <formula>C10=MIN($C10:$D10)</formula>
    </cfRule>
    <cfRule type="expression" dxfId="2" priority="39">
      <formula>C10=MIN($C10:$D10)</formula>
    </cfRule>
  </conditionalFormatting>
  <conditionalFormatting sqref="C16:D16">
    <cfRule type="expression" dxfId="1" priority="1">
      <formula>C16=MAX($C16:$D16)</formula>
    </cfRule>
    <cfRule type="expression" dxfId="0" priority="41">
      <formula>C16=MAX($C16:$D16)</formula>
    </cfRule>
    <cfRule type="expression" priority="42">
      <formula>"C16 &gt; D16"</formula>
    </cfRule>
    <cfRule type="cellIs" priority="43" operator="greaterThan">
      <formula>"C16 &gt; D16"</formula>
    </cfRule>
  </conditionalFormatting>
  <dataValidations count="1">
    <dataValidation type="list" allowBlank="1" showInputMessage="1" showErrorMessage="1" sqref="C3 F3" xr:uid="{0F7A0961-9C44-4DED-A3EB-30A5D0F484FC}">
      <formula1>FundNames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A34D-1FDA-4F34-A699-0845EC2D3B6C}">
  <dimension ref="A1:AB1609"/>
  <sheetViews>
    <sheetView topLeftCell="O1" workbookViewId="0">
      <selection activeCell="Z21" sqref="Z21"/>
    </sheetView>
  </sheetViews>
  <sheetFormatPr defaultRowHeight="14.4" x14ac:dyDescent="0.3"/>
  <cols>
    <col min="1" max="1" width="53" bestFit="1" customWidth="1"/>
    <col min="2" max="2" width="41.44140625" bestFit="1" customWidth="1"/>
    <col min="3" max="3" width="17.33203125" bestFit="1" customWidth="1"/>
    <col min="4" max="5" width="14.88671875" bestFit="1" customWidth="1"/>
    <col min="6" max="6" width="14.33203125" bestFit="1" customWidth="1"/>
    <col min="7" max="9" width="12" bestFit="1" customWidth="1"/>
    <col min="10" max="10" width="19.6640625" bestFit="1" customWidth="1"/>
    <col min="11" max="11" width="12.5546875" bestFit="1" customWidth="1"/>
    <col min="12" max="12" width="12.33203125" bestFit="1" customWidth="1"/>
    <col min="13" max="13" width="19" bestFit="1" customWidth="1"/>
    <col min="14" max="14" width="14.77734375" bestFit="1" customWidth="1"/>
    <col min="15" max="15" width="17.109375" bestFit="1" customWidth="1"/>
    <col min="16" max="16" width="16" bestFit="1" customWidth="1"/>
    <col min="17" max="17" width="14.109375" bestFit="1" customWidth="1"/>
    <col min="18" max="18" width="15.5546875" bestFit="1" customWidth="1"/>
    <col min="19" max="19" width="10.6640625" bestFit="1" customWidth="1"/>
    <col min="20" max="20" width="49.21875" bestFit="1" customWidth="1"/>
    <col min="21" max="21" width="16.109375" bestFit="1" customWidth="1"/>
    <col min="22" max="22" width="17.21875" bestFit="1" customWidth="1"/>
    <col min="23" max="23" width="9" customWidth="1"/>
    <col min="27" max="27" width="12.5546875" bestFit="1" customWidth="1"/>
    <col min="28" max="28" width="11.8867187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8" x14ac:dyDescent="0.3">
      <c r="A2" t="s">
        <v>22</v>
      </c>
      <c r="B2" t="s">
        <v>23</v>
      </c>
      <c r="C2">
        <v>6.36</v>
      </c>
      <c r="D2">
        <v>15.09</v>
      </c>
      <c r="E2">
        <v>13.02</v>
      </c>
      <c r="F2">
        <v>0.27</v>
      </c>
      <c r="G2">
        <v>65.950590762620848</v>
      </c>
      <c r="H2">
        <v>45.573095401509953</v>
      </c>
      <c r="I2">
        <v>63.111268603827078</v>
      </c>
      <c r="J2">
        <v>58.417681074890695</v>
      </c>
      <c r="K2">
        <v>94.252873563218387</v>
      </c>
      <c r="L2">
        <v>11.036995264321927</v>
      </c>
      <c r="M2">
        <v>80.883363439297327</v>
      </c>
      <c r="N2">
        <v>72.992899788074283</v>
      </c>
      <c r="O2">
        <v>12.6</v>
      </c>
      <c r="P2">
        <v>0.41999999999999993</v>
      </c>
      <c r="Q2">
        <v>1</v>
      </c>
      <c r="R2">
        <v>1</v>
      </c>
      <c r="S2" t="s">
        <v>24</v>
      </c>
      <c r="T2" t="s">
        <v>25</v>
      </c>
      <c r="U2">
        <v>1000</v>
      </c>
      <c r="V2">
        <v>1000</v>
      </c>
      <c r="X2" s="52" t="s">
        <v>1833</v>
      </c>
      <c r="Y2" s="52"/>
      <c r="Z2" s="52"/>
      <c r="AA2" s="52"/>
      <c r="AB2" s="52"/>
    </row>
    <row r="3" spans="1:28" x14ac:dyDescent="0.3">
      <c r="A3" t="s">
        <v>26</v>
      </c>
      <c r="B3" t="s">
        <v>23</v>
      </c>
      <c r="C3">
        <v>6.36</v>
      </c>
      <c r="D3">
        <v>15.09</v>
      </c>
      <c r="E3">
        <v>13.02</v>
      </c>
      <c r="F3">
        <v>0.27</v>
      </c>
      <c r="G3">
        <v>65.950590762620848</v>
      </c>
      <c r="H3">
        <v>45.573095401509953</v>
      </c>
      <c r="I3">
        <v>63.111268603827078</v>
      </c>
      <c r="J3">
        <v>58.417681074890695</v>
      </c>
      <c r="K3">
        <v>94.252873563218387</v>
      </c>
      <c r="L3">
        <v>11.036995264321927</v>
      </c>
      <c r="M3">
        <v>80.883363439297327</v>
      </c>
      <c r="N3">
        <v>72.992899788074283</v>
      </c>
      <c r="O3">
        <v>12.6</v>
      </c>
      <c r="P3">
        <v>0.41999999999999993</v>
      </c>
      <c r="Q3">
        <v>1</v>
      </c>
      <c r="R3">
        <v>1</v>
      </c>
      <c r="S3" t="s">
        <v>24</v>
      </c>
      <c r="T3" t="s">
        <v>25</v>
      </c>
      <c r="U3">
        <v>1000</v>
      </c>
      <c r="V3">
        <v>1000</v>
      </c>
    </row>
    <row r="4" spans="1:28" x14ac:dyDescent="0.3">
      <c r="A4" t="s">
        <v>27</v>
      </c>
      <c r="B4" t="s">
        <v>28</v>
      </c>
      <c r="C4">
        <v>4.7699999999999996</v>
      </c>
      <c r="D4">
        <v>15.03</v>
      </c>
      <c r="E4">
        <v>12.3</v>
      </c>
      <c r="F4">
        <v>0.3</v>
      </c>
      <c r="G4">
        <v>62.534908700322234</v>
      </c>
      <c r="H4">
        <v>45.47014413177763</v>
      </c>
      <c r="I4">
        <v>60.559886605244508</v>
      </c>
      <c r="J4">
        <v>56.427968282219993</v>
      </c>
      <c r="K4">
        <v>93.103448275862064</v>
      </c>
      <c r="L4">
        <v>9.3345882784713723</v>
      </c>
      <c r="M4">
        <v>83.832018833950684</v>
      </c>
      <c r="N4">
        <v>72.447850918563176</v>
      </c>
      <c r="O4">
        <v>11.520799999999999</v>
      </c>
      <c r="P4">
        <v>0.77920000000000122</v>
      </c>
      <c r="Q4">
        <v>3</v>
      </c>
      <c r="R4">
        <v>1</v>
      </c>
      <c r="S4" t="s">
        <v>24</v>
      </c>
      <c r="T4" t="s">
        <v>29</v>
      </c>
      <c r="U4">
        <v>5000</v>
      </c>
      <c r="V4">
        <v>1000</v>
      </c>
      <c r="X4" t="s">
        <v>0</v>
      </c>
      <c r="Y4" t="s">
        <v>1</v>
      </c>
      <c r="Z4" t="s">
        <v>1806</v>
      </c>
      <c r="AA4" t="s">
        <v>1807</v>
      </c>
      <c r="AB4" t="s">
        <v>13</v>
      </c>
    </row>
    <row r="5" spans="1:28" x14ac:dyDescent="0.3">
      <c r="A5" t="s">
        <v>30</v>
      </c>
      <c r="B5" t="s">
        <v>28</v>
      </c>
      <c r="C5">
        <v>4.7699999999999996</v>
      </c>
      <c r="D5">
        <v>15.03</v>
      </c>
      <c r="E5">
        <v>12.3</v>
      </c>
      <c r="F5">
        <v>0.3</v>
      </c>
      <c r="G5">
        <v>62.534908700322234</v>
      </c>
      <c r="H5">
        <v>45.47014413177763</v>
      </c>
      <c r="I5">
        <v>60.559886605244508</v>
      </c>
      <c r="J5">
        <v>56.427968282219993</v>
      </c>
      <c r="K5">
        <v>93.103448275862064</v>
      </c>
      <c r="L5">
        <v>9.3345882784713723</v>
      </c>
      <c r="M5">
        <v>83.832018833950684</v>
      </c>
      <c r="N5">
        <v>72.447850918563176</v>
      </c>
      <c r="O5">
        <v>11.520799999999999</v>
      </c>
      <c r="P5">
        <v>0.77920000000000122</v>
      </c>
      <c r="Q5">
        <v>3</v>
      </c>
      <c r="R5">
        <v>1</v>
      </c>
      <c r="S5" t="s">
        <v>24</v>
      </c>
      <c r="T5" t="s">
        <v>29</v>
      </c>
      <c r="U5">
        <v>5000</v>
      </c>
      <c r="V5">
        <v>1000</v>
      </c>
      <c r="X5" t="str" cm="1">
        <f t="array" ref="X5:AB19">_xlfn.TAKE(_xlfn.SORTBY(CHOOSE({1,2,3,4,5},FundData[Scheme],FundData[Category],FundData[CAGR% 3 Year],FundData[Exp. Ratio(%)],FundData[Overall_Score]),FundData[Overall_Score],-1),15)</f>
        <v>ICICI Pru S&amp;P BSE Sensex Index Fund(IDCW)</v>
      </c>
      <c r="Y5" t="str">
        <v>Index Funds - Sensex</v>
      </c>
      <c r="Z5">
        <v>13.02</v>
      </c>
      <c r="AA5">
        <v>0.27</v>
      </c>
      <c r="AB5">
        <v>72.992899788074283</v>
      </c>
    </row>
    <row r="6" spans="1:28" x14ac:dyDescent="0.3">
      <c r="A6" t="s">
        <v>31</v>
      </c>
      <c r="B6" t="s">
        <v>28</v>
      </c>
      <c r="C6">
        <v>4.5999999999999996</v>
      </c>
      <c r="D6">
        <v>14.78</v>
      </c>
      <c r="E6">
        <v>11.89</v>
      </c>
      <c r="F6">
        <v>0.35</v>
      </c>
      <c r="G6">
        <v>62.169709989258862</v>
      </c>
      <c r="H6">
        <v>45.041180507892939</v>
      </c>
      <c r="I6">
        <v>59.107016300496106</v>
      </c>
      <c r="J6">
        <v>55.499804300467709</v>
      </c>
      <c r="K6">
        <v>91.187739463601531</v>
      </c>
      <c r="L6">
        <v>9.1343158051537099</v>
      </c>
      <c r="M6">
        <v>84.178900933094354</v>
      </c>
      <c r="N6">
        <v>71.591562249407815</v>
      </c>
      <c r="O6">
        <v>11.520799999999999</v>
      </c>
      <c r="P6">
        <v>0.36920000000000108</v>
      </c>
      <c r="Q6">
        <v>5</v>
      </c>
      <c r="R6">
        <v>3</v>
      </c>
      <c r="S6" t="s">
        <v>24</v>
      </c>
      <c r="T6" t="s">
        <v>29</v>
      </c>
      <c r="U6">
        <v>1000</v>
      </c>
      <c r="V6">
        <v>1000</v>
      </c>
      <c r="X6" t="str">
        <v>ICICI Pru S&amp;P BSE Sensex Index Fund(G)</v>
      </c>
      <c r="Y6" t="str">
        <v>Index Funds - Sensex</v>
      </c>
      <c r="Z6">
        <v>13.02</v>
      </c>
      <c r="AA6">
        <v>0.27</v>
      </c>
      <c r="AB6">
        <v>72.992899788074283</v>
      </c>
    </row>
    <row r="7" spans="1:28" x14ac:dyDescent="0.3">
      <c r="A7" t="s">
        <v>32</v>
      </c>
      <c r="B7" t="s">
        <v>23</v>
      </c>
      <c r="C7">
        <v>6.32</v>
      </c>
      <c r="D7">
        <v>14.8</v>
      </c>
      <c r="E7">
        <v>13.02</v>
      </c>
      <c r="F7">
        <v>0.4</v>
      </c>
      <c r="G7">
        <v>65.864661654135332</v>
      </c>
      <c r="H7">
        <v>45.075497597803711</v>
      </c>
      <c r="I7">
        <v>63.111268603827078</v>
      </c>
      <c r="J7">
        <v>58.251215912081719</v>
      </c>
      <c r="K7">
        <v>89.272030651340998</v>
      </c>
      <c r="L7">
        <v>11.292029277564696</v>
      </c>
      <c r="M7">
        <v>80.441631570702668</v>
      </c>
      <c r="N7">
        <v>71.554023511551776</v>
      </c>
      <c r="O7">
        <v>12.6</v>
      </c>
      <c r="P7">
        <v>0.41999999999999993</v>
      </c>
      <c r="Q7">
        <v>6</v>
      </c>
      <c r="R7">
        <v>3</v>
      </c>
      <c r="S7" t="s">
        <v>24</v>
      </c>
      <c r="T7" t="s">
        <v>25</v>
      </c>
      <c r="U7">
        <v>1000</v>
      </c>
      <c r="X7" t="str">
        <v>UTI Nifty 50 Index Fund-Reg(IDCW)</v>
      </c>
      <c r="Y7" t="str">
        <v>Index Funds - Nifty</v>
      </c>
      <c r="Z7">
        <v>12.3</v>
      </c>
      <c r="AA7">
        <v>0.3</v>
      </c>
      <c r="AB7">
        <v>72.447850918563176</v>
      </c>
    </row>
    <row r="8" spans="1:28" x14ac:dyDescent="0.3">
      <c r="A8" t="s">
        <v>33</v>
      </c>
      <c r="B8" t="s">
        <v>28</v>
      </c>
      <c r="C8">
        <v>4.63</v>
      </c>
      <c r="D8">
        <v>14.8</v>
      </c>
      <c r="E8">
        <v>12.11</v>
      </c>
      <c r="F8">
        <v>0.4</v>
      </c>
      <c r="G8">
        <v>62.234156820622985</v>
      </c>
      <c r="H8">
        <v>45.075497597803711</v>
      </c>
      <c r="I8">
        <v>59.886605244507443</v>
      </c>
      <c r="J8">
        <v>55.912783265719433</v>
      </c>
      <c r="K8">
        <v>89.272030651340998</v>
      </c>
      <c r="L8">
        <v>9.3032207187404481</v>
      </c>
      <c r="M8">
        <v>83.886349041114102</v>
      </c>
      <c r="N8">
        <v>71.245986555973488</v>
      </c>
      <c r="O8">
        <v>11.520799999999999</v>
      </c>
      <c r="P8">
        <v>0.58919999999999995</v>
      </c>
      <c r="Q8">
        <v>7</v>
      </c>
      <c r="R8">
        <v>4</v>
      </c>
      <c r="S8" t="s">
        <v>24</v>
      </c>
      <c r="T8" t="s">
        <v>29</v>
      </c>
      <c r="U8">
        <v>1000</v>
      </c>
      <c r="V8">
        <v>1000</v>
      </c>
      <c r="X8" t="str">
        <v>UTI Nifty 50 Index Fund-Reg(G)</v>
      </c>
      <c r="Y8" t="str">
        <v>Index Funds - Nifty</v>
      </c>
      <c r="Z8">
        <v>12.3</v>
      </c>
      <c r="AA8">
        <v>0.3</v>
      </c>
      <c r="AB8">
        <v>72.447850918563176</v>
      </c>
    </row>
    <row r="9" spans="1:28" x14ac:dyDescent="0.3">
      <c r="A9" t="s">
        <v>34</v>
      </c>
      <c r="B9" t="s">
        <v>35</v>
      </c>
      <c r="C9">
        <v>5.94</v>
      </c>
      <c r="D9">
        <v>15</v>
      </c>
      <c r="E9">
        <v>11.05</v>
      </c>
      <c r="F9">
        <v>0.37</v>
      </c>
      <c r="G9">
        <v>65.048335123523088</v>
      </c>
      <c r="H9">
        <v>45.418668496911465</v>
      </c>
      <c r="I9">
        <v>56.130403968816431</v>
      </c>
      <c r="J9">
        <v>54.700469558186271</v>
      </c>
      <c r="K9">
        <v>90.421455938697321</v>
      </c>
      <c r="L9">
        <v>9.8284839859467041</v>
      </c>
      <c r="M9">
        <v>82.976566374963227</v>
      </c>
      <c r="N9">
        <v>70.699740357508276</v>
      </c>
      <c r="O9">
        <v>9.2084615384615383</v>
      </c>
      <c r="P9">
        <v>1.8415384615384625</v>
      </c>
      <c r="Q9">
        <v>8</v>
      </c>
      <c r="R9">
        <v>1</v>
      </c>
      <c r="S9" t="s">
        <v>24</v>
      </c>
      <c r="T9" t="s">
        <v>36</v>
      </c>
      <c r="U9">
        <v>5000</v>
      </c>
      <c r="V9">
        <v>1000</v>
      </c>
      <c r="X9" t="str">
        <v>ICICI Pru Nifty 50 Index Fund(G)</v>
      </c>
      <c r="Y9" t="str">
        <v>Index Funds - Nifty</v>
      </c>
      <c r="Z9">
        <v>11.89</v>
      </c>
      <c r="AA9">
        <v>0.35</v>
      </c>
      <c r="AB9">
        <v>71.591562249407815</v>
      </c>
    </row>
    <row r="10" spans="1:28" x14ac:dyDescent="0.3">
      <c r="A10" t="s">
        <v>37</v>
      </c>
      <c r="B10" t="s">
        <v>35</v>
      </c>
      <c r="C10">
        <v>5.89</v>
      </c>
      <c r="D10">
        <v>14.98</v>
      </c>
      <c r="E10">
        <v>11.04</v>
      </c>
      <c r="F10">
        <v>0.37</v>
      </c>
      <c r="G10">
        <v>64.940923737916208</v>
      </c>
      <c r="H10">
        <v>45.384351407000686</v>
      </c>
      <c r="I10">
        <v>56.094968107725009</v>
      </c>
      <c r="J10">
        <v>54.650974223545951</v>
      </c>
      <c r="K10">
        <v>90.421455938697321</v>
      </c>
      <c r="L10">
        <v>9.7930907825830342</v>
      </c>
      <c r="M10">
        <v>83.037869201431732</v>
      </c>
      <c r="N10">
        <v>70.690318396805239</v>
      </c>
      <c r="O10">
        <v>9.2084615384615383</v>
      </c>
      <c r="P10">
        <v>1.8315384615384609</v>
      </c>
      <c r="Q10">
        <v>9</v>
      </c>
      <c r="R10">
        <v>2</v>
      </c>
      <c r="S10" t="s">
        <v>24</v>
      </c>
      <c r="T10" t="s">
        <v>36</v>
      </c>
      <c r="U10">
        <v>5000</v>
      </c>
      <c r="V10">
        <v>1000</v>
      </c>
      <c r="X10" t="str">
        <v>HDFC Index Fund-S&amp;P BSE Sensex(G)</v>
      </c>
      <c r="Y10" t="str">
        <v>Index Funds - Sensex</v>
      </c>
      <c r="Z10">
        <v>13.02</v>
      </c>
      <c r="AA10">
        <v>0.4</v>
      </c>
      <c r="AB10">
        <v>71.554023511551776</v>
      </c>
    </row>
    <row r="11" spans="1:28" x14ac:dyDescent="0.3">
      <c r="A11" t="s">
        <v>38</v>
      </c>
      <c r="B11" t="s">
        <v>28</v>
      </c>
      <c r="C11">
        <v>4.55</v>
      </c>
      <c r="D11">
        <v>14.56</v>
      </c>
      <c r="E11">
        <v>11.77</v>
      </c>
      <c r="F11">
        <v>0.5</v>
      </c>
      <c r="G11">
        <v>62.062298603651975</v>
      </c>
      <c r="H11">
        <v>44.663692518874406</v>
      </c>
      <c r="I11">
        <v>58.681785967399001</v>
      </c>
      <c r="J11">
        <v>55.152460460092215</v>
      </c>
      <c r="K11">
        <v>85.440613026819918</v>
      </c>
      <c r="L11">
        <v>9.2253843940572775</v>
      </c>
      <c r="M11">
        <v>84.021165510139781</v>
      </c>
      <c r="N11">
        <v>69.941674864286028</v>
      </c>
      <c r="O11">
        <v>11.520799999999999</v>
      </c>
      <c r="P11">
        <v>0.24920000000000009</v>
      </c>
      <c r="Q11">
        <v>10</v>
      </c>
      <c r="R11">
        <v>5</v>
      </c>
      <c r="S11" t="s">
        <v>24</v>
      </c>
      <c r="T11" t="s">
        <v>29</v>
      </c>
      <c r="U11">
        <v>5000</v>
      </c>
      <c r="V11">
        <v>1000</v>
      </c>
      <c r="X11" t="str">
        <v>HDFC Index Fund-NIFTY 50 Plan(G)</v>
      </c>
      <c r="Y11" t="str">
        <v>Index Funds - Nifty</v>
      </c>
      <c r="Z11">
        <v>12.11</v>
      </c>
      <c r="AA11">
        <v>0.4</v>
      </c>
      <c r="AB11">
        <v>71.245986555973488</v>
      </c>
    </row>
    <row r="12" spans="1:28" x14ac:dyDescent="0.3">
      <c r="A12" t="s">
        <v>39</v>
      </c>
      <c r="B12" t="s">
        <v>28</v>
      </c>
      <c r="C12">
        <v>4.55</v>
      </c>
      <c r="D12">
        <v>14.52</v>
      </c>
      <c r="E12">
        <v>11.74</v>
      </c>
      <c r="F12">
        <v>0.5</v>
      </c>
      <c r="G12">
        <v>62.062298603651975</v>
      </c>
      <c r="H12">
        <v>44.595058339052848</v>
      </c>
      <c r="I12">
        <v>58.575478384124736</v>
      </c>
      <c r="J12">
        <v>55.078716414508619</v>
      </c>
      <c r="K12">
        <v>85.440613026819918</v>
      </c>
      <c r="L12">
        <v>9.2440480160766576</v>
      </c>
      <c r="M12">
        <v>83.988839168548949</v>
      </c>
      <c r="N12">
        <v>69.896721256096527</v>
      </c>
      <c r="O12">
        <v>11.520799999999999</v>
      </c>
      <c r="P12">
        <v>0.21920000000000073</v>
      </c>
      <c r="Q12">
        <v>11</v>
      </c>
      <c r="R12">
        <v>6</v>
      </c>
      <c r="S12" t="s">
        <v>24</v>
      </c>
      <c r="T12" t="s">
        <v>29</v>
      </c>
      <c r="U12">
        <v>5000</v>
      </c>
      <c r="V12">
        <v>1000</v>
      </c>
      <c r="X12" t="str">
        <v>ICICI Pru Passive Strategy Fund(FOF)(IDCW)</v>
      </c>
      <c r="Y12" t="str">
        <v>FoFs (Domestic) - Equity Oriented</v>
      </c>
      <c r="Z12">
        <v>11.05</v>
      </c>
      <c r="AA12">
        <v>0.37</v>
      </c>
      <c r="AB12">
        <v>70.699740357508276</v>
      </c>
    </row>
    <row r="13" spans="1:28" x14ac:dyDescent="0.3">
      <c r="A13" t="s">
        <v>40</v>
      </c>
      <c r="B13" t="s">
        <v>28</v>
      </c>
      <c r="C13">
        <v>4.57</v>
      </c>
      <c r="D13">
        <v>14.58</v>
      </c>
      <c r="E13">
        <v>11.91</v>
      </c>
      <c r="F13">
        <v>0.52</v>
      </c>
      <c r="G13">
        <v>62.105263157894733</v>
      </c>
      <c r="H13">
        <v>44.698009608785178</v>
      </c>
      <c r="I13">
        <v>59.17788802267895</v>
      </c>
      <c r="J13">
        <v>55.41939952555397</v>
      </c>
      <c r="K13">
        <v>84.674329501915707</v>
      </c>
      <c r="L13">
        <v>9.3206659292350071</v>
      </c>
      <c r="M13">
        <v>83.856133050188788</v>
      </c>
      <c r="N13">
        <v>69.842315400803102</v>
      </c>
      <c r="O13">
        <v>11.520799999999999</v>
      </c>
      <c r="P13">
        <v>0.38920000000000066</v>
      </c>
      <c r="Q13">
        <v>12</v>
      </c>
      <c r="R13">
        <v>7</v>
      </c>
      <c r="S13" t="s">
        <v>24</v>
      </c>
      <c r="T13" t="s">
        <v>29</v>
      </c>
      <c r="U13">
        <v>5000</v>
      </c>
      <c r="V13">
        <v>1000</v>
      </c>
      <c r="X13" t="str">
        <v>ICICI Pru Passive Strategy Fund(FOF)(G)</v>
      </c>
      <c r="Y13" t="str">
        <v>FoFs (Domestic) - Equity Oriented</v>
      </c>
      <c r="Z13">
        <v>11.04</v>
      </c>
      <c r="AA13">
        <v>0.37</v>
      </c>
      <c r="AB13">
        <v>70.690318396805239</v>
      </c>
    </row>
    <row r="14" spans="1:28" x14ac:dyDescent="0.3">
      <c r="A14" t="s">
        <v>41</v>
      </c>
      <c r="B14" t="s">
        <v>28</v>
      </c>
      <c r="C14">
        <v>4.7</v>
      </c>
      <c r="D14">
        <v>15.02</v>
      </c>
      <c r="E14">
        <v>12.21</v>
      </c>
      <c r="F14">
        <v>0.6</v>
      </c>
      <c r="G14">
        <v>62.384532760472609</v>
      </c>
      <c r="H14">
        <v>45.452985586822244</v>
      </c>
      <c r="I14">
        <v>60.240963855421683</v>
      </c>
      <c r="J14">
        <v>56.233284155852033</v>
      </c>
      <c r="K14">
        <v>81.609195402298852</v>
      </c>
      <c r="L14">
        <v>9.2191510691677223</v>
      </c>
      <c r="M14">
        <v>84.031961945548574</v>
      </c>
      <c r="N14">
        <v>69.526931414887869</v>
      </c>
      <c r="O14">
        <v>11.520799999999999</v>
      </c>
      <c r="P14">
        <v>0.68920000000000137</v>
      </c>
      <c r="Q14">
        <v>13</v>
      </c>
      <c r="R14">
        <v>8</v>
      </c>
      <c r="S14" t="s">
        <v>24</v>
      </c>
      <c r="T14" t="s">
        <v>29</v>
      </c>
      <c r="U14">
        <v>1000</v>
      </c>
      <c r="V14">
        <v>1000</v>
      </c>
      <c r="X14" t="str">
        <v>SBI Nifty Index Fund-Reg(IDCW)</v>
      </c>
      <c r="Y14" t="str">
        <v>Index Funds - Nifty</v>
      </c>
      <c r="Z14">
        <v>11.77</v>
      </c>
      <c r="AA14">
        <v>0.5</v>
      </c>
      <c r="AB14">
        <v>69.941674864286028</v>
      </c>
    </row>
    <row r="15" spans="1:28" x14ac:dyDescent="0.3">
      <c r="A15" t="s">
        <v>42</v>
      </c>
      <c r="B15" t="s">
        <v>23</v>
      </c>
      <c r="C15">
        <v>6.09</v>
      </c>
      <c r="D15">
        <v>14.17</v>
      </c>
      <c r="E15">
        <v>12.63</v>
      </c>
      <c r="F15">
        <v>0.57999999999999996</v>
      </c>
      <c r="G15">
        <v>65.370569280343716</v>
      </c>
      <c r="H15">
        <v>43.994509265614276</v>
      </c>
      <c r="I15">
        <v>61.72927002126152</v>
      </c>
      <c r="J15">
        <v>57.137101646383783</v>
      </c>
      <c r="K15">
        <v>82.375478927203076</v>
      </c>
      <c r="L15">
        <v>11.43617608809542</v>
      </c>
      <c r="M15">
        <v>80.191961971114438</v>
      </c>
      <c r="N15">
        <v>69.210411047771274</v>
      </c>
      <c r="O15">
        <v>12.6</v>
      </c>
      <c r="P15">
        <v>3.0000000000001137E-2</v>
      </c>
      <c r="Q15">
        <v>14</v>
      </c>
      <c r="R15">
        <v>4</v>
      </c>
      <c r="S15" t="s">
        <v>24</v>
      </c>
      <c r="T15" t="s">
        <v>25</v>
      </c>
      <c r="U15">
        <v>5000</v>
      </c>
      <c r="V15">
        <v>1000</v>
      </c>
      <c r="X15" t="str">
        <v>SBI Nifty Index Fund-Reg(G)</v>
      </c>
      <c r="Y15" t="str">
        <v>Index Funds - Nifty</v>
      </c>
      <c r="Z15">
        <v>11.74</v>
      </c>
      <c r="AA15">
        <v>0.5</v>
      </c>
      <c r="AB15">
        <v>69.896721256096527</v>
      </c>
    </row>
    <row r="16" spans="1:28" x14ac:dyDescent="0.3">
      <c r="A16" t="s">
        <v>43</v>
      </c>
      <c r="B16" t="s">
        <v>44</v>
      </c>
      <c r="C16">
        <v>12.75</v>
      </c>
      <c r="D16">
        <v>19.18</v>
      </c>
      <c r="E16">
        <v>14.93</v>
      </c>
      <c r="F16">
        <v>0.98</v>
      </c>
      <c r="G16">
        <v>79.677765843179372</v>
      </c>
      <c r="H16">
        <v>52.590940288263567</v>
      </c>
      <c r="I16">
        <v>69.879518072289159</v>
      </c>
      <c r="J16">
        <v>66.652594291259533</v>
      </c>
      <c r="K16">
        <v>67.049808429118769</v>
      </c>
      <c r="L16">
        <v>13.714935288561021</v>
      </c>
      <c r="M16">
        <v>76.24503525769299</v>
      </c>
      <c r="N16">
        <v>69.150008067332706</v>
      </c>
      <c r="O16">
        <v>7.5967647058823538</v>
      </c>
      <c r="P16">
        <v>7.333235294117646</v>
      </c>
      <c r="Q16">
        <v>15</v>
      </c>
      <c r="R16">
        <v>1</v>
      </c>
      <c r="S16" t="s">
        <v>24</v>
      </c>
      <c r="T16" t="s">
        <v>45</v>
      </c>
      <c r="U16">
        <v>5000</v>
      </c>
      <c r="V16">
        <v>1000</v>
      </c>
      <c r="X16" t="str">
        <v>Tata NIFTY 50 Index Fund-Reg(G)</v>
      </c>
      <c r="Y16" t="str">
        <v>Index Funds - Nifty</v>
      </c>
      <c r="Z16">
        <v>11.91</v>
      </c>
      <c r="AA16">
        <v>0.52</v>
      </c>
      <c r="AB16">
        <v>69.842315400803102</v>
      </c>
    </row>
    <row r="17" spans="1:28" x14ac:dyDescent="0.3">
      <c r="A17" t="s">
        <v>46</v>
      </c>
      <c r="B17" t="s">
        <v>44</v>
      </c>
      <c r="C17">
        <v>12.75</v>
      </c>
      <c r="D17">
        <v>19.18</v>
      </c>
      <c r="E17">
        <v>14.93</v>
      </c>
      <c r="F17">
        <v>0.98</v>
      </c>
      <c r="G17">
        <v>79.677765843179372</v>
      </c>
      <c r="H17">
        <v>52.590940288263567</v>
      </c>
      <c r="I17">
        <v>69.879518072289159</v>
      </c>
      <c r="J17">
        <v>66.652594291259533</v>
      </c>
      <c r="K17">
        <v>67.049808429118769</v>
      </c>
      <c r="L17">
        <v>13.714935288561021</v>
      </c>
      <c r="M17">
        <v>76.24503525769299</v>
      </c>
      <c r="N17">
        <v>69.150008067332706</v>
      </c>
      <c r="O17">
        <v>7.5967647058823538</v>
      </c>
      <c r="P17">
        <v>7.333235294117646</v>
      </c>
      <c r="Q17">
        <v>15</v>
      </c>
      <c r="R17">
        <v>1</v>
      </c>
      <c r="S17" t="s">
        <v>24</v>
      </c>
      <c r="T17" t="s">
        <v>45</v>
      </c>
      <c r="U17">
        <v>5000</v>
      </c>
      <c r="V17">
        <v>1000</v>
      </c>
      <c r="X17" t="str">
        <v>IDFC Nifty 50 Index Fund-Reg(G)</v>
      </c>
      <c r="Y17" t="str">
        <v>Index Funds - Nifty</v>
      </c>
      <c r="Z17">
        <v>12.21</v>
      </c>
      <c r="AA17">
        <v>0.6</v>
      </c>
      <c r="AB17">
        <v>69.526931414887869</v>
      </c>
    </row>
    <row r="18" spans="1:28" x14ac:dyDescent="0.3">
      <c r="A18" t="s">
        <v>47</v>
      </c>
      <c r="B18" t="s">
        <v>28</v>
      </c>
      <c r="C18">
        <v>4.7</v>
      </c>
      <c r="D18">
        <v>14.59</v>
      </c>
      <c r="E18">
        <v>11.95</v>
      </c>
      <c r="F18">
        <v>0.6</v>
      </c>
      <c r="G18">
        <v>62.384532760472609</v>
      </c>
      <c r="H18">
        <v>44.715168153740571</v>
      </c>
      <c r="I18">
        <v>59.319631467044644</v>
      </c>
      <c r="J18">
        <v>55.551272731739019</v>
      </c>
      <c r="K18">
        <v>81.609195402298852</v>
      </c>
      <c r="L18">
        <v>9.4418431658737045</v>
      </c>
      <c r="M18">
        <v>83.646247919609763</v>
      </c>
      <c r="N18">
        <v>69.08949719634667</v>
      </c>
      <c r="O18">
        <v>11.520799999999999</v>
      </c>
      <c r="P18">
        <v>0.4291999999999998</v>
      </c>
      <c r="Q18">
        <v>17</v>
      </c>
      <c r="R18">
        <v>9</v>
      </c>
      <c r="S18" t="s">
        <v>24</v>
      </c>
      <c r="T18" t="s">
        <v>29</v>
      </c>
      <c r="U18">
        <v>1000</v>
      </c>
      <c r="V18">
        <v>1000</v>
      </c>
      <c r="X18" t="str">
        <v>Tata S&amp;P BSE Sensex Index Fund-Reg(G)</v>
      </c>
      <c r="Y18" t="str">
        <v>Index Funds - Sensex</v>
      </c>
      <c r="Z18">
        <v>12.63</v>
      </c>
      <c r="AA18">
        <v>0.57999999999999996</v>
      </c>
      <c r="AB18">
        <v>69.210411047771274</v>
      </c>
    </row>
    <row r="19" spans="1:28" x14ac:dyDescent="0.3">
      <c r="A19" t="s">
        <v>48</v>
      </c>
      <c r="B19" t="s">
        <v>28</v>
      </c>
      <c r="C19">
        <v>4.41</v>
      </c>
      <c r="D19">
        <v>14.67</v>
      </c>
      <c r="E19">
        <v>11.68</v>
      </c>
      <c r="F19">
        <v>0.6</v>
      </c>
      <c r="G19">
        <v>61.761546723952733</v>
      </c>
      <c r="H19">
        <v>44.852436513383672</v>
      </c>
      <c r="I19">
        <v>58.362863217576177</v>
      </c>
      <c r="J19">
        <v>54.989471907593739</v>
      </c>
      <c r="K19">
        <v>81.609195402298852</v>
      </c>
      <c r="L19">
        <v>8.9442783146456719</v>
      </c>
      <c r="M19">
        <v>84.508055521997164</v>
      </c>
      <c r="N19">
        <v>69.024048684870877</v>
      </c>
      <c r="O19">
        <v>11.520799999999999</v>
      </c>
      <c r="P19">
        <v>0.15920000000000023</v>
      </c>
      <c r="Q19">
        <v>18</v>
      </c>
      <c r="R19">
        <v>10</v>
      </c>
      <c r="S19" t="s">
        <v>24</v>
      </c>
      <c r="T19" t="s">
        <v>29</v>
      </c>
      <c r="U19">
        <v>1000</v>
      </c>
      <c r="V19">
        <v>1000</v>
      </c>
      <c r="X19" t="str">
        <v>Kotak Multi Asset Allocator FoF-Dynamic(IDCW)</v>
      </c>
      <c r="Y19" t="str">
        <v>FoFs (Domestic) - Debt Oriented</v>
      </c>
      <c r="Z19">
        <v>14.93</v>
      </c>
      <c r="AA19">
        <v>0.98</v>
      </c>
      <c r="AB19">
        <v>69.150008067332706</v>
      </c>
    </row>
    <row r="20" spans="1:28" x14ac:dyDescent="0.3">
      <c r="A20" t="s">
        <v>49</v>
      </c>
      <c r="B20" t="s">
        <v>28</v>
      </c>
      <c r="C20">
        <v>4.41</v>
      </c>
      <c r="D20">
        <v>14.65</v>
      </c>
      <c r="E20">
        <v>11.46</v>
      </c>
      <c r="F20">
        <v>0.6</v>
      </c>
      <c r="G20">
        <v>61.761546723952733</v>
      </c>
      <c r="H20">
        <v>44.818119423472893</v>
      </c>
      <c r="I20">
        <v>57.583274273564847</v>
      </c>
      <c r="J20">
        <v>54.589382308614844</v>
      </c>
      <c r="K20">
        <v>81.609195402298852</v>
      </c>
      <c r="L20">
        <v>8.8269178058098898</v>
      </c>
      <c r="M20">
        <v>84.711329886102874</v>
      </c>
      <c r="N20">
        <v>68.874822476407857</v>
      </c>
      <c r="O20">
        <v>11.520799999999999</v>
      </c>
      <c r="P20">
        <v>-6.0799999999998633E-2</v>
      </c>
      <c r="Q20">
        <v>19</v>
      </c>
      <c r="R20">
        <v>11</v>
      </c>
      <c r="S20" t="s">
        <v>24</v>
      </c>
      <c r="T20" t="s">
        <v>29</v>
      </c>
      <c r="U20">
        <v>1000</v>
      </c>
      <c r="V20">
        <v>1000</v>
      </c>
    </row>
    <row r="21" spans="1:28" x14ac:dyDescent="0.3">
      <c r="A21" t="s">
        <v>50</v>
      </c>
      <c r="B21" t="s">
        <v>51</v>
      </c>
      <c r="C21">
        <v>10.34</v>
      </c>
      <c r="D21">
        <v>30.24</v>
      </c>
      <c r="E21">
        <v>14.69</v>
      </c>
      <c r="F21">
        <v>1.76</v>
      </c>
      <c r="G21">
        <v>74.500537056928025</v>
      </c>
      <c r="H21">
        <v>71.568291008922458</v>
      </c>
      <c r="I21">
        <v>69.02905740609495</v>
      </c>
      <c r="J21">
        <v>70.88512341710981</v>
      </c>
      <c r="K21">
        <v>37.164750957854409</v>
      </c>
      <c r="L21">
        <v>2.7380912982481385</v>
      </c>
      <c r="M21">
        <v>95.257486755671991</v>
      </c>
      <c r="N21">
        <v>68.548121136936501</v>
      </c>
      <c r="O21">
        <v>12.127586206896551</v>
      </c>
      <c r="P21">
        <v>2.562413793103449</v>
      </c>
      <c r="Q21">
        <v>20</v>
      </c>
      <c r="R21">
        <v>1</v>
      </c>
      <c r="S21" t="s">
        <v>24</v>
      </c>
      <c r="T21" t="s">
        <v>52</v>
      </c>
      <c r="U21">
        <v>5000</v>
      </c>
      <c r="V21">
        <v>1000</v>
      </c>
    </row>
    <row r="22" spans="1:28" x14ac:dyDescent="0.3">
      <c r="A22" t="s">
        <v>53</v>
      </c>
      <c r="B22" t="s">
        <v>28</v>
      </c>
      <c r="C22">
        <v>4.16</v>
      </c>
      <c r="D22">
        <v>14.05</v>
      </c>
      <c r="E22">
        <v>11.37</v>
      </c>
      <c r="F22">
        <v>0.59</v>
      </c>
      <c r="G22">
        <v>61.224489795918366</v>
      </c>
      <c r="H22">
        <v>43.788606726149624</v>
      </c>
      <c r="I22">
        <v>57.264351523742022</v>
      </c>
      <c r="J22">
        <v>54.013655738899573</v>
      </c>
      <c r="K22">
        <v>81.992337164750964</v>
      </c>
      <c r="L22">
        <v>9.1404632578373057</v>
      </c>
      <c r="M22">
        <v>84.168253232709247</v>
      </c>
      <c r="N22">
        <v>68.54697546881485</v>
      </c>
      <c r="O22">
        <v>11.520799999999999</v>
      </c>
      <c r="P22">
        <v>-0.15080000000000027</v>
      </c>
      <c r="Q22">
        <v>21</v>
      </c>
      <c r="R22">
        <v>12</v>
      </c>
      <c r="S22" t="s">
        <v>24</v>
      </c>
      <c r="T22" t="s">
        <v>29</v>
      </c>
      <c r="U22">
        <v>1000</v>
      </c>
      <c r="V22">
        <v>1000</v>
      </c>
    </row>
    <row r="23" spans="1:28" x14ac:dyDescent="0.3">
      <c r="A23" t="s">
        <v>54</v>
      </c>
      <c r="B23" t="s">
        <v>51</v>
      </c>
      <c r="C23">
        <v>10.34</v>
      </c>
      <c r="D23">
        <v>30.24</v>
      </c>
      <c r="E23">
        <v>14.68</v>
      </c>
      <c r="F23">
        <v>1.76</v>
      </c>
      <c r="G23">
        <v>74.500537056928025</v>
      </c>
      <c r="H23">
        <v>71.568291008922458</v>
      </c>
      <c r="I23">
        <v>68.993621545003549</v>
      </c>
      <c r="J23">
        <v>70.86740548656411</v>
      </c>
      <c r="K23">
        <v>37.164750957854409</v>
      </c>
      <c r="L23">
        <v>2.7553919318902453</v>
      </c>
      <c r="M23">
        <v>95.227521179200735</v>
      </c>
      <c r="N23">
        <v>68.531770777545844</v>
      </c>
      <c r="O23">
        <v>12.127586206896551</v>
      </c>
      <c r="P23">
        <v>2.5524137931034492</v>
      </c>
      <c r="Q23">
        <v>22</v>
      </c>
      <c r="R23">
        <v>2</v>
      </c>
      <c r="S23" t="s">
        <v>24</v>
      </c>
      <c r="T23" t="s">
        <v>52</v>
      </c>
      <c r="U23">
        <v>5000</v>
      </c>
      <c r="V23">
        <v>1000</v>
      </c>
    </row>
    <row r="24" spans="1:28" x14ac:dyDescent="0.3">
      <c r="A24" t="s">
        <v>55</v>
      </c>
      <c r="B24" t="s">
        <v>28</v>
      </c>
      <c r="C24">
        <v>4.42</v>
      </c>
      <c r="D24">
        <v>14.37</v>
      </c>
      <c r="E24">
        <v>11.46</v>
      </c>
      <c r="F24">
        <v>0.66</v>
      </c>
      <c r="G24">
        <v>61.783029001074105</v>
      </c>
      <c r="H24">
        <v>44.337680164722038</v>
      </c>
      <c r="I24">
        <v>57.583274273564847</v>
      </c>
      <c r="J24">
        <v>54.449546986413857</v>
      </c>
      <c r="K24">
        <v>79.310344827586206</v>
      </c>
      <c r="L24">
        <v>9.105162446742856</v>
      </c>
      <c r="M24">
        <v>84.229396031073222</v>
      </c>
      <c r="N24">
        <v>68.109708707871789</v>
      </c>
      <c r="O24">
        <v>11.520799999999999</v>
      </c>
      <c r="P24">
        <v>-6.0799999999998633E-2</v>
      </c>
      <c r="Q24">
        <v>23</v>
      </c>
      <c r="R24">
        <v>13</v>
      </c>
      <c r="S24" t="s">
        <v>24</v>
      </c>
      <c r="T24" t="s">
        <v>29</v>
      </c>
      <c r="U24">
        <v>5000</v>
      </c>
      <c r="V24">
        <v>1000</v>
      </c>
    </row>
    <row r="25" spans="1:28" x14ac:dyDescent="0.3">
      <c r="A25" t="s">
        <v>56</v>
      </c>
      <c r="B25" t="s">
        <v>28</v>
      </c>
      <c r="C25">
        <v>4.42</v>
      </c>
      <c r="D25">
        <v>14.37</v>
      </c>
      <c r="E25">
        <v>11.46</v>
      </c>
      <c r="F25">
        <v>0.66</v>
      </c>
      <c r="G25">
        <v>61.783029001074105</v>
      </c>
      <c r="H25">
        <v>44.337680164722038</v>
      </c>
      <c r="I25">
        <v>57.583274273564847</v>
      </c>
      <c r="J25">
        <v>54.449546986413857</v>
      </c>
      <c r="K25">
        <v>79.310344827586206</v>
      </c>
      <c r="L25">
        <v>9.105162446742856</v>
      </c>
      <c r="M25">
        <v>84.229396031073222</v>
      </c>
      <c r="N25">
        <v>68.109708707871789</v>
      </c>
      <c r="O25">
        <v>11.520799999999999</v>
      </c>
      <c r="P25">
        <v>-6.0799999999998633E-2</v>
      </c>
      <c r="Q25">
        <v>23</v>
      </c>
      <c r="R25">
        <v>13</v>
      </c>
      <c r="S25" t="s">
        <v>24</v>
      </c>
      <c r="T25" t="s">
        <v>29</v>
      </c>
      <c r="U25">
        <v>5000</v>
      </c>
      <c r="V25">
        <v>1000</v>
      </c>
    </row>
    <row r="26" spans="1:28" x14ac:dyDescent="0.3">
      <c r="A26" t="s">
        <v>57</v>
      </c>
      <c r="B26" t="s">
        <v>58</v>
      </c>
      <c r="C26">
        <v>12.64</v>
      </c>
      <c r="D26">
        <v>10.09</v>
      </c>
      <c r="E26">
        <v>11.65</v>
      </c>
      <c r="F26">
        <v>0.21</v>
      </c>
      <c r="G26">
        <v>79.441460794844261</v>
      </c>
      <c r="H26">
        <v>36.993822923816069</v>
      </c>
      <c r="I26">
        <v>58.256555634301911</v>
      </c>
      <c r="J26">
        <v>56.114716853264625</v>
      </c>
      <c r="K26">
        <v>96.551724137931032</v>
      </c>
      <c r="L26">
        <v>21.223830826882178</v>
      </c>
      <c r="M26">
        <v>63.239246676593488</v>
      </c>
      <c r="N26">
        <v>68.005101130263441</v>
      </c>
      <c r="O26">
        <v>11.126842105263158</v>
      </c>
      <c r="P26">
        <v>0.52315789473684227</v>
      </c>
      <c r="Q26">
        <v>25</v>
      </c>
      <c r="R26">
        <v>1</v>
      </c>
      <c r="S26" t="s">
        <v>24</v>
      </c>
      <c r="T26" t="s">
        <v>59</v>
      </c>
      <c r="U26">
        <v>1000</v>
      </c>
      <c r="V26">
        <v>1000</v>
      </c>
    </row>
    <row r="27" spans="1:28" x14ac:dyDescent="0.3">
      <c r="A27" t="s">
        <v>60</v>
      </c>
      <c r="B27" t="s">
        <v>28</v>
      </c>
      <c r="C27">
        <v>4.16</v>
      </c>
      <c r="D27">
        <v>13.68</v>
      </c>
      <c r="E27">
        <v>10.91</v>
      </c>
      <c r="F27">
        <v>0.59</v>
      </c>
      <c r="G27">
        <v>61.224489795918366</v>
      </c>
      <c r="H27">
        <v>43.15374056280028</v>
      </c>
      <c r="I27">
        <v>55.63430191353649</v>
      </c>
      <c r="J27">
        <v>53.008171084792004</v>
      </c>
      <c r="K27">
        <v>81.992337164750964</v>
      </c>
      <c r="L27">
        <v>9.2517258753530012</v>
      </c>
      <c r="M27">
        <v>83.975540726188953</v>
      </c>
      <c r="N27">
        <v>67.996055015130977</v>
      </c>
      <c r="O27">
        <v>11.520799999999999</v>
      </c>
      <c r="P27">
        <v>-0.61079999999999934</v>
      </c>
      <c r="Q27">
        <v>26</v>
      </c>
      <c r="R27">
        <v>15</v>
      </c>
      <c r="S27" t="s">
        <v>24</v>
      </c>
      <c r="T27" t="s">
        <v>29</v>
      </c>
      <c r="U27">
        <v>1000</v>
      </c>
      <c r="V27">
        <v>1000</v>
      </c>
    </row>
    <row r="28" spans="1:28" x14ac:dyDescent="0.3">
      <c r="A28" t="s">
        <v>61</v>
      </c>
      <c r="B28" t="s">
        <v>28</v>
      </c>
      <c r="C28">
        <v>4.16</v>
      </c>
      <c r="D28">
        <v>13.68</v>
      </c>
      <c r="E28">
        <v>10.91</v>
      </c>
      <c r="F28">
        <v>0.59</v>
      </c>
      <c r="G28">
        <v>61.224489795918366</v>
      </c>
      <c r="H28">
        <v>43.15374056280028</v>
      </c>
      <c r="I28">
        <v>55.63430191353649</v>
      </c>
      <c r="J28">
        <v>53.008171084792004</v>
      </c>
      <c r="K28">
        <v>81.992337164750964</v>
      </c>
      <c r="L28">
        <v>9.2517258753530012</v>
      </c>
      <c r="M28">
        <v>83.975540726188953</v>
      </c>
      <c r="N28">
        <v>67.996055015130977</v>
      </c>
      <c r="O28">
        <v>11.520799999999999</v>
      </c>
      <c r="P28">
        <v>-0.61079999999999934</v>
      </c>
      <c r="Q28">
        <v>26</v>
      </c>
      <c r="R28">
        <v>15</v>
      </c>
      <c r="S28" t="s">
        <v>24</v>
      </c>
      <c r="T28" t="s">
        <v>29</v>
      </c>
      <c r="U28">
        <v>1000</v>
      </c>
      <c r="V28">
        <v>1000</v>
      </c>
    </row>
    <row r="29" spans="1:28" x14ac:dyDescent="0.3">
      <c r="A29" t="s">
        <v>62</v>
      </c>
      <c r="B29" t="s">
        <v>28</v>
      </c>
      <c r="C29">
        <v>4.16</v>
      </c>
      <c r="D29">
        <v>13.68</v>
      </c>
      <c r="E29">
        <v>10.84</v>
      </c>
      <c r="F29">
        <v>0.59</v>
      </c>
      <c r="G29">
        <v>61.224489795918366</v>
      </c>
      <c r="H29">
        <v>43.15374056280028</v>
      </c>
      <c r="I29">
        <v>55.38625088589653</v>
      </c>
      <c r="J29">
        <v>52.884145570972024</v>
      </c>
      <c r="K29">
        <v>81.992337164750964</v>
      </c>
      <c r="L29">
        <v>9.2219965320367514</v>
      </c>
      <c r="M29">
        <v>84.027033459288361</v>
      </c>
      <c r="N29">
        <v>67.946915441495847</v>
      </c>
      <c r="O29">
        <v>11.520799999999999</v>
      </c>
      <c r="P29">
        <v>-0.68079999999999963</v>
      </c>
      <c r="Q29">
        <v>28</v>
      </c>
      <c r="R29">
        <v>17</v>
      </c>
      <c r="S29" t="s">
        <v>24</v>
      </c>
      <c r="T29" t="s">
        <v>29</v>
      </c>
      <c r="U29">
        <v>1000</v>
      </c>
      <c r="V29">
        <v>1000</v>
      </c>
    </row>
    <row r="30" spans="1:28" x14ac:dyDescent="0.3">
      <c r="A30" t="s">
        <v>63</v>
      </c>
      <c r="B30" t="s">
        <v>23</v>
      </c>
      <c r="C30">
        <v>5.97</v>
      </c>
      <c r="D30">
        <v>14.74</v>
      </c>
      <c r="E30">
        <v>12.72</v>
      </c>
      <c r="F30">
        <v>0.81</v>
      </c>
      <c r="G30">
        <v>65.112781954887211</v>
      </c>
      <c r="H30">
        <v>44.972546328071381</v>
      </c>
      <c r="I30">
        <v>62.048192771084331</v>
      </c>
      <c r="J30">
        <v>57.538416674941018</v>
      </c>
      <c r="K30">
        <v>73.563218390804593</v>
      </c>
      <c r="L30">
        <v>10.852023616327081</v>
      </c>
      <c r="M30">
        <v>81.203743731584154</v>
      </c>
      <c r="N30">
        <v>67.460948868067703</v>
      </c>
      <c r="O30">
        <v>12.6</v>
      </c>
      <c r="P30">
        <v>0.12000000000000099</v>
      </c>
      <c r="Q30">
        <v>29</v>
      </c>
      <c r="R30">
        <v>5</v>
      </c>
      <c r="S30" t="s">
        <v>24</v>
      </c>
      <c r="T30" t="s">
        <v>25</v>
      </c>
      <c r="U30">
        <v>5000</v>
      </c>
      <c r="V30">
        <v>1000</v>
      </c>
    </row>
    <row r="31" spans="1:28" x14ac:dyDescent="0.3">
      <c r="A31" t="s">
        <v>64</v>
      </c>
      <c r="B31" t="s">
        <v>28</v>
      </c>
      <c r="C31">
        <v>4.46</v>
      </c>
      <c r="D31">
        <v>18.21</v>
      </c>
      <c r="E31">
        <v>10.08</v>
      </c>
      <c r="F31">
        <v>0.88</v>
      </c>
      <c r="G31">
        <v>61.868958109559614</v>
      </c>
      <c r="H31">
        <v>50.926561427590954</v>
      </c>
      <c r="I31">
        <v>52.693125442948265</v>
      </c>
      <c r="J31">
        <v>53.998322771663339</v>
      </c>
      <c r="K31">
        <v>70.88122605363985</v>
      </c>
      <c r="L31">
        <v>5.8744176830781285</v>
      </c>
      <c r="M31">
        <v>89.825210108027633</v>
      </c>
      <c r="N31">
        <v>67.175770426248548</v>
      </c>
      <c r="O31">
        <v>11.520799999999999</v>
      </c>
      <c r="P31">
        <v>-1.4407999999999994</v>
      </c>
      <c r="Q31">
        <v>30</v>
      </c>
      <c r="R31">
        <v>18</v>
      </c>
      <c r="S31" t="s">
        <v>24</v>
      </c>
      <c r="T31" t="s">
        <v>65</v>
      </c>
      <c r="U31">
        <v>1000</v>
      </c>
      <c r="V31">
        <v>1000</v>
      </c>
    </row>
    <row r="32" spans="1:28" x14ac:dyDescent="0.3">
      <c r="A32" t="s">
        <v>66</v>
      </c>
      <c r="B32" t="s">
        <v>28</v>
      </c>
      <c r="C32">
        <v>4.46</v>
      </c>
      <c r="D32">
        <v>18.21</v>
      </c>
      <c r="E32">
        <v>10.08</v>
      </c>
      <c r="F32">
        <v>0.88</v>
      </c>
      <c r="G32">
        <v>61.868958109559614</v>
      </c>
      <c r="H32">
        <v>50.926561427590954</v>
      </c>
      <c r="I32">
        <v>52.693125442948265</v>
      </c>
      <c r="J32">
        <v>53.998322771663339</v>
      </c>
      <c r="K32">
        <v>70.88122605363985</v>
      </c>
      <c r="L32">
        <v>5.8744176830781285</v>
      </c>
      <c r="M32">
        <v>89.825210108027633</v>
      </c>
      <c r="N32">
        <v>67.175770426248548</v>
      </c>
      <c r="O32">
        <v>11.520799999999999</v>
      </c>
      <c r="P32">
        <v>-1.4407999999999994</v>
      </c>
      <c r="Q32">
        <v>30</v>
      </c>
      <c r="R32">
        <v>18</v>
      </c>
      <c r="S32" t="s">
        <v>24</v>
      </c>
      <c r="T32" t="s">
        <v>65</v>
      </c>
      <c r="U32">
        <v>1000</v>
      </c>
      <c r="V32">
        <v>1000</v>
      </c>
    </row>
    <row r="33" spans="1:22" x14ac:dyDescent="0.3">
      <c r="A33" t="s">
        <v>67</v>
      </c>
      <c r="B33" t="s">
        <v>23</v>
      </c>
      <c r="C33">
        <v>5.97</v>
      </c>
      <c r="D33">
        <v>14.39</v>
      </c>
      <c r="E33">
        <v>12.27</v>
      </c>
      <c r="F33">
        <v>0.81</v>
      </c>
      <c r="G33">
        <v>65.112781954887211</v>
      </c>
      <c r="H33">
        <v>44.371997254632809</v>
      </c>
      <c r="I33">
        <v>60.453579021970228</v>
      </c>
      <c r="J33">
        <v>56.560945078352397</v>
      </c>
      <c r="K33">
        <v>73.563218390804593</v>
      </c>
      <c r="L33">
        <v>10.881985067777299</v>
      </c>
      <c r="M33">
        <v>81.151848975403865</v>
      </c>
      <c r="N33">
        <v>66.95923938072832</v>
      </c>
      <c r="O33">
        <v>12.6</v>
      </c>
      <c r="P33">
        <v>-0.33000000000000007</v>
      </c>
      <c r="Q33">
        <v>32</v>
      </c>
      <c r="R33">
        <v>6</v>
      </c>
      <c r="S33" t="s">
        <v>24</v>
      </c>
      <c r="T33" t="s">
        <v>25</v>
      </c>
      <c r="U33">
        <v>5000</v>
      </c>
      <c r="V33">
        <v>1000</v>
      </c>
    </row>
    <row r="34" spans="1:22" x14ac:dyDescent="0.3">
      <c r="A34" t="s">
        <v>68</v>
      </c>
      <c r="B34" t="s">
        <v>23</v>
      </c>
      <c r="C34">
        <v>5.97</v>
      </c>
      <c r="D34">
        <v>14.39</v>
      </c>
      <c r="E34">
        <v>12.27</v>
      </c>
      <c r="F34">
        <v>0.81</v>
      </c>
      <c r="G34">
        <v>65.112781954887211</v>
      </c>
      <c r="H34">
        <v>44.371997254632809</v>
      </c>
      <c r="I34">
        <v>60.453579021970228</v>
      </c>
      <c r="J34">
        <v>56.560945078352397</v>
      </c>
      <c r="K34">
        <v>73.563218390804593</v>
      </c>
      <c r="L34">
        <v>10.881985067777299</v>
      </c>
      <c r="M34">
        <v>81.151848975403865</v>
      </c>
      <c r="N34">
        <v>66.95923938072832</v>
      </c>
      <c r="O34">
        <v>12.6</v>
      </c>
      <c r="P34">
        <v>-0.33000000000000007</v>
      </c>
      <c r="Q34">
        <v>32</v>
      </c>
      <c r="R34">
        <v>6</v>
      </c>
      <c r="S34" t="s">
        <v>24</v>
      </c>
      <c r="T34" t="s">
        <v>25</v>
      </c>
      <c r="U34">
        <v>5000</v>
      </c>
      <c r="V34">
        <v>1000</v>
      </c>
    </row>
    <row r="35" spans="1:22" x14ac:dyDescent="0.3">
      <c r="A35" t="s">
        <v>69</v>
      </c>
      <c r="B35" t="s">
        <v>23</v>
      </c>
      <c r="C35">
        <v>5.97</v>
      </c>
      <c r="D35">
        <v>14.38</v>
      </c>
      <c r="E35">
        <v>12.27</v>
      </c>
      <c r="F35">
        <v>0.81</v>
      </c>
      <c r="G35">
        <v>65.112781954887211</v>
      </c>
      <c r="H35">
        <v>44.354838709677423</v>
      </c>
      <c r="I35">
        <v>60.453579021970228</v>
      </c>
      <c r="J35">
        <v>56.55579751486578</v>
      </c>
      <c r="K35">
        <v>73.563218390804593</v>
      </c>
      <c r="L35">
        <v>10.891662096791396</v>
      </c>
      <c r="M35">
        <v>81.135087869485133</v>
      </c>
      <c r="N35">
        <v>66.952475322505322</v>
      </c>
      <c r="O35">
        <v>12.6</v>
      </c>
      <c r="P35">
        <v>-0.33000000000000007</v>
      </c>
      <c r="Q35">
        <v>34</v>
      </c>
      <c r="R35">
        <v>8</v>
      </c>
      <c r="S35" t="s">
        <v>24</v>
      </c>
      <c r="T35" t="s">
        <v>25</v>
      </c>
      <c r="U35">
        <v>5000</v>
      </c>
      <c r="V35">
        <v>1000</v>
      </c>
    </row>
    <row r="36" spans="1:22" x14ac:dyDescent="0.3">
      <c r="A36" t="s">
        <v>70</v>
      </c>
      <c r="B36" t="s">
        <v>35</v>
      </c>
      <c r="C36">
        <v>6.37</v>
      </c>
      <c r="D36">
        <v>23.61</v>
      </c>
      <c r="E36">
        <v>14.85</v>
      </c>
      <c r="F36">
        <v>1.61</v>
      </c>
      <c r="G36">
        <v>65.972073039742213</v>
      </c>
      <c r="H36">
        <v>60.192175703500354</v>
      </c>
      <c r="I36">
        <v>69.596031183557756</v>
      </c>
      <c r="J36">
        <v>66.050082910777434</v>
      </c>
      <c r="K36">
        <v>42.911877394636001</v>
      </c>
      <c r="L36">
        <v>4.7429383251213295</v>
      </c>
      <c r="M36">
        <v>91.784989843724219</v>
      </c>
      <c r="N36">
        <v>66.699258264978766</v>
      </c>
      <c r="O36">
        <v>9.2084615384615383</v>
      </c>
      <c r="P36">
        <v>5.6415384615384614</v>
      </c>
      <c r="Q36">
        <v>35</v>
      </c>
      <c r="R36">
        <v>3</v>
      </c>
      <c r="S36" t="s">
        <v>24</v>
      </c>
      <c r="T36" t="s">
        <v>36</v>
      </c>
      <c r="U36">
        <v>5000</v>
      </c>
      <c r="V36">
        <v>1000</v>
      </c>
    </row>
    <row r="37" spans="1:22" x14ac:dyDescent="0.3">
      <c r="A37" t="s">
        <v>71</v>
      </c>
      <c r="B37" t="s">
        <v>58</v>
      </c>
      <c r="C37">
        <v>12.26</v>
      </c>
      <c r="D37">
        <v>9.92</v>
      </c>
      <c r="E37">
        <v>11.41</v>
      </c>
      <c r="F37">
        <v>0.37</v>
      </c>
      <c r="G37">
        <v>78.625134264232017</v>
      </c>
      <c r="H37">
        <v>36.702127659574465</v>
      </c>
      <c r="I37">
        <v>57.406094968107723</v>
      </c>
      <c r="J37">
        <v>55.438712634772607</v>
      </c>
      <c r="K37">
        <v>90.421455938697321</v>
      </c>
      <c r="L37">
        <v>20.962030649635075</v>
      </c>
      <c r="M37">
        <v>63.69269788501601</v>
      </c>
      <c r="N37">
        <v>66.247894773314641</v>
      </c>
      <c r="O37">
        <v>11.126842105263158</v>
      </c>
      <c r="P37">
        <v>0.28315789473684205</v>
      </c>
      <c r="Q37">
        <v>36</v>
      </c>
      <c r="R37">
        <v>2</v>
      </c>
      <c r="S37" t="s">
        <v>24</v>
      </c>
      <c r="T37" t="s">
        <v>59</v>
      </c>
      <c r="U37">
        <v>1000</v>
      </c>
      <c r="V37">
        <v>1000</v>
      </c>
    </row>
    <row r="38" spans="1:22" x14ac:dyDescent="0.3">
      <c r="A38" t="s">
        <v>72</v>
      </c>
      <c r="B38" t="s">
        <v>58</v>
      </c>
      <c r="C38">
        <v>12.26</v>
      </c>
      <c r="D38">
        <v>9.92</v>
      </c>
      <c r="E38">
        <v>11.41</v>
      </c>
      <c r="F38">
        <v>0.37</v>
      </c>
      <c r="G38">
        <v>78.625134264232017</v>
      </c>
      <c r="H38">
        <v>36.702127659574465</v>
      </c>
      <c r="I38">
        <v>57.406094968107723</v>
      </c>
      <c r="J38">
        <v>55.438712634772607</v>
      </c>
      <c r="K38">
        <v>90.421455938697321</v>
      </c>
      <c r="L38">
        <v>20.962030649635075</v>
      </c>
      <c r="M38">
        <v>63.69269788501601</v>
      </c>
      <c r="N38">
        <v>66.247894773314641</v>
      </c>
      <c r="O38">
        <v>11.126842105263158</v>
      </c>
      <c r="P38">
        <v>0.28315789473684205</v>
      </c>
      <c r="Q38">
        <v>36</v>
      </c>
      <c r="R38">
        <v>2</v>
      </c>
      <c r="S38" t="s">
        <v>24</v>
      </c>
      <c r="T38" t="s">
        <v>59</v>
      </c>
      <c r="U38">
        <v>1000</v>
      </c>
      <c r="V38">
        <v>1000</v>
      </c>
    </row>
    <row r="39" spans="1:22" x14ac:dyDescent="0.3">
      <c r="A39" t="s">
        <v>73</v>
      </c>
      <c r="B39" t="s">
        <v>58</v>
      </c>
      <c r="C39">
        <v>13.02</v>
      </c>
      <c r="D39">
        <v>10.11</v>
      </c>
      <c r="E39">
        <v>11.7</v>
      </c>
      <c r="F39">
        <v>0.42</v>
      </c>
      <c r="G39">
        <v>80.257787325456491</v>
      </c>
      <c r="H39">
        <v>37.028140013726841</v>
      </c>
      <c r="I39">
        <v>58.433734939759027</v>
      </c>
      <c r="J39">
        <v>56.37686693908887</v>
      </c>
      <c r="K39">
        <v>88.505747126436788</v>
      </c>
      <c r="L39">
        <v>21.615161204455454</v>
      </c>
      <c r="M39">
        <v>62.561442580091466</v>
      </c>
      <c r="N39">
        <v>65.955230896176502</v>
      </c>
      <c r="O39">
        <v>11.126842105263158</v>
      </c>
      <c r="P39">
        <v>0.5731578947368412</v>
      </c>
      <c r="Q39">
        <v>38</v>
      </c>
      <c r="R39">
        <v>4</v>
      </c>
      <c r="S39" t="s">
        <v>24</v>
      </c>
      <c r="T39" t="s">
        <v>74</v>
      </c>
      <c r="U39">
        <v>5000</v>
      </c>
      <c r="V39">
        <v>1000</v>
      </c>
    </row>
    <row r="40" spans="1:22" x14ac:dyDescent="0.3">
      <c r="A40" t="s">
        <v>75</v>
      </c>
      <c r="B40" t="s">
        <v>58</v>
      </c>
      <c r="C40">
        <v>13.02</v>
      </c>
      <c r="D40">
        <v>10.1</v>
      </c>
      <c r="E40">
        <v>11.7</v>
      </c>
      <c r="F40">
        <v>0.42</v>
      </c>
      <c r="G40">
        <v>80.257787325456491</v>
      </c>
      <c r="H40">
        <v>37.010981468771455</v>
      </c>
      <c r="I40">
        <v>58.433734939759027</v>
      </c>
      <c r="J40">
        <v>56.371719375602254</v>
      </c>
      <c r="K40">
        <v>88.505747126436788</v>
      </c>
      <c r="L40">
        <v>21.623713239628788</v>
      </c>
      <c r="M40">
        <v>62.54663002066313</v>
      </c>
      <c r="N40">
        <v>65.948953974576114</v>
      </c>
      <c r="O40">
        <v>11.126842105263158</v>
      </c>
      <c r="P40">
        <v>0.5731578947368412</v>
      </c>
      <c r="Q40">
        <v>39</v>
      </c>
      <c r="R40">
        <v>5</v>
      </c>
      <c r="S40" t="s">
        <v>24</v>
      </c>
      <c r="T40" t="s">
        <v>74</v>
      </c>
      <c r="U40">
        <v>5000</v>
      </c>
      <c r="V40">
        <v>1000</v>
      </c>
    </row>
    <row r="41" spans="1:22" x14ac:dyDescent="0.3">
      <c r="A41" t="s">
        <v>76</v>
      </c>
      <c r="B41" t="s">
        <v>77</v>
      </c>
      <c r="C41">
        <v>10.1</v>
      </c>
      <c r="D41">
        <v>25.48</v>
      </c>
      <c r="E41">
        <v>13.97</v>
      </c>
      <c r="F41">
        <v>1.74</v>
      </c>
      <c r="G41">
        <v>73.984962406015029</v>
      </c>
      <c r="H41">
        <v>63.400823610157865</v>
      </c>
      <c r="I41">
        <v>66.477675407512393</v>
      </c>
      <c r="J41">
        <v>67.056077268006561</v>
      </c>
      <c r="K41">
        <v>37.931034482758605</v>
      </c>
      <c r="L41">
        <v>5.4444217493801128</v>
      </c>
      <c r="M41">
        <v>90.569984912240614</v>
      </c>
      <c r="N41">
        <v>65.653293482753085</v>
      </c>
      <c r="O41">
        <v>9.0435999999999996</v>
      </c>
      <c r="P41">
        <v>4.926400000000001</v>
      </c>
      <c r="Q41">
        <v>40</v>
      </c>
      <c r="R41">
        <v>1</v>
      </c>
      <c r="S41" t="s">
        <v>24</v>
      </c>
      <c r="T41" t="s">
        <v>78</v>
      </c>
      <c r="U41">
        <v>1000</v>
      </c>
      <c r="V41">
        <v>1000</v>
      </c>
    </row>
    <row r="42" spans="1:22" x14ac:dyDescent="0.3">
      <c r="A42" t="s">
        <v>79</v>
      </c>
      <c r="B42" t="s">
        <v>58</v>
      </c>
      <c r="C42">
        <v>12.62</v>
      </c>
      <c r="D42">
        <v>10.11</v>
      </c>
      <c r="E42">
        <v>11.47</v>
      </c>
      <c r="F42">
        <v>0.45</v>
      </c>
      <c r="G42">
        <v>79.398496240601503</v>
      </c>
      <c r="H42">
        <v>37.028140013726841</v>
      </c>
      <c r="I42">
        <v>57.618710134656268</v>
      </c>
      <c r="J42">
        <v>55.797496319566491</v>
      </c>
      <c r="K42">
        <v>87.356321839080465</v>
      </c>
      <c r="L42">
        <v>21.18795942478453</v>
      </c>
      <c r="M42">
        <v>63.301377767565349</v>
      </c>
      <c r="N42">
        <v>65.563173061444701</v>
      </c>
      <c r="O42">
        <v>11.126842105263158</v>
      </c>
      <c r="P42">
        <v>0.34315789473684255</v>
      </c>
      <c r="Q42">
        <v>41</v>
      </c>
      <c r="R42">
        <v>6</v>
      </c>
      <c r="S42" t="s">
        <v>24</v>
      </c>
      <c r="T42" t="s">
        <v>59</v>
      </c>
      <c r="U42">
        <v>1000</v>
      </c>
      <c r="V42">
        <v>1000</v>
      </c>
    </row>
    <row r="43" spans="1:22" x14ac:dyDescent="0.3">
      <c r="A43" t="s">
        <v>80</v>
      </c>
      <c r="B43" t="s">
        <v>58</v>
      </c>
      <c r="C43">
        <v>12.62</v>
      </c>
      <c r="D43">
        <v>10.11</v>
      </c>
      <c r="E43">
        <v>11.47</v>
      </c>
      <c r="F43">
        <v>0.45</v>
      </c>
      <c r="G43">
        <v>79.398496240601503</v>
      </c>
      <c r="H43">
        <v>37.028140013726841</v>
      </c>
      <c r="I43">
        <v>57.618710134656268</v>
      </c>
      <c r="J43">
        <v>55.797496319566491</v>
      </c>
      <c r="K43">
        <v>87.356321839080465</v>
      </c>
      <c r="L43">
        <v>21.18795942478453</v>
      </c>
      <c r="M43">
        <v>63.301377767565349</v>
      </c>
      <c r="N43">
        <v>65.563173061444701</v>
      </c>
      <c r="O43">
        <v>11.126842105263158</v>
      </c>
      <c r="P43">
        <v>0.34315789473684255</v>
      </c>
      <c r="Q43">
        <v>41</v>
      </c>
      <c r="R43">
        <v>6</v>
      </c>
      <c r="S43" t="s">
        <v>24</v>
      </c>
      <c r="T43" t="s">
        <v>59</v>
      </c>
      <c r="U43">
        <v>1000</v>
      </c>
      <c r="V43">
        <v>1000</v>
      </c>
    </row>
    <row r="44" spans="1:22" x14ac:dyDescent="0.3">
      <c r="A44" t="s">
        <v>81</v>
      </c>
      <c r="B44" t="s">
        <v>28</v>
      </c>
      <c r="C44">
        <v>4.4400000000000004</v>
      </c>
      <c r="D44">
        <v>15.3</v>
      </c>
      <c r="E44">
        <v>12.21</v>
      </c>
      <c r="F44">
        <v>1.04</v>
      </c>
      <c r="G44">
        <v>61.825993555316863</v>
      </c>
      <c r="H44">
        <v>45.9334248455731</v>
      </c>
      <c r="I44">
        <v>60.240963855421683</v>
      </c>
      <c r="J44">
        <v>56.265708092446147</v>
      </c>
      <c r="K44">
        <v>64.750957854406124</v>
      </c>
      <c r="L44">
        <v>8.7539679751700348</v>
      </c>
      <c r="M44">
        <v>84.83768269917465</v>
      </c>
      <c r="N44">
        <v>65.530014184618267</v>
      </c>
      <c r="O44">
        <v>11.520799999999999</v>
      </c>
      <c r="P44">
        <v>0.68920000000000137</v>
      </c>
      <c r="Q44">
        <v>43</v>
      </c>
      <c r="R44">
        <v>20</v>
      </c>
      <c r="S44" t="s">
        <v>24</v>
      </c>
      <c r="T44" t="s">
        <v>29</v>
      </c>
      <c r="U44">
        <v>5000</v>
      </c>
      <c r="V44">
        <v>1000</v>
      </c>
    </row>
    <row r="45" spans="1:22" x14ac:dyDescent="0.3">
      <c r="A45" t="s">
        <v>82</v>
      </c>
      <c r="B45" t="s">
        <v>28</v>
      </c>
      <c r="C45">
        <v>4.43</v>
      </c>
      <c r="D45">
        <v>15.29</v>
      </c>
      <c r="E45">
        <v>12.21</v>
      </c>
      <c r="F45">
        <v>1.04</v>
      </c>
      <c r="G45">
        <v>61.804511278195484</v>
      </c>
      <c r="H45">
        <v>45.916266300617707</v>
      </c>
      <c r="I45">
        <v>60.240963855421683</v>
      </c>
      <c r="J45">
        <v>56.256264073535249</v>
      </c>
      <c r="K45">
        <v>64.750957854406124</v>
      </c>
      <c r="L45">
        <v>8.7566923839940376</v>
      </c>
      <c r="M45">
        <v>84.832963884670889</v>
      </c>
      <c r="N45">
        <v>65.524112471536881</v>
      </c>
      <c r="O45">
        <v>11.520799999999999</v>
      </c>
      <c r="P45">
        <v>0.68920000000000137</v>
      </c>
      <c r="Q45">
        <v>44</v>
      </c>
      <c r="R45">
        <v>21</v>
      </c>
      <c r="S45" t="s">
        <v>24</v>
      </c>
      <c r="T45" t="s">
        <v>29</v>
      </c>
      <c r="U45">
        <v>5000</v>
      </c>
      <c r="V45">
        <v>1000</v>
      </c>
    </row>
    <row r="46" spans="1:22" x14ac:dyDescent="0.3">
      <c r="A46" t="s">
        <v>83</v>
      </c>
      <c r="B46" t="s">
        <v>28</v>
      </c>
      <c r="C46">
        <v>4.1500000000000004</v>
      </c>
      <c r="D46">
        <v>14.04</v>
      </c>
      <c r="E46">
        <v>11.25</v>
      </c>
      <c r="F46">
        <v>0.9</v>
      </c>
      <c r="G46">
        <v>61.203007518796994</v>
      </c>
      <c r="H46">
        <v>43.771448181194238</v>
      </c>
      <c r="I46">
        <v>56.839121190644939</v>
      </c>
      <c r="J46">
        <v>53.791596553440144</v>
      </c>
      <c r="K46">
        <v>70.114942528735625</v>
      </c>
      <c r="L46">
        <v>9.0707115000912371</v>
      </c>
      <c r="M46">
        <v>84.289066821042667</v>
      </c>
      <c r="N46">
        <v>65.496800614164641</v>
      </c>
      <c r="O46">
        <v>11.520799999999999</v>
      </c>
      <c r="P46">
        <v>-0.27079999999999949</v>
      </c>
      <c r="Q46">
        <v>45</v>
      </c>
      <c r="R46">
        <v>22</v>
      </c>
      <c r="S46" t="s">
        <v>24</v>
      </c>
      <c r="T46" t="s">
        <v>29</v>
      </c>
      <c r="U46">
        <v>5000</v>
      </c>
      <c r="V46">
        <v>1000</v>
      </c>
    </row>
    <row r="47" spans="1:22" x14ac:dyDescent="0.3">
      <c r="A47" t="s">
        <v>84</v>
      </c>
      <c r="B47" t="s">
        <v>28</v>
      </c>
      <c r="C47">
        <v>4.16</v>
      </c>
      <c r="D47">
        <v>14.02</v>
      </c>
      <c r="E47">
        <v>11.24</v>
      </c>
      <c r="F47">
        <v>0.9</v>
      </c>
      <c r="G47">
        <v>61.224489795918366</v>
      </c>
      <c r="H47">
        <v>43.737131091283466</v>
      </c>
      <c r="I47">
        <v>56.80368532955351</v>
      </c>
      <c r="J47">
        <v>53.767879951345463</v>
      </c>
      <c r="K47">
        <v>70.114942528735625</v>
      </c>
      <c r="L47">
        <v>9.0929099326164948</v>
      </c>
      <c r="M47">
        <v>84.250618008060542</v>
      </c>
      <c r="N47">
        <v>65.475330109871777</v>
      </c>
      <c r="O47">
        <v>11.520799999999999</v>
      </c>
      <c r="P47">
        <v>-0.28079999999999927</v>
      </c>
      <c r="Q47">
        <v>46</v>
      </c>
      <c r="R47">
        <v>23</v>
      </c>
      <c r="S47" t="s">
        <v>24</v>
      </c>
      <c r="T47" t="s">
        <v>29</v>
      </c>
      <c r="U47">
        <v>5000</v>
      </c>
      <c r="V47">
        <v>1000</v>
      </c>
    </row>
    <row r="48" spans="1:22" x14ac:dyDescent="0.3">
      <c r="A48" t="s">
        <v>85</v>
      </c>
      <c r="B48" t="s">
        <v>86</v>
      </c>
      <c r="C48">
        <v>8.15</v>
      </c>
      <c r="D48">
        <v>17.09</v>
      </c>
      <c r="E48">
        <v>11.05</v>
      </c>
      <c r="F48">
        <v>1.01</v>
      </c>
      <c r="G48">
        <v>69.795918367346928</v>
      </c>
      <c r="H48">
        <v>49.004804392587516</v>
      </c>
      <c r="I48">
        <v>56.130403968816431</v>
      </c>
      <c r="J48">
        <v>56.72582697565386</v>
      </c>
      <c r="K48">
        <v>65.900383141762447</v>
      </c>
      <c r="L48">
        <v>10.565595687644514</v>
      </c>
      <c r="M48">
        <v>81.699851456769068</v>
      </c>
      <c r="N48">
        <v>65.262972137459812</v>
      </c>
      <c r="O48">
        <v>8.6526315789473696</v>
      </c>
      <c r="P48">
        <v>2.3973684210526311</v>
      </c>
      <c r="Q48">
        <v>47</v>
      </c>
      <c r="R48">
        <v>1</v>
      </c>
      <c r="S48" t="s">
        <v>24</v>
      </c>
      <c r="T48" t="s">
        <v>87</v>
      </c>
      <c r="U48">
        <v>5000</v>
      </c>
      <c r="V48">
        <v>1000</v>
      </c>
    </row>
    <row r="49" spans="1:22" x14ac:dyDescent="0.3">
      <c r="A49" t="s">
        <v>88</v>
      </c>
      <c r="B49" t="s">
        <v>86</v>
      </c>
      <c r="C49">
        <v>8.15</v>
      </c>
      <c r="D49">
        <v>17.09</v>
      </c>
      <c r="E49">
        <v>11.05</v>
      </c>
      <c r="F49">
        <v>1.01</v>
      </c>
      <c r="G49">
        <v>69.795918367346928</v>
      </c>
      <c r="H49">
        <v>49.004804392587516</v>
      </c>
      <c r="I49">
        <v>56.130403968816431</v>
      </c>
      <c r="J49">
        <v>56.72582697565386</v>
      </c>
      <c r="K49">
        <v>65.900383141762447</v>
      </c>
      <c r="L49">
        <v>10.565595687644514</v>
      </c>
      <c r="M49">
        <v>81.699851456769068</v>
      </c>
      <c r="N49">
        <v>65.262972137459812</v>
      </c>
      <c r="O49">
        <v>8.6526315789473696</v>
      </c>
      <c r="P49">
        <v>2.3973684210526311</v>
      </c>
      <c r="Q49">
        <v>47</v>
      </c>
      <c r="R49">
        <v>1</v>
      </c>
      <c r="S49" t="s">
        <v>24</v>
      </c>
      <c r="T49" t="s">
        <v>87</v>
      </c>
      <c r="U49">
        <v>5000</v>
      </c>
      <c r="V49">
        <v>1000</v>
      </c>
    </row>
    <row r="50" spans="1:22" x14ac:dyDescent="0.3">
      <c r="A50" t="s">
        <v>89</v>
      </c>
      <c r="B50" t="s">
        <v>58</v>
      </c>
      <c r="C50">
        <v>12.41</v>
      </c>
      <c r="D50">
        <v>10.119999999999999</v>
      </c>
      <c r="E50">
        <v>12</v>
      </c>
      <c r="F50">
        <v>0.54</v>
      </c>
      <c r="G50">
        <v>78.94736842105263</v>
      </c>
      <c r="H50">
        <v>37.045298558682227</v>
      </c>
      <c r="I50">
        <v>59.496810772501775</v>
      </c>
      <c r="J50">
        <v>56.651468638066085</v>
      </c>
      <c r="K50">
        <v>83.908045977011497</v>
      </c>
      <c r="L50">
        <v>20.968937551681289</v>
      </c>
      <c r="M50">
        <v>63.680734779749066</v>
      </c>
      <c r="N50">
        <v>65.222929508223189</v>
      </c>
      <c r="O50">
        <v>11.126842105263158</v>
      </c>
      <c r="P50">
        <v>0.87315789473684191</v>
      </c>
      <c r="Q50">
        <v>49</v>
      </c>
      <c r="R50">
        <v>8</v>
      </c>
      <c r="S50" t="s">
        <v>24</v>
      </c>
      <c r="T50" t="s">
        <v>59</v>
      </c>
      <c r="U50">
        <v>5000</v>
      </c>
      <c r="V50">
        <v>1000</v>
      </c>
    </row>
    <row r="51" spans="1:22" x14ac:dyDescent="0.3">
      <c r="A51" t="s">
        <v>90</v>
      </c>
      <c r="B51" t="s">
        <v>58</v>
      </c>
      <c r="C51">
        <v>12.41</v>
      </c>
      <c r="D51">
        <v>10.119999999999999</v>
      </c>
      <c r="E51">
        <v>12</v>
      </c>
      <c r="F51">
        <v>0.54</v>
      </c>
      <c r="G51">
        <v>78.94736842105263</v>
      </c>
      <c r="H51">
        <v>37.045298558682227</v>
      </c>
      <c r="I51">
        <v>59.496810772501775</v>
      </c>
      <c r="J51">
        <v>56.651468638066085</v>
      </c>
      <c r="K51">
        <v>83.908045977011497</v>
      </c>
      <c r="L51">
        <v>20.968937551681289</v>
      </c>
      <c r="M51">
        <v>63.680734779749066</v>
      </c>
      <c r="N51">
        <v>65.222929508223189</v>
      </c>
      <c r="O51">
        <v>11.126842105263158</v>
      </c>
      <c r="P51">
        <v>0.87315789473684191</v>
      </c>
      <c r="Q51">
        <v>49</v>
      </c>
      <c r="R51">
        <v>8</v>
      </c>
      <c r="S51" t="s">
        <v>24</v>
      </c>
      <c r="T51" t="s">
        <v>59</v>
      </c>
      <c r="U51">
        <v>5000</v>
      </c>
      <c r="V51">
        <v>1000</v>
      </c>
    </row>
    <row r="52" spans="1:22" x14ac:dyDescent="0.3">
      <c r="A52" t="s">
        <v>91</v>
      </c>
      <c r="B52" t="s">
        <v>35</v>
      </c>
      <c r="C52">
        <v>0.93</v>
      </c>
      <c r="D52">
        <v>12.62</v>
      </c>
      <c r="E52">
        <v>8.9600000000000009</v>
      </c>
      <c r="F52">
        <v>0.75</v>
      </c>
      <c r="G52">
        <v>54.285714285714285</v>
      </c>
      <c r="H52">
        <v>41.334934797529172</v>
      </c>
      <c r="I52">
        <v>48.724309000708715</v>
      </c>
      <c r="J52">
        <v>47.619777796755969</v>
      </c>
      <c r="K52">
        <v>75.862068965517238</v>
      </c>
      <c r="L52">
        <v>6.4968552547918579</v>
      </c>
      <c r="M52">
        <v>88.747116609279658</v>
      </c>
      <c r="N52">
        <v>64.962185292077208</v>
      </c>
      <c r="O52">
        <v>9.2084615384615383</v>
      </c>
      <c r="P52">
        <v>-0.2484615384615374</v>
      </c>
      <c r="Q52">
        <v>51</v>
      </c>
      <c r="R52">
        <v>4</v>
      </c>
      <c r="S52" t="s">
        <v>24</v>
      </c>
      <c r="T52" t="s">
        <v>87</v>
      </c>
      <c r="U52">
        <v>1000</v>
      </c>
      <c r="V52">
        <v>1000</v>
      </c>
    </row>
    <row r="53" spans="1:22" x14ac:dyDescent="0.3">
      <c r="A53" t="s">
        <v>92</v>
      </c>
      <c r="B53" t="s">
        <v>35</v>
      </c>
      <c r="C53">
        <v>0.93</v>
      </c>
      <c r="D53">
        <v>12.62</v>
      </c>
      <c r="E53">
        <v>8.9600000000000009</v>
      </c>
      <c r="F53">
        <v>0.75</v>
      </c>
      <c r="G53">
        <v>54.285714285714285</v>
      </c>
      <c r="H53">
        <v>41.334934797529172</v>
      </c>
      <c r="I53">
        <v>48.724309000708715</v>
      </c>
      <c r="J53">
        <v>47.619777796755969</v>
      </c>
      <c r="K53">
        <v>75.862068965517238</v>
      </c>
      <c r="L53">
        <v>6.4968552547918579</v>
      </c>
      <c r="M53">
        <v>88.747116609279658</v>
      </c>
      <c r="N53">
        <v>64.962185292077208</v>
      </c>
      <c r="O53">
        <v>9.2084615384615383</v>
      </c>
      <c r="P53">
        <v>-0.2484615384615374</v>
      </c>
      <c r="Q53">
        <v>51</v>
      </c>
      <c r="R53">
        <v>4</v>
      </c>
      <c r="S53" t="s">
        <v>24</v>
      </c>
      <c r="T53" t="s">
        <v>87</v>
      </c>
      <c r="U53">
        <v>1000</v>
      </c>
      <c r="V53">
        <v>1000</v>
      </c>
    </row>
    <row r="54" spans="1:22" x14ac:dyDescent="0.3">
      <c r="A54" t="s">
        <v>93</v>
      </c>
      <c r="B54" t="s">
        <v>77</v>
      </c>
      <c r="C54">
        <v>10.08</v>
      </c>
      <c r="D54">
        <v>25.12</v>
      </c>
      <c r="E54">
        <v>13.49</v>
      </c>
      <c r="F54">
        <v>1.74</v>
      </c>
      <c r="G54">
        <v>73.941997851772285</v>
      </c>
      <c r="H54">
        <v>62.783115991763907</v>
      </c>
      <c r="I54">
        <v>64.776754075124018</v>
      </c>
      <c r="J54">
        <v>66.011711405445638</v>
      </c>
      <c r="K54">
        <v>37.931034482758605</v>
      </c>
      <c r="L54">
        <v>5.951147377585233</v>
      </c>
      <c r="M54">
        <v>89.692310378692085</v>
      </c>
      <c r="N54">
        <v>64.911691918085495</v>
      </c>
      <c r="O54">
        <v>9.0435999999999996</v>
      </c>
      <c r="P54">
        <v>4.4464000000000006</v>
      </c>
      <c r="Q54">
        <v>53</v>
      </c>
      <c r="R54">
        <v>2</v>
      </c>
      <c r="S54" t="s">
        <v>24</v>
      </c>
      <c r="T54" t="s">
        <v>78</v>
      </c>
      <c r="U54">
        <v>1000</v>
      </c>
      <c r="V54">
        <v>1000</v>
      </c>
    </row>
    <row r="55" spans="1:22" x14ac:dyDescent="0.3">
      <c r="A55" t="s">
        <v>94</v>
      </c>
      <c r="B55" t="s">
        <v>58</v>
      </c>
      <c r="C55">
        <v>12.6</v>
      </c>
      <c r="D55">
        <v>10.09</v>
      </c>
      <c r="E55">
        <v>11.5</v>
      </c>
      <c r="F55">
        <v>0.53</v>
      </c>
      <c r="G55">
        <v>79.355531686358745</v>
      </c>
      <c r="H55">
        <v>36.993822923816069</v>
      </c>
      <c r="I55">
        <v>57.725017717930548</v>
      </c>
      <c r="J55">
        <v>55.831762073381839</v>
      </c>
      <c r="K55">
        <v>84.291187739463595</v>
      </c>
      <c r="L55">
        <v>21.182445331816517</v>
      </c>
      <c r="M55">
        <v>63.310928456743603</v>
      </c>
      <c r="N55">
        <v>64.816410085742717</v>
      </c>
      <c r="O55">
        <v>11.126842105263158</v>
      </c>
      <c r="P55">
        <v>0.37315789473684191</v>
      </c>
      <c r="Q55">
        <v>54</v>
      </c>
      <c r="R55">
        <v>10</v>
      </c>
      <c r="S55" t="s">
        <v>24</v>
      </c>
      <c r="T55" t="s">
        <v>59</v>
      </c>
      <c r="U55">
        <v>1000</v>
      </c>
      <c r="V55">
        <v>1000</v>
      </c>
    </row>
    <row r="56" spans="1:22" x14ac:dyDescent="0.3">
      <c r="A56" t="s">
        <v>95</v>
      </c>
      <c r="B56" t="s">
        <v>58</v>
      </c>
      <c r="C56">
        <v>12.6</v>
      </c>
      <c r="D56">
        <v>10.09</v>
      </c>
      <c r="E56">
        <v>11.5</v>
      </c>
      <c r="F56">
        <v>0.53</v>
      </c>
      <c r="G56">
        <v>79.355531686358745</v>
      </c>
      <c r="H56">
        <v>36.993822923816069</v>
      </c>
      <c r="I56">
        <v>57.725017717930548</v>
      </c>
      <c r="J56">
        <v>55.831762073381839</v>
      </c>
      <c r="K56">
        <v>84.291187739463595</v>
      </c>
      <c r="L56">
        <v>21.182445331816517</v>
      </c>
      <c r="M56">
        <v>63.310928456743603</v>
      </c>
      <c r="N56">
        <v>64.816410085742717</v>
      </c>
      <c r="O56">
        <v>11.126842105263158</v>
      </c>
      <c r="P56">
        <v>0.37315789473684191</v>
      </c>
      <c r="Q56">
        <v>54</v>
      </c>
      <c r="R56">
        <v>10</v>
      </c>
      <c r="S56" t="s">
        <v>24</v>
      </c>
      <c r="T56" t="s">
        <v>59</v>
      </c>
      <c r="U56">
        <v>1000</v>
      </c>
      <c r="V56">
        <v>1000</v>
      </c>
    </row>
    <row r="57" spans="1:22" x14ac:dyDescent="0.3">
      <c r="A57" t="s">
        <v>96</v>
      </c>
      <c r="B57" t="s">
        <v>58</v>
      </c>
      <c r="C57">
        <v>13.3</v>
      </c>
      <c r="D57">
        <v>9.9</v>
      </c>
      <c r="E57">
        <v>11.56</v>
      </c>
      <c r="F57">
        <v>0.51</v>
      </c>
      <c r="G57">
        <v>80.859291084854988</v>
      </c>
      <c r="H57">
        <v>36.667810569663693</v>
      </c>
      <c r="I57">
        <v>57.937632884479086</v>
      </c>
      <c r="J57">
        <v>56.141017830109647</v>
      </c>
      <c r="K57">
        <v>85.057471264367805</v>
      </c>
      <c r="L57">
        <v>22.10088499767679</v>
      </c>
      <c r="M57">
        <v>61.72014429178703</v>
      </c>
      <c r="N57">
        <v>64.764912804093541</v>
      </c>
      <c r="O57">
        <v>11.126842105263158</v>
      </c>
      <c r="P57">
        <v>0.43315789473684241</v>
      </c>
      <c r="Q57">
        <v>56</v>
      </c>
      <c r="R57">
        <v>12</v>
      </c>
      <c r="S57" t="s">
        <v>24</v>
      </c>
      <c r="T57" t="s">
        <v>59</v>
      </c>
      <c r="U57">
        <v>1000</v>
      </c>
      <c r="V57">
        <v>1000</v>
      </c>
    </row>
    <row r="58" spans="1:22" x14ac:dyDescent="0.3">
      <c r="A58" t="s">
        <v>97</v>
      </c>
      <c r="B58" t="s">
        <v>58</v>
      </c>
      <c r="C58">
        <v>13.3</v>
      </c>
      <c r="D58">
        <v>9.89</v>
      </c>
      <c r="E58">
        <v>11.55</v>
      </c>
      <c r="F58">
        <v>0.51</v>
      </c>
      <c r="G58">
        <v>80.859291084854988</v>
      </c>
      <c r="H58">
        <v>36.650652024708307</v>
      </c>
      <c r="I58">
        <v>57.902197023387671</v>
      </c>
      <c r="J58">
        <v>56.11815233607733</v>
      </c>
      <c r="K58">
        <v>85.057471264367805</v>
      </c>
      <c r="L58">
        <v>22.109802125333001</v>
      </c>
      <c r="M58">
        <v>61.704699373628898</v>
      </c>
      <c r="N58">
        <v>64.749618827537844</v>
      </c>
      <c r="O58">
        <v>11.126842105263158</v>
      </c>
      <c r="P58">
        <v>0.42315789473684262</v>
      </c>
      <c r="Q58">
        <v>57</v>
      </c>
      <c r="R58">
        <v>13</v>
      </c>
      <c r="S58" t="s">
        <v>24</v>
      </c>
      <c r="T58" t="s">
        <v>59</v>
      </c>
      <c r="U58">
        <v>1000</v>
      </c>
      <c r="V58">
        <v>1000</v>
      </c>
    </row>
    <row r="59" spans="1:22" x14ac:dyDescent="0.3">
      <c r="A59" t="s">
        <v>98</v>
      </c>
      <c r="B59" t="s">
        <v>58</v>
      </c>
      <c r="C59">
        <v>12.87</v>
      </c>
      <c r="D59">
        <v>10.26</v>
      </c>
      <c r="E59">
        <v>11.95</v>
      </c>
      <c r="F59">
        <v>0.6</v>
      </c>
      <c r="G59">
        <v>79.935553168635877</v>
      </c>
      <c r="H59">
        <v>37.285518188057651</v>
      </c>
      <c r="I59">
        <v>59.319631467044644</v>
      </c>
      <c r="J59">
        <v>56.832581823666793</v>
      </c>
      <c r="K59">
        <v>81.609195402298852</v>
      </c>
      <c r="L59">
        <v>21.328946916658893</v>
      </c>
      <c r="M59">
        <v>63.057180268407251</v>
      </c>
      <c r="N59">
        <v>64.582884829509922</v>
      </c>
      <c r="O59">
        <v>11.126842105263158</v>
      </c>
      <c r="P59">
        <v>0.8231578947368412</v>
      </c>
      <c r="Q59">
        <v>58</v>
      </c>
      <c r="R59">
        <v>14</v>
      </c>
      <c r="S59" t="s">
        <v>24</v>
      </c>
      <c r="T59" t="s">
        <v>59</v>
      </c>
      <c r="U59">
        <v>5000</v>
      </c>
      <c r="V59">
        <v>1000</v>
      </c>
    </row>
    <row r="60" spans="1:22" x14ac:dyDescent="0.3">
      <c r="A60" t="s">
        <v>99</v>
      </c>
      <c r="B60" t="s">
        <v>58</v>
      </c>
      <c r="C60">
        <v>12.87</v>
      </c>
      <c r="D60">
        <v>10.25</v>
      </c>
      <c r="E60">
        <v>11.94</v>
      </c>
      <c r="F60">
        <v>0.6</v>
      </c>
      <c r="G60">
        <v>79.935553168635877</v>
      </c>
      <c r="H60">
        <v>37.268359643102265</v>
      </c>
      <c r="I60">
        <v>59.284195605953215</v>
      </c>
      <c r="J60">
        <v>56.809716329634462</v>
      </c>
      <c r="K60">
        <v>81.609195402298852</v>
      </c>
      <c r="L60">
        <v>21.337232738690481</v>
      </c>
      <c r="M60">
        <v>63.042828803666062</v>
      </c>
      <c r="N60">
        <v>64.567864216308465</v>
      </c>
      <c r="O60">
        <v>11.126842105263158</v>
      </c>
      <c r="P60">
        <v>0.81315789473684141</v>
      </c>
      <c r="Q60">
        <v>59</v>
      </c>
      <c r="R60">
        <v>15</v>
      </c>
      <c r="S60" t="s">
        <v>24</v>
      </c>
      <c r="T60" t="s">
        <v>59</v>
      </c>
      <c r="U60">
        <v>5000</v>
      </c>
      <c r="V60">
        <v>1000</v>
      </c>
    </row>
    <row r="61" spans="1:22" x14ac:dyDescent="0.3">
      <c r="A61" t="s">
        <v>100</v>
      </c>
      <c r="B61" t="s">
        <v>28</v>
      </c>
      <c r="C61">
        <v>4.04</v>
      </c>
      <c r="D61">
        <v>14.07</v>
      </c>
      <c r="E61">
        <v>11.34</v>
      </c>
      <c r="F61">
        <v>1.01</v>
      </c>
      <c r="G61">
        <v>60.966702470461861</v>
      </c>
      <c r="H61">
        <v>43.822923816060403</v>
      </c>
      <c r="I61">
        <v>57.158043940467749</v>
      </c>
      <c r="J61">
        <v>53.91923960914437</v>
      </c>
      <c r="K61">
        <v>65.900383141762447</v>
      </c>
      <c r="L61">
        <v>9.0022261606188447</v>
      </c>
      <c r="M61">
        <v>84.407686908582463</v>
      </c>
      <c r="N61">
        <v>64.536637317158409</v>
      </c>
      <c r="O61">
        <v>11.520799999999999</v>
      </c>
      <c r="P61">
        <v>-0.18079999999999963</v>
      </c>
      <c r="Q61">
        <v>60</v>
      </c>
      <c r="R61">
        <v>24</v>
      </c>
      <c r="S61" t="s">
        <v>24</v>
      </c>
      <c r="T61" t="s">
        <v>29</v>
      </c>
      <c r="U61">
        <v>5000</v>
      </c>
      <c r="V61">
        <v>1000</v>
      </c>
    </row>
    <row r="62" spans="1:22" x14ac:dyDescent="0.3">
      <c r="A62" t="s">
        <v>101</v>
      </c>
      <c r="B62" t="s">
        <v>28</v>
      </c>
      <c r="C62">
        <v>4.04</v>
      </c>
      <c r="D62">
        <v>14.07</v>
      </c>
      <c r="E62">
        <v>11.34</v>
      </c>
      <c r="F62">
        <v>1.01</v>
      </c>
      <c r="G62">
        <v>60.966702470461861</v>
      </c>
      <c r="H62">
        <v>43.822923816060403</v>
      </c>
      <c r="I62">
        <v>57.158043940467749</v>
      </c>
      <c r="J62">
        <v>53.91923960914437</v>
      </c>
      <c r="K62">
        <v>65.900383141762447</v>
      </c>
      <c r="L62">
        <v>9.0022261606188447</v>
      </c>
      <c r="M62">
        <v>84.407686908582463</v>
      </c>
      <c r="N62">
        <v>64.536637317158409</v>
      </c>
      <c r="O62">
        <v>11.520799999999999</v>
      </c>
      <c r="P62">
        <v>-0.18079999999999963</v>
      </c>
      <c r="Q62">
        <v>60</v>
      </c>
      <c r="R62">
        <v>24</v>
      </c>
      <c r="S62" t="s">
        <v>24</v>
      </c>
      <c r="T62" t="s">
        <v>29</v>
      </c>
      <c r="U62">
        <v>5000</v>
      </c>
      <c r="V62">
        <v>1000</v>
      </c>
    </row>
    <row r="63" spans="1:22" x14ac:dyDescent="0.3">
      <c r="A63" t="s">
        <v>102</v>
      </c>
      <c r="B63" t="s">
        <v>23</v>
      </c>
      <c r="C63">
        <v>5.58</v>
      </c>
      <c r="D63">
        <v>14.22</v>
      </c>
      <c r="E63">
        <v>12.39</v>
      </c>
      <c r="F63">
        <v>1.08</v>
      </c>
      <c r="G63">
        <v>64.274973147153588</v>
      </c>
      <c r="H63">
        <v>44.080301990391227</v>
      </c>
      <c r="I63">
        <v>60.878809355067332</v>
      </c>
      <c r="J63">
        <v>56.518489904081754</v>
      </c>
      <c r="K63">
        <v>63.218390804597703</v>
      </c>
      <c r="L63">
        <v>10.813174998688133</v>
      </c>
      <c r="M63">
        <v>81.271031511138631</v>
      </c>
      <c r="N63">
        <v>64.381600530974964</v>
      </c>
      <c r="O63">
        <v>12.6</v>
      </c>
      <c r="P63">
        <v>-0.20999999999999908</v>
      </c>
      <c r="Q63">
        <v>62</v>
      </c>
      <c r="R63">
        <v>9</v>
      </c>
      <c r="S63" t="s">
        <v>24</v>
      </c>
      <c r="T63" t="s">
        <v>25</v>
      </c>
      <c r="U63">
        <v>5000</v>
      </c>
      <c r="V63">
        <v>1000</v>
      </c>
    </row>
    <row r="64" spans="1:22" x14ac:dyDescent="0.3">
      <c r="A64" t="s">
        <v>103</v>
      </c>
      <c r="B64" t="s">
        <v>23</v>
      </c>
      <c r="C64">
        <v>5.58</v>
      </c>
      <c r="D64">
        <v>14.22</v>
      </c>
      <c r="E64">
        <v>12.39</v>
      </c>
      <c r="F64">
        <v>1.08</v>
      </c>
      <c r="G64">
        <v>64.274973147153588</v>
      </c>
      <c r="H64">
        <v>44.080301990391227</v>
      </c>
      <c r="I64">
        <v>60.878809355067332</v>
      </c>
      <c r="J64">
        <v>56.518489904081754</v>
      </c>
      <c r="K64">
        <v>63.218390804597703</v>
      </c>
      <c r="L64">
        <v>10.813174998688133</v>
      </c>
      <c r="M64">
        <v>81.271031511138631</v>
      </c>
      <c r="N64">
        <v>64.381600530974964</v>
      </c>
      <c r="O64">
        <v>12.6</v>
      </c>
      <c r="P64">
        <v>-0.20999999999999908</v>
      </c>
      <c r="Q64">
        <v>62</v>
      </c>
      <c r="R64">
        <v>9</v>
      </c>
      <c r="S64" t="s">
        <v>24</v>
      </c>
      <c r="T64" t="s">
        <v>25</v>
      </c>
      <c r="U64">
        <v>5000</v>
      </c>
      <c r="V64">
        <v>1000</v>
      </c>
    </row>
    <row r="65" spans="1:22" x14ac:dyDescent="0.3">
      <c r="A65" t="s">
        <v>104</v>
      </c>
      <c r="B65" t="s">
        <v>51</v>
      </c>
      <c r="C65">
        <v>7.19</v>
      </c>
      <c r="D65">
        <v>46.81</v>
      </c>
      <c r="E65">
        <v>23.43</v>
      </c>
      <c r="F65">
        <v>2.67</v>
      </c>
      <c r="G65">
        <v>67.733619763694946</v>
      </c>
      <c r="H65">
        <v>100.00000000000003</v>
      </c>
      <c r="I65">
        <v>100</v>
      </c>
      <c r="J65">
        <v>93.546723952739001</v>
      </c>
      <c r="K65">
        <v>2.2988505747126409</v>
      </c>
      <c r="L65">
        <v>18.629003315205551</v>
      </c>
      <c r="M65">
        <v>67.733619763694932</v>
      </c>
      <c r="N65">
        <v>64.281479560971391</v>
      </c>
      <c r="O65">
        <v>12.127586206896551</v>
      </c>
      <c r="P65">
        <v>11.302413793103449</v>
      </c>
      <c r="Q65">
        <v>64</v>
      </c>
      <c r="R65">
        <v>3</v>
      </c>
      <c r="S65" t="s">
        <v>24</v>
      </c>
      <c r="T65" t="s">
        <v>52</v>
      </c>
      <c r="U65">
        <v>5000</v>
      </c>
      <c r="V65">
        <v>1000</v>
      </c>
    </row>
    <row r="66" spans="1:22" x14ac:dyDescent="0.3">
      <c r="A66" t="s">
        <v>105</v>
      </c>
      <c r="B66" t="s">
        <v>106</v>
      </c>
      <c r="C66">
        <v>14.48</v>
      </c>
      <c r="D66">
        <v>29.38</v>
      </c>
      <c r="E66">
        <v>13.69</v>
      </c>
      <c r="F66">
        <v>1.91</v>
      </c>
      <c r="G66">
        <v>83.394199785177221</v>
      </c>
      <c r="H66">
        <v>70.092656142759097</v>
      </c>
      <c r="I66">
        <v>65.485471296952497</v>
      </c>
      <c r="J66">
        <v>70.449372448339432</v>
      </c>
      <c r="K66">
        <v>31.417624521072796</v>
      </c>
      <c r="L66">
        <v>9.2994603027947793</v>
      </c>
      <c r="M66">
        <v>83.892862272589582</v>
      </c>
      <c r="N66">
        <v>64.052307922585314</v>
      </c>
      <c r="O66">
        <v>12.436666666666667</v>
      </c>
      <c r="P66">
        <v>1.2533333333333321</v>
      </c>
      <c r="Q66">
        <v>65</v>
      </c>
      <c r="R66">
        <v>1</v>
      </c>
      <c r="S66" t="s">
        <v>24</v>
      </c>
      <c r="T66" t="s">
        <v>107</v>
      </c>
      <c r="U66">
        <v>5000</v>
      </c>
      <c r="V66">
        <v>1000</v>
      </c>
    </row>
    <row r="67" spans="1:22" x14ac:dyDescent="0.3">
      <c r="A67" t="s">
        <v>108</v>
      </c>
      <c r="B67" t="s">
        <v>106</v>
      </c>
      <c r="C67">
        <v>14.48</v>
      </c>
      <c r="D67">
        <v>29.38</v>
      </c>
      <c r="E67">
        <v>13.69</v>
      </c>
      <c r="F67">
        <v>1.91</v>
      </c>
      <c r="G67">
        <v>83.394199785177221</v>
      </c>
      <c r="H67">
        <v>70.092656142759097</v>
      </c>
      <c r="I67">
        <v>65.485471296952497</v>
      </c>
      <c r="J67">
        <v>70.449372448339432</v>
      </c>
      <c r="K67">
        <v>31.417624521072796</v>
      </c>
      <c r="L67">
        <v>9.2994603027947793</v>
      </c>
      <c r="M67">
        <v>83.892862272589582</v>
      </c>
      <c r="N67">
        <v>64.052307922585314</v>
      </c>
      <c r="O67">
        <v>12.436666666666667</v>
      </c>
      <c r="P67">
        <v>1.2533333333333321</v>
      </c>
      <c r="Q67">
        <v>65</v>
      </c>
      <c r="R67">
        <v>1</v>
      </c>
      <c r="S67" t="s">
        <v>24</v>
      </c>
      <c r="T67" t="s">
        <v>107</v>
      </c>
      <c r="U67">
        <v>5000</v>
      </c>
      <c r="V67">
        <v>1000</v>
      </c>
    </row>
    <row r="68" spans="1:22" x14ac:dyDescent="0.3">
      <c r="A68" t="s">
        <v>109</v>
      </c>
      <c r="B68" t="s">
        <v>51</v>
      </c>
      <c r="C68">
        <v>7.09</v>
      </c>
      <c r="D68">
        <v>46.69</v>
      </c>
      <c r="E68">
        <v>23.04</v>
      </c>
      <c r="F68">
        <v>2.67</v>
      </c>
      <c r="G68">
        <v>67.518796992481199</v>
      </c>
      <c r="H68">
        <v>99.794097460535355</v>
      </c>
      <c r="I68">
        <v>98.618001417434442</v>
      </c>
      <c r="J68">
        <v>92.750989345374066</v>
      </c>
      <c r="K68">
        <v>2.2988505747126409</v>
      </c>
      <c r="L68">
        <v>18.304092156631743</v>
      </c>
      <c r="M68">
        <v>68.296382398290831</v>
      </c>
      <c r="N68">
        <v>64.024302915937909</v>
      </c>
      <c r="O68">
        <v>12.127586206896551</v>
      </c>
      <c r="P68">
        <v>10.912413793103449</v>
      </c>
      <c r="Q68">
        <v>67</v>
      </c>
      <c r="R68">
        <v>4</v>
      </c>
      <c r="S68" t="s">
        <v>24</v>
      </c>
      <c r="T68" t="s">
        <v>52</v>
      </c>
      <c r="U68">
        <v>5000</v>
      </c>
      <c r="V68">
        <v>1000</v>
      </c>
    </row>
    <row r="69" spans="1:22" x14ac:dyDescent="0.3">
      <c r="A69" t="s">
        <v>110</v>
      </c>
      <c r="B69" t="s">
        <v>58</v>
      </c>
      <c r="C69">
        <v>11.82</v>
      </c>
      <c r="D69">
        <v>10.02</v>
      </c>
      <c r="E69">
        <v>11.48</v>
      </c>
      <c r="F69">
        <v>0.65</v>
      </c>
      <c r="G69">
        <v>77.679914070891513</v>
      </c>
      <c r="H69">
        <v>36.873713109128346</v>
      </c>
      <c r="I69">
        <v>57.654145995747697</v>
      </c>
      <c r="J69">
        <v>55.425169744790658</v>
      </c>
      <c r="K69">
        <v>79.693486590038304</v>
      </c>
      <c r="L69">
        <v>20.404263504173752</v>
      </c>
      <c r="M69">
        <v>64.658778919747675</v>
      </c>
      <c r="N69">
        <v>63.800651249841827</v>
      </c>
      <c r="O69">
        <v>11.126842105263158</v>
      </c>
      <c r="P69">
        <v>0.35315789473684234</v>
      </c>
      <c r="Q69">
        <v>68</v>
      </c>
      <c r="R69">
        <v>16</v>
      </c>
      <c r="S69" t="s">
        <v>24</v>
      </c>
      <c r="T69" t="s">
        <v>59</v>
      </c>
      <c r="U69">
        <v>1000</v>
      </c>
      <c r="V69">
        <v>1000</v>
      </c>
    </row>
    <row r="70" spans="1:22" x14ac:dyDescent="0.3">
      <c r="A70" t="s">
        <v>111</v>
      </c>
      <c r="B70" t="s">
        <v>44</v>
      </c>
      <c r="C70">
        <v>4.17</v>
      </c>
      <c r="D70">
        <v>10.97</v>
      </c>
      <c r="E70">
        <v>8.7200000000000006</v>
      </c>
      <c r="F70">
        <v>0.67</v>
      </c>
      <c r="G70">
        <v>61.245972073039731</v>
      </c>
      <c r="H70">
        <v>38.503774879890187</v>
      </c>
      <c r="I70">
        <v>47.873848334514527</v>
      </c>
      <c r="J70">
        <v>47.737251045832267</v>
      </c>
      <c r="K70">
        <v>78.927203065134094</v>
      </c>
      <c r="L70">
        <v>11.429636207360115</v>
      </c>
      <c r="M70">
        <v>80.203289376823435</v>
      </c>
      <c r="N70">
        <v>63.651248633405515</v>
      </c>
      <c r="O70">
        <v>7.5967647058823538</v>
      </c>
      <c r="P70">
        <v>1.1232352941176469</v>
      </c>
      <c r="Q70">
        <v>69</v>
      </c>
      <c r="R70">
        <v>3</v>
      </c>
      <c r="S70" t="s">
        <v>24</v>
      </c>
      <c r="T70" t="s">
        <v>112</v>
      </c>
      <c r="U70">
        <v>1000</v>
      </c>
      <c r="V70">
        <v>1000</v>
      </c>
    </row>
    <row r="71" spans="1:22" x14ac:dyDescent="0.3">
      <c r="A71" t="s">
        <v>113</v>
      </c>
      <c r="B71" t="s">
        <v>44</v>
      </c>
      <c r="C71">
        <v>4.17</v>
      </c>
      <c r="D71">
        <v>10.97</v>
      </c>
      <c r="E71">
        <v>8.7200000000000006</v>
      </c>
      <c r="F71">
        <v>0.67</v>
      </c>
      <c r="G71">
        <v>61.245972073039731</v>
      </c>
      <c r="H71">
        <v>38.503774879890187</v>
      </c>
      <c r="I71">
        <v>47.873848334514527</v>
      </c>
      <c r="J71">
        <v>47.737251045832267</v>
      </c>
      <c r="K71">
        <v>78.927203065134094</v>
      </c>
      <c r="L71">
        <v>11.429636207360115</v>
      </c>
      <c r="M71">
        <v>80.203289376823435</v>
      </c>
      <c r="N71">
        <v>63.651248633405515</v>
      </c>
      <c r="O71">
        <v>7.5967647058823538</v>
      </c>
      <c r="P71">
        <v>1.1232352941176469</v>
      </c>
      <c r="Q71">
        <v>69</v>
      </c>
      <c r="R71">
        <v>3</v>
      </c>
      <c r="S71" t="s">
        <v>24</v>
      </c>
      <c r="T71" t="s">
        <v>112</v>
      </c>
      <c r="U71">
        <v>1000</v>
      </c>
      <c r="V71">
        <v>1000</v>
      </c>
    </row>
    <row r="72" spans="1:22" x14ac:dyDescent="0.3">
      <c r="A72" t="s">
        <v>114</v>
      </c>
      <c r="B72" t="s">
        <v>115</v>
      </c>
      <c r="C72">
        <v>-2.14</v>
      </c>
      <c r="D72">
        <v>13.92</v>
      </c>
      <c r="E72">
        <v>7.77</v>
      </c>
      <c r="F72">
        <v>0.95</v>
      </c>
      <c r="G72">
        <v>47.690655209452196</v>
      </c>
      <c r="H72">
        <v>43.565545641729585</v>
      </c>
      <c r="I72">
        <v>44.507441530829198</v>
      </c>
      <c r="J72">
        <v>44.861515499823909</v>
      </c>
      <c r="K72">
        <v>68.199233716475092</v>
      </c>
      <c r="L72">
        <v>2.161656237525289</v>
      </c>
      <c r="M72">
        <v>96.255901568108015</v>
      </c>
      <c r="N72">
        <v>63.544541571057735</v>
      </c>
      <c r="O72">
        <v>9.1675000000000004</v>
      </c>
      <c r="P72">
        <v>-1.3975000000000009</v>
      </c>
      <c r="Q72">
        <v>71</v>
      </c>
      <c r="R72">
        <v>1</v>
      </c>
      <c r="S72" t="s">
        <v>24</v>
      </c>
      <c r="T72" t="s">
        <v>116</v>
      </c>
      <c r="U72">
        <v>1000</v>
      </c>
      <c r="V72">
        <v>1000</v>
      </c>
    </row>
    <row r="73" spans="1:22" x14ac:dyDescent="0.3">
      <c r="A73" t="s">
        <v>117</v>
      </c>
      <c r="B73" t="s">
        <v>115</v>
      </c>
      <c r="C73">
        <v>-2.14</v>
      </c>
      <c r="D73">
        <v>13.92</v>
      </c>
      <c r="E73">
        <v>7.77</v>
      </c>
      <c r="F73">
        <v>0.95</v>
      </c>
      <c r="G73">
        <v>47.690655209452196</v>
      </c>
      <c r="H73">
        <v>43.565545641729585</v>
      </c>
      <c r="I73">
        <v>44.507441530829198</v>
      </c>
      <c r="J73">
        <v>44.861515499823909</v>
      </c>
      <c r="K73">
        <v>68.199233716475092</v>
      </c>
      <c r="L73">
        <v>2.161656237525289</v>
      </c>
      <c r="M73">
        <v>96.255901568108015</v>
      </c>
      <c r="N73">
        <v>63.544541571057735</v>
      </c>
      <c r="O73">
        <v>9.1675000000000004</v>
      </c>
      <c r="P73">
        <v>-1.3975000000000009</v>
      </c>
      <c r="Q73">
        <v>71</v>
      </c>
      <c r="R73">
        <v>1</v>
      </c>
      <c r="S73" t="s">
        <v>24</v>
      </c>
      <c r="T73" t="s">
        <v>116</v>
      </c>
      <c r="U73">
        <v>1000</v>
      </c>
      <c r="V73">
        <v>1000</v>
      </c>
    </row>
    <row r="74" spans="1:22" x14ac:dyDescent="0.3">
      <c r="A74" t="s">
        <v>118</v>
      </c>
      <c r="B74" t="s">
        <v>58</v>
      </c>
      <c r="C74">
        <v>12.08</v>
      </c>
      <c r="D74">
        <v>10.01</v>
      </c>
      <c r="E74">
        <v>11.28</v>
      </c>
      <c r="F74">
        <v>0.67</v>
      </c>
      <c r="G74">
        <v>78.238453276047267</v>
      </c>
      <c r="H74">
        <v>36.85655456417296</v>
      </c>
      <c r="I74">
        <v>56.94542877391919</v>
      </c>
      <c r="J74">
        <v>55.177371411420935</v>
      </c>
      <c r="K74">
        <v>78.927203065134094</v>
      </c>
      <c r="L74">
        <v>20.693869061725579</v>
      </c>
      <c r="M74">
        <v>64.157167379913602</v>
      </c>
      <c r="N74">
        <v>63.359778316972388</v>
      </c>
      <c r="O74">
        <v>11.126842105263158</v>
      </c>
      <c r="P74">
        <v>0.15315789473684127</v>
      </c>
      <c r="Q74">
        <v>73</v>
      </c>
      <c r="R74">
        <v>17</v>
      </c>
      <c r="S74" t="s">
        <v>24</v>
      </c>
      <c r="T74" t="s">
        <v>59</v>
      </c>
      <c r="U74">
        <v>5000</v>
      </c>
      <c r="V74">
        <v>1000</v>
      </c>
    </row>
    <row r="75" spans="1:22" x14ac:dyDescent="0.3">
      <c r="A75" t="s">
        <v>119</v>
      </c>
      <c r="B75" t="s">
        <v>51</v>
      </c>
      <c r="C75">
        <v>9.65</v>
      </c>
      <c r="D75">
        <v>24.58</v>
      </c>
      <c r="E75">
        <v>13.03</v>
      </c>
      <c r="F75">
        <v>1.83</v>
      </c>
      <c r="G75">
        <v>73.018259935553161</v>
      </c>
      <c r="H75">
        <v>61.85655456417296</v>
      </c>
      <c r="I75">
        <v>63.146704464918493</v>
      </c>
      <c r="J75">
        <v>64.733970588821762</v>
      </c>
      <c r="K75">
        <v>34.482758620689658</v>
      </c>
      <c r="L75">
        <v>6.1059501168083115</v>
      </c>
      <c r="M75">
        <v>89.424184169206882</v>
      </c>
      <c r="N75">
        <v>63.343720991885014</v>
      </c>
      <c r="O75">
        <v>12.127586206896551</v>
      </c>
      <c r="P75">
        <v>0.90241379310344882</v>
      </c>
      <c r="Q75">
        <v>74</v>
      </c>
      <c r="R75">
        <v>5</v>
      </c>
      <c r="S75" t="s">
        <v>24</v>
      </c>
      <c r="T75" t="s">
        <v>120</v>
      </c>
      <c r="U75">
        <v>5000</v>
      </c>
      <c r="V75">
        <v>1000</v>
      </c>
    </row>
    <row r="76" spans="1:22" x14ac:dyDescent="0.3">
      <c r="A76" t="s">
        <v>121</v>
      </c>
      <c r="B76" t="s">
        <v>51</v>
      </c>
      <c r="C76">
        <v>9.65</v>
      </c>
      <c r="D76">
        <v>24.58</v>
      </c>
      <c r="E76">
        <v>13.03</v>
      </c>
      <c r="F76">
        <v>1.83</v>
      </c>
      <c r="G76">
        <v>73.018259935553161</v>
      </c>
      <c r="H76">
        <v>61.85655456417296</v>
      </c>
      <c r="I76">
        <v>63.146704464918493</v>
      </c>
      <c r="J76">
        <v>64.733970588821762</v>
      </c>
      <c r="K76">
        <v>34.482758620689658</v>
      </c>
      <c r="L76">
        <v>6.1059501168083115</v>
      </c>
      <c r="M76">
        <v>89.424184169206882</v>
      </c>
      <c r="N76">
        <v>63.343720991885014</v>
      </c>
      <c r="O76">
        <v>12.127586206896551</v>
      </c>
      <c r="P76">
        <v>0.90241379310344882</v>
      </c>
      <c r="Q76">
        <v>74</v>
      </c>
      <c r="R76">
        <v>5</v>
      </c>
      <c r="S76" t="s">
        <v>24</v>
      </c>
      <c r="T76" t="s">
        <v>120</v>
      </c>
      <c r="U76">
        <v>5000</v>
      </c>
      <c r="V76">
        <v>1000</v>
      </c>
    </row>
    <row r="77" spans="1:22" x14ac:dyDescent="0.3">
      <c r="A77" t="s">
        <v>122</v>
      </c>
      <c r="B77" t="s">
        <v>123</v>
      </c>
      <c r="C77">
        <v>7.62</v>
      </c>
      <c r="D77">
        <v>28.31</v>
      </c>
      <c r="E77">
        <v>20.14</v>
      </c>
      <c r="F77">
        <v>2.31</v>
      </c>
      <c r="G77">
        <v>68.657357679914071</v>
      </c>
      <c r="H77">
        <v>68.256691832532596</v>
      </c>
      <c r="I77">
        <v>88.341601700921331</v>
      </c>
      <c r="J77">
        <v>78.379279936203261</v>
      </c>
      <c r="K77">
        <v>16.09195402298851</v>
      </c>
      <c r="L77">
        <v>11.482113628169083</v>
      </c>
      <c r="M77">
        <v>80.112395817732121</v>
      </c>
      <c r="N77">
        <v>63.240727428281787</v>
      </c>
      <c r="O77">
        <v>10.563571428571427</v>
      </c>
      <c r="P77">
        <v>9.5764285714285737</v>
      </c>
      <c r="Q77">
        <v>76</v>
      </c>
      <c r="R77">
        <v>1</v>
      </c>
      <c r="S77" t="s">
        <v>24</v>
      </c>
      <c r="T77" t="s">
        <v>45</v>
      </c>
      <c r="U77">
        <v>5000</v>
      </c>
      <c r="V77">
        <v>1000</v>
      </c>
    </row>
    <row r="78" spans="1:22" x14ac:dyDescent="0.3">
      <c r="A78" t="s">
        <v>124</v>
      </c>
      <c r="B78" t="s">
        <v>123</v>
      </c>
      <c r="C78">
        <v>7.61</v>
      </c>
      <c r="D78">
        <v>28.21</v>
      </c>
      <c r="E78">
        <v>20.079999999999998</v>
      </c>
      <c r="F78">
        <v>2.31</v>
      </c>
      <c r="G78">
        <v>68.635875402792692</v>
      </c>
      <c r="H78">
        <v>68.085106382978736</v>
      </c>
      <c r="I78">
        <v>88.128986534372771</v>
      </c>
      <c r="J78">
        <v>78.217200262638556</v>
      </c>
      <c r="K78">
        <v>16.09195402298851</v>
      </c>
      <c r="L78">
        <v>11.416668075119858</v>
      </c>
      <c r="M78">
        <v>80.225750840742833</v>
      </c>
      <c r="N78">
        <v>63.188026347252119</v>
      </c>
      <c r="O78">
        <v>10.563571428571427</v>
      </c>
      <c r="P78">
        <v>9.5164285714285715</v>
      </c>
      <c r="Q78">
        <v>77</v>
      </c>
      <c r="R78">
        <v>2</v>
      </c>
      <c r="S78" t="s">
        <v>24</v>
      </c>
      <c r="T78" t="s">
        <v>45</v>
      </c>
      <c r="U78">
        <v>5000</v>
      </c>
      <c r="V78">
        <v>1000</v>
      </c>
    </row>
    <row r="79" spans="1:22" x14ac:dyDescent="0.3">
      <c r="A79" t="s">
        <v>125</v>
      </c>
      <c r="B79" t="s">
        <v>126</v>
      </c>
      <c r="C79">
        <v>7.66</v>
      </c>
      <c r="D79">
        <v>20.37</v>
      </c>
      <c r="E79">
        <v>13.58</v>
      </c>
      <c r="F79">
        <v>1.69</v>
      </c>
      <c r="G79">
        <v>68.743286788399573</v>
      </c>
      <c r="H79">
        <v>54.632807137954707</v>
      </c>
      <c r="I79">
        <v>65.095676824946835</v>
      </c>
      <c r="J79">
        <v>62.686337911539745</v>
      </c>
      <c r="K79">
        <v>39.846743295019159</v>
      </c>
      <c r="L79">
        <v>7.3244150676359707</v>
      </c>
      <c r="M79">
        <v>87.313740967131466</v>
      </c>
      <c r="N79">
        <v>63.133290021307531</v>
      </c>
      <c r="O79">
        <v>11.362272727272726</v>
      </c>
      <c r="P79">
        <v>2.2177272727272737</v>
      </c>
      <c r="Q79">
        <v>78</v>
      </c>
      <c r="R79">
        <v>1</v>
      </c>
      <c r="S79" t="s">
        <v>24</v>
      </c>
      <c r="T79" t="s">
        <v>127</v>
      </c>
      <c r="U79">
        <v>1000</v>
      </c>
      <c r="V79">
        <v>1000</v>
      </c>
    </row>
    <row r="80" spans="1:22" x14ac:dyDescent="0.3">
      <c r="A80" t="s">
        <v>128</v>
      </c>
      <c r="B80" t="s">
        <v>126</v>
      </c>
      <c r="C80">
        <v>7.66</v>
      </c>
      <c r="D80">
        <v>20.37</v>
      </c>
      <c r="E80">
        <v>13.33</v>
      </c>
      <c r="F80">
        <v>1.69</v>
      </c>
      <c r="G80">
        <v>68.743286788399573</v>
      </c>
      <c r="H80">
        <v>54.632807137954707</v>
      </c>
      <c r="I80">
        <v>64.209780297661226</v>
      </c>
      <c r="J80">
        <v>62.24338964789694</v>
      </c>
      <c r="K80">
        <v>39.846743295019159</v>
      </c>
      <c r="L80">
        <v>7.2038963065011385</v>
      </c>
      <c r="M80">
        <v>87.522485584682244</v>
      </c>
      <c r="N80">
        <v>62.964002043873819</v>
      </c>
      <c r="O80">
        <v>11.362272727272726</v>
      </c>
      <c r="P80">
        <v>1.9677272727272737</v>
      </c>
      <c r="Q80">
        <v>79</v>
      </c>
      <c r="R80">
        <v>2</v>
      </c>
      <c r="S80" t="s">
        <v>24</v>
      </c>
      <c r="T80" t="s">
        <v>127</v>
      </c>
      <c r="U80">
        <v>1000</v>
      </c>
      <c r="V80">
        <v>1000</v>
      </c>
    </row>
    <row r="81" spans="1:22" x14ac:dyDescent="0.3">
      <c r="A81" t="s">
        <v>129</v>
      </c>
      <c r="B81" t="s">
        <v>126</v>
      </c>
      <c r="C81">
        <v>6.23</v>
      </c>
      <c r="D81">
        <v>23.05</v>
      </c>
      <c r="E81">
        <v>12.19</v>
      </c>
      <c r="F81">
        <v>1.8</v>
      </c>
      <c r="G81">
        <v>65.671321160042964</v>
      </c>
      <c r="H81">
        <v>59.231297185998635</v>
      </c>
      <c r="I81">
        <v>60.170092133238825</v>
      </c>
      <c r="J81">
        <v>60.988699454427596</v>
      </c>
      <c r="K81">
        <v>35.632183908045967</v>
      </c>
      <c r="L81">
        <v>3.4789549567023199</v>
      </c>
      <c r="M81">
        <v>93.974273257747996</v>
      </c>
      <c r="N81">
        <v>62.895964018662291</v>
      </c>
      <c r="O81">
        <v>11.362272727272726</v>
      </c>
      <c r="P81">
        <v>0.82772727272727309</v>
      </c>
      <c r="Q81">
        <v>80</v>
      </c>
      <c r="R81">
        <v>3</v>
      </c>
      <c r="S81" t="s">
        <v>24</v>
      </c>
      <c r="T81" t="s">
        <v>130</v>
      </c>
      <c r="U81">
        <v>5000</v>
      </c>
      <c r="V81">
        <v>1000</v>
      </c>
    </row>
    <row r="82" spans="1:22" x14ac:dyDescent="0.3">
      <c r="A82" t="s">
        <v>131</v>
      </c>
      <c r="B82" t="s">
        <v>126</v>
      </c>
      <c r="C82">
        <v>6.23</v>
      </c>
      <c r="D82">
        <v>23.05</v>
      </c>
      <c r="E82">
        <v>12.19</v>
      </c>
      <c r="F82">
        <v>1.8</v>
      </c>
      <c r="G82">
        <v>65.671321160042964</v>
      </c>
      <c r="H82">
        <v>59.231297185998635</v>
      </c>
      <c r="I82">
        <v>60.170092133238825</v>
      </c>
      <c r="J82">
        <v>60.988699454427596</v>
      </c>
      <c r="K82">
        <v>35.632183908045967</v>
      </c>
      <c r="L82">
        <v>3.4789549567023199</v>
      </c>
      <c r="M82">
        <v>93.974273257747996</v>
      </c>
      <c r="N82">
        <v>62.895964018662291</v>
      </c>
      <c r="O82">
        <v>11.362272727272726</v>
      </c>
      <c r="P82">
        <v>0.82772727272727309</v>
      </c>
      <c r="Q82">
        <v>80</v>
      </c>
      <c r="R82">
        <v>3</v>
      </c>
      <c r="S82" t="s">
        <v>24</v>
      </c>
      <c r="T82" t="s">
        <v>130</v>
      </c>
      <c r="U82">
        <v>5000</v>
      </c>
      <c r="V82">
        <v>1000</v>
      </c>
    </row>
    <row r="83" spans="1:22" x14ac:dyDescent="0.3">
      <c r="A83" t="s">
        <v>132</v>
      </c>
      <c r="B83" t="s">
        <v>126</v>
      </c>
      <c r="C83">
        <v>10.93</v>
      </c>
      <c r="D83">
        <v>31.73</v>
      </c>
      <c r="E83">
        <v>18.399999999999999</v>
      </c>
      <c r="F83">
        <v>2.68</v>
      </c>
      <c r="G83">
        <v>75.767991407089141</v>
      </c>
      <c r="H83">
        <v>74.124914207275225</v>
      </c>
      <c r="I83">
        <v>82.175761871013449</v>
      </c>
      <c r="J83">
        <v>78.478953479107119</v>
      </c>
      <c r="K83">
        <v>1.9157088122605304</v>
      </c>
      <c r="L83">
        <v>4.2539270701241128</v>
      </c>
      <c r="M83">
        <v>92.631982182852425</v>
      </c>
      <c r="N83">
        <v>62.876399488331799</v>
      </c>
      <c r="O83">
        <v>11.362272727272726</v>
      </c>
      <c r="P83">
        <v>7.0377272727272722</v>
      </c>
      <c r="Q83">
        <v>82</v>
      </c>
      <c r="R83">
        <v>5</v>
      </c>
      <c r="S83" t="s">
        <v>24</v>
      </c>
      <c r="T83" t="s">
        <v>127</v>
      </c>
      <c r="U83">
        <v>5000</v>
      </c>
      <c r="V83">
        <v>1000</v>
      </c>
    </row>
    <row r="84" spans="1:22" x14ac:dyDescent="0.3">
      <c r="A84" t="s">
        <v>133</v>
      </c>
      <c r="B84" t="s">
        <v>35</v>
      </c>
      <c r="C84">
        <v>4.24</v>
      </c>
      <c r="D84">
        <v>13.06</v>
      </c>
      <c r="E84">
        <v>9.69</v>
      </c>
      <c r="F84">
        <v>0.98</v>
      </c>
      <c r="G84">
        <v>61.396348012889369</v>
      </c>
      <c r="H84">
        <v>42.089910775566238</v>
      </c>
      <c r="I84">
        <v>51.311126860382707</v>
      </c>
      <c r="J84">
        <v>50.561806265439103</v>
      </c>
      <c r="K84">
        <v>67.049808429118769</v>
      </c>
      <c r="L84">
        <v>9.6564402566071852</v>
      </c>
      <c r="M84">
        <v>83.27455485530291</v>
      </c>
      <c r="N84">
        <v>62.861993953824971</v>
      </c>
      <c r="O84">
        <v>9.2084615384615383</v>
      </c>
      <c r="P84">
        <v>0.48153846153846125</v>
      </c>
      <c r="Q84">
        <v>83</v>
      </c>
      <c r="R84">
        <v>6</v>
      </c>
      <c r="S84" t="s">
        <v>24</v>
      </c>
      <c r="T84" t="s">
        <v>134</v>
      </c>
      <c r="U84">
        <v>1000</v>
      </c>
      <c r="V84">
        <v>1000</v>
      </c>
    </row>
    <row r="85" spans="1:22" x14ac:dyDescent="0.3">
      <c r="A85" t="s">
        <v>135</v>
      </c>
      <c r="B85" t="s">
        <v>35</v>
      </c>
      <c r="C85">
        <v>4.24</v>
      </c>
      <c r="D85">
        <v>13.06</v>
      </c>
      <c r="E85">
        <v>9.69</v>
      </c>
      <c r="F85">
        <v>0.98</v>
      </c>
      <c r="G85">
        <v>61.396348012889369</v>
      </c>
      <c r="H85">
        <v>42.089910775566238</v>
      </c>
      <c r="I85">
        <v>51.311126860382707</v>
      </c>
      <c r="J85">
        <v>50.561806265439103</v>
      </c>
      <c r="K85">
        <v>67.049808429118769</v>
      </c>
      <c r="L85">
        <v>9.6564402566071852</v>
      </c>
      <c r="M85">
        <v>83.27455485530291</v>
      </c>
      <c r="N85">
        <v>62.861993953824971</v>
      </c>
      <c r="O85">
        <v>9.2084615384615383</v>
      </c>
      <c r="P85">
        <v>0.48153846153846125</v>
      </c>
      <c r="Q85">
        <v>83</v>
      </c>
      <c r="R85">
        <v>6</v>
      </c>
      <c r="S85" t="s">
        <v>24</v>
      </c>
      <c r="T85" t="s">
        <v>134</v>
      </c>
      <c r="U85">
        <v>1000</v>
      </c>
      <c r="V85">
        <v>1000</v>
      </c>
    </row>
    <row r="86" spans="1:22" x14ac:dyDescent="0.3">
      <c r="A86" t="s">
        <v>136</v>
      </c>
      <c r="B86" t="s">
        <v>126</v>
      </c>
      <c r="C86">
        <v>1.23</v>
      </c>
      <c r="D86">
        <v>29.12</v>
      </c>
      <c r="E86">
        <v>16.77</v>
      </c>
      <c r="F86">
        <v>1.94</v>
      </c>
      <c r="G86">
        <v>54.930182599355525</v>
      </c>
      <c r="H86">
        <v>69.64653397391902</v>
      </c>
      <c r="I86">
        <v>76.399716513111258</v>
      </c>
      <c r="J86">
        <v>70.079854968602433</v>
      </c>
      <c r="K86">
        <v>30.268199233716466</v>
      </c>
      <c r="L86">
        <v>10.97814008732183</v>
      </c>
      <c r="M86">
        <v>80.985303596149961</v>
      </c>
      <c r="N86">
        <v>62.853303191767822</v>
      </c>
      <c r="O86">
        <v>11.362272727272726</v>
      </c>
      <c r="P86">
        <v>5.4077272727272732</v>
      </c>
      <c r="Q86">
        <v>85</v>
      </c>
      <c r="R86">
        <v>6</v>
      </c>
      <c r="S86" t="s">
        <v>24</v>
      </c>
      <c r="T86" t="s">
        <v>127</v>
      </c>
      <c r="U86">
        <v>5000</v>
      </c>
      <c r="V86">
        <v>1000</v>
      </c>
    </row>
    <row r="87" spans="1:22" x14ac:dyDescent="0.3">
      <c r="A87" t="s">
        <v>137</v>
      </c>
      <c r="B87" t="s">
        <v>138</v>
      </c>
      <c r="C87">
        <v>7.49</v>
      </c>
      <c r="D87">
        <v>27.54</v>
      </c>
      <c r="E87">
        <v>17.399999999999999</v>
      </c>
      <c r="F87">
        <v>2.31</v>
      </c>
      <c r="G87">
        <v>68.378088077336201</v>
      </c>
      <c r="H87">
        <v>66.935483870967744</v>
      </c>
      <c r="I87">
        <v>78.632175761870997</v>
      </c>
      <c r="J87">
        <v>73.072350657693065</v>
      </c>
      <c r="K87">
        <v>16.09195402298851</v>
      </c>
      <c r="L87">
        <v>6.3775651352884672</v>
      </c>
      <c r="M87">
        <v>88.953733157100487</v>
      </c>
      <c r="N87">
        <v>62.797597123868783</v>
      </c>
      <c r="O87">
        <v>9.219019607843137</v>
      </c>
      <c r="P87">
        <v>8.1809803921568616</v>
      </c>
      <c r="Q87">
        <v>86</v>
      </c>
      <c r="R87">
        <v>1</v>
      </c>
      <c r="S87" t="s">
        <v>24</v>
      </c>
      <c r="T87" t="s">
        <v>139</v>
      </c>
      <c r="U87">
        <v>5000</v>
      </c>
      <c r="V87">
        <v>1000</v>
      </c>
    </row>
    <row r="88" spans="1:22" x14ac:dyDescent="0.3">
      <c r="A88" t="s">
        <v>140</v>
      </c>
      <c r="B88" t="s">
        <v>44</v>
      </c>
      <c r="C88">
        <v>4.68</v>
      </c>
      <c r="D88">
        <v>8.9499999999999993</v>
      </c>
      <c r="E88">
        <v>7.59</v>
      </c>
      <c r="F88">
        <v>0.5</v>
      </c>
      <c r="G88">
        <v>62.341568206229859</v>
      </c>
      <c r="H88">
        <v>35.037748798901859</v>
      </c>
      <c r="I88">
        <v>43.869596031183555</v>
      </c>
      <c r="J88">
        <v>44.914436296508306</v>
      </c>
      <c r="K88">
        <v>85.440613026819918</v>
      </c>
      <c r="L88">
        <v>13.93265849122143</v>
      </c>
      <c r="M88">
        <v>75.867927608698551</v>
      </c>
      <c r="N88">
        <v>62.78435330713377</v>
      </c>
      <c r="O88">
        <v>7.5967647058823538</v>
      </c>
      <c r="P88">
        <v>-6.7647058823538941E-3</v>
      </c>
      <c r="Q88">
        <v>87</v>
      </c>
      <c r="R88">
        <v>5</v>
      </c>
      <c r="S88" t="s">
        <v>24</v>
      </c>
      <c r="T88" t="s">
        <v>141</v>
      </c>
      <c r="U88">
        <v>1000</v>
      </c>
      <c r="V88">
        <v>1000</v>
      </c>
    </row>
    <row r="89" spans="1:22" x14ac:dyDescent="0.3">
      <c r="A89" t="s">
        <v>142</v>
      </c>
      <c r="B89" t="s">
        <v>138</v>
      </c>
      <c r="C89">
        <v>7.46</v>
      </c>
      <c r="D89">
        <v>27.53</v>
      </c>
      <c r="E89">
        <v>17.37</v>
      </c>
      <c r="F89">
        <v>2.31</v>
      </c>
      <c r="G89">
        <v>68.313641245972065</v>
      </c>
      <c r="H89">
        <v>66.918325326012365</v>
      </c>
      <c r="I89">
        <v>78.525868178596753</v>
      </c>
      <c r="J89">
        <v>73.001159936296489</v>
      </c>
      <c r="K89">
        <v>16.09195402298851</v>
      </c>
      <c r="L89">
        <v>6.3373435091066996</v>
      </c>
      <c r="M89">
        <v>89.023399057210355</v>
      </c>
      <c r="N89">
        <v>62.779418238197962</v>
      </c>
      <c r="O89">
        <v>9.219019607843137</v>
      </c>
      <c r="P89">
        <v>8.150980392156864</v>
      </c>
      <c r="Q89">
        <v>88</v>
      </c>
      <c r="R89">
        <v>2</v>
      </c>
      <c r="S89" t="s">
        <v>24</v>
      </c>
      <c r="T89" t="s">
        <v>139</v>
      </c>
      <c r="U89">
        <v>5000</v>
      </c>
      <c r="V89">
        <v>1000</v>
      </c>
    </row>
    <row r="90" spans="1:22" x14ac:dyDescent="0.3">
      <c r="A90" t="s">
        <v>143</v>
      </c>
      <c r="B90" t="s">
        <v>44</v>
      </c>
      <c r="C90">
        <v>4.68</v>
      </c>
      <c r="D90">
        <v>8.9499999999999993</v>
      </c>
      <c r="E90">
        <v>7.58</v>
      </c>
      <c r="F90">
        <v>0.5</v>
      </c>
      <c r="G90">
        <v>62.341568206229859</v>
      </c>
      <c r="H90">
        <v>35.037748798901859</v>
      </c>
      <c r="I90">
        <v>43.834160170092126</v>
      </c>
      <c r="J90">
        <v>44.896718365962592</v>
      </c>
      <c r="K90">
        <v>85.440613026819918</v>
      </c>
      <c r="L90">
        <v>13.93675930441556</v>
      </c>
      <c r="M90">
        <v>75.860824791893961</v>
      </c>
      <c r="N90">
        <v>62.773718637659769</v>
      </c>
      <c r="O90">
        <v>7.5967647058823538</v>
      </c>
      <c r="P90">
        <v>-1.6764705882353681E-2</v>
      </c>
      <c r="Q90">
        <v>89</v>
      </c>
      <c r="R90">
        <v>6</v>
      </c>
      <c r="S90" t="s">
        <v>24</v>
      </c>
      <c r="T90" t="s">
        <v>141</v>
      </c>
      <c r="U90">
        <v>1000</v>
      </c>
      <c r="V90">
        <v>1000</v>
      </c>
    </row>
    <row r="91" spans="1:22" x14ac:dyDescent="0.3">
      <c r="A91" t="s">
        <v>144</v>
      </c>
      <c r="B91" t="s">
        <v>126</v>
      </c>
      <c r="C91">
        <v>1.23</v>
      </c>
      <c r="D91">
        <v>29.11</v>
      </c>
      <c r="E91">
        <v>16.43</v>
      </c>
      <c r="F91">
        <v>1.94</v>
      </c>
      <c r="G91">
        <v>54.930182599355525</v>
      </c>
      <c r="H91">
        <v>69.629375428963641</v>
      </c>
      <c r="I91">
        <v>75.194897236002831</v>
      </c>
      <c r="J91">
        <v>69.47229776656161</v>
      </c>
      <c r="K91">
        <v>30.268199233716466</v>
      </c>
      <c r="L91">
        <v>10.469797531720936</v>
      </c>
      <c r="M91">
        <v>81.865778730100118</v>
      </c>
      <c r="N91">
        <v>62.769643374234953</v>
      </c>
      <c r="O91">
        <v>11.362272727272726</v>
      </c>
      <c r="P91">
        <v>5.0677272727272733</v>
      </c>
      <c r="Q91">
        <v>90</v>
      </c>
      <c r="R91">
        <v>7</v>
      </c>
      <c r="S91" t="s">
        <v>24</v>
      </c>
      <c r="T91" t="s">
        <v>127</v>
      </c>
      <c r="U91">
        <v>5000</v>
      </c>
      <c r="V91">
        <v>1000</v>
      </c>
    </row>
    <row r="92" spans="1:22" x14ac:dyDescent="0.3">
      <c r="A92" t="s">
        <v>145</v>
      </c>
      <c r="B92" t="s">
        <v>44</v>
      </c>
      <c r="C92">
        <v>6.49</v>
      </c>
      <c r="D92">
        <v>8.91</v>
      </c>
      <c r="E92">
        <v>7.77</v>
      </c>
      <c r="F92">
        <v>0.47</v>
      </c>
      <c r="G92">
        <v>66.229860365198718</v>
      </c>
      <c r="H92">
        <v>34.969114619080308</v>
      </c>
      <c r="I92">
        <v>44.507441530829198</v>
      </c>
      <c r="J92">
        <v>45.990427224178433</v>
      </c>
      <c r="K92">
        <v>86.59003831417624</v>
      </c>
      <c r="L92">
        <v>16.021222305089715</v>
      </c>
      <c r="M92">
        <v>72.250428968228846</v>
      </c>
      <c r="N92">
        <v>62.705330432690488</v>
      </c>
      <c r="O92">
        <v>7.5967647058823538</v>
      </c>
      <c r="P92">
        <v>0.17323529411764582</v>
      </c>
      <c r="Q92">
        <v>91</v>
      </c>
      <c r="R92">
        <v>7</v>
      </c>
      <c r="S92" t="s">
        <v>24</v>
      </c>
      <c r="T92" t="s">
        <v>45</v>
      </c>
      <c r="U92">
        <v>1000</v>
      </c>
      <c r="V92">
        <v>1000</v>
      </c>
    </row>
    <row r="93" spans="1:22" x14ac:dyDescent="0.3">
      <c r="A93" t="s">
        <v>146</v>
      </c>
      <c r="B93" t="s">
        <v>126</v>
      </c>
      <c r="C93">
        <v>10.56</v>
      </c>
      <c r="D93">
        <v>31.55</v>
      </c>
      <c r="E93">
        <v>18.3</v>
      </c>
      <c r="F93">
        <v>2.68</v>
      </c>
      <c r="G93">
        <v>74.973147153598291</v>
      </c>
      <c r="H93">
        <v>73.816060398078235</v>
      </c>
      <c r="I93">
        <v>81.821403260099217</v>
      </c>
      <c r="J93">
        <v>78.050149180192733</v>
      </c>
      <c r="K93">
        <v>1.9157088122605304</v>
      </c>
      <c r="L93">
        <v>4.3267188453171883</v>
      </c>
      <c r="M93">
        <v>92.505903129844882</v>
      </c>
      <c r="N93">
        <v>62.63047757562272</v>
      </c>
      <c r="O93">
        <v>11.362272727272726</v>
      </c>
      <c r="P93">
        <v>6.9377272727272743</v>
      </c>
      <c r="Q93">
        <v>92</v>
      </c>
      <c r="R93">
        <v>8</v>
      </c>
      <c r="S93" t="s">
        <v>24</v>
      </c>
      <c r="T93" t="s">
        <v>127</v>
      </c>
      <c r="U93">
        <v>5000</v>
      </c>
      <c r="V93">
        <v>1000</v>
      </c>
    </row>
    <row r="94" spans="1:22" x14ac:dyDescent="0.3">
      <c r="A94" t="s">
        <v>147</v>
      </c>
      <c r="B94" t="s">
        <v>148</v>
      </c>
      <c r="C94">
        <v>1.05</v>
      </c>
      <c r="D94">
        <v>20.74</v>
      </c>
      <c r="E94">
        <v>16.16</v>
      </c>
      <c r="F94">
        <v>1.67</v>
      </c>
      <c r="G94">
        <v>54.543501611170782</v>
      </c>
      <c r="H94">
        <v>55.267673301304058</v>
      </c>
      <c r="I94">
        <v>74.238128986534363</v>
      </c>
      <c r="J94">
        <v>64.608066805892548</v>
      </c>
      <c r="K94">
        <v>40.613026819923384</v>
      </c>
      <c r="L94">
        <v>11.167519576853953</v>
      </c>
      <c r="M94">
        <v>80.657288698368859</v>
      </c>
      <c r="N94">
        <v>62.621612282519337</v>
      </c>
      <c r="O94">
        <v>10.461</v>
      </c>
      <c r="P94">
        <v>5.6989999999999998</v>
      </c>
      <c r="Q94">
        <v>93</v>
      </c>
      <c r="R94">
        <v>1</v>
      </c>
      <c r="S94" t="s">
        <v>24</v>
      </c>
      <c r="T94" t="s">
        <v>78</v>
      </c>
      <c r="U94">
        <v>1000</v>
      </c>
      <c r="V94">
        <v>1000</v>
      </c>
    </row>
    <row r="95" spans="1:22" x14ac:dyDescent="0.3">
      <c r="A95" t="s">
        <v>149</v>
      </c>
      <c r="B95" t="s">
        <v>51</v>
      </c>
      <c r="C95">
        <v>5.6</v>
      </c>
      <c r="D95">
        <v>21.52</v>
      </c>
      <c r="E95">
        <v>17.75</v>
      </c>
      <c r="F95">
        <v>1.92</v>
      </c>
      <c r="G95">
        <v>64.317937701396346</v>
      </c>
      <c r="H95">
        <v>56.606039807824303</v>
      </c>
      <c r="I95">
        <v>79.872430900070853</v>
      </c>
      <c r="J95">
        <v>69.781614932661981</v>
      </c>
      <c r="K95">
        <v>31.034482758620683</v>
      </c>
      <c r="L95">
        <v>11.851445637880792</v>
      </c>
      <c r="M95">
        <v>79.472694012049928</v>
      </c>
      <c r="N95">
        <v>62.517601658998643</v>
      </c>
      <c r="O95">
        <v>12.127586206896551</v>
      </c>
      <c r="P95">
        <v>5.6224137931034495</v>
      </c>
      <c r="Q95">
        <v>94</v>
      </c>
      <c r="R95">
        <v>7</v>
      </c>
      <c r="S95" t="s">
        <v>24</v>
      </c>
      <c r="T95" t="s">
        <v>52</v>
      </c>
      <c r="U95">
        <v>1000</v>
      </c>
      <c r="V95">
        <v>1000</v>
      </c>
    </row>
    <row r="96" spans="1:22" x14ac:dyDescent="0.3">
      <c r="A96" t="s">
        <v>150</v>
      </c>
      <c r="B96" t="s">
        <v>151</v>
      </c>
      <c r="C96">
        <v>-6.46</v>
      </c>
      <c r="D96">
        <v>10.220000000000001</v>
      </c>
      <c r="E96">
        <v>5.1100000000000003</v>
      </c>
      <c r="F96">
        <v>0.65</v>
      </c>
      <c r="G96">
        <v>38.410311493018256</v>
      </c>
      <c r="H96">
        <v>37.216884008236107</v>
      </c>
      <c r="I96">
        <v>35.081502480510274</v>
      </c>
      <c r="J96">
        <v>36.387878741329615</v>
      </c>
      <c r="K96">
        <v>79.693486590038304</v>
      </c>
      <c r="L96">
        <v>1.6864703215167334</v>
      </c>
      <c r="M96">
        <v>97.078947717676002</v>
      </c>
      <c r="N96">
        <v>62.387047947593388</v>
      </c>
      <c r="O96">
        <v>5.0250000000000004</v>
      </c>
      <c r="P96">
        <v>8.4999999999999964E-2</v>
      </c>
      <c r="Q96">
        <v>95</v>
      </c>
      <c r="R96">
        <v>1</v>
      </c>
      <c r="S96" t="s">
        <v>24</v>
      </c>
      <c r="T96" t="s">
        <v>152</v>
      </c>
      <c r="U96">
        <v>1000</v>
      </c>
      <c r="V96">
        <v>1000</v>
      </c>
    </row>
    <row r="97" spans="1:22" x14ac:dyDescent="0.3">
      <c r="A97" t="s">
        <v>153</v>
      </c>
      <c r="B97" t="s">
        <v>151</v>
      </c>
      <c r="C97">
        <v>-6.46</v>
      </c>
      <c r="D97">
        <v>10.220000000000001</v>
      </c>
      <c r="E97">
        <v>5.1100000000000003</v>
      </c>
      <c r="F97">
        <v>0.65</v>
      </c>
      <c r="G97">
        <v>38.410311493018256</v>
      </c>
      <c r="H97">
        <v>37.216884008236107</v>
      </c>
      <c r="I97">
        <v>35.081502480510274</v>
      </c>
      <c r="J97">
        <v>36.387878741329615</v>
      </c>
      <c r="K97">
        <v>79.693486590038304</v>
      </c>
      <c r="L97">
        <v>1.6864703215167334</v>
      </c>
      <c r="M97">
        <v>97.078947717676002</v>
      </c>
      <c r="N97">
        <v>62.387047947593388</v>
      </c>
      <c r="O97">
        <v>5.0250000000000004</v>
      </c>
      <c r="P97">
        <v>8.4999999999999964E-2</v>
      </c>
      <c r="Q97">
        <v>95</v>
      </c>
      <c r="R97">
        <v>1</v>
      </c>
      <c r="S97" t="s">
        <v>24</v>
      </c>
      <c r="T97" t="s">
        <v>152</v>
      </c>
      <c r="U97">
        <v>1000</v>
      </c>
      <c r="V97">
        <v>1000</v>
      </c>
    </row>
    <row r="98" spans="1:22" x14ac:dyDescent="0.3">
      <c r="A98" t="s">
        <v>154</v>
      </c>
      <c r="B98" t="s">
        <v>155</v>
      </c>
      <c r="C98">
        <v>18.78</v>
      </c>
      <c r="D98">
        <v>27.19</v>
      </c>
      <c r="E98">
        <v>8.67</v>
      </c>
      <c r="F98">
        <v>1.06</v>
      </c>
      <c r="G98">
        <v>92.631578947368425</v>
      </c>
      <c r="H98">
        <v>66.334934797529172</v>
      </c>
      <c r="I98">
        <v>47.696669029057404</v>
      </c>
      <c r="J98">
        <v>62.275130743261137</v>
      </c>
      <c r="K98">
        <v>63.984674329501914</v>
      </c>
      <c r="L98">
        <v>22.575962784069652</v>
      </c>
      <c r="M98">
        <v>60.89728542820724</v>
      </c>
      <c r="N98">
        <v>62.358055311057853</v>
      </c>
      <c r="O98">
        <v>5.2086538461538465</v>
      </c>
      <c r="P98">
        <v>3.4613461538461534</v>
      </c>
      <c r="Q98">
        <v>97</v>
      </c>
      <c r="R98">
        <v>1</v>
      </c>
      <c r="S98" t="s">
        <v>24</v>
      </c>
      <c r="T98" t="s">
        <v>45</v>
      </c>
      <c r="U98">
        <v>5000</v>
      </c>
      <c r="V98">
        <v>1000</v>
      </c>
    </row>
    <row r="99" spans="1:22" x14ac:dyDescent="0.3">
      <c r="A99" t="s">
        <v>156</v>
      </c>
      <c r="B99" t="s">
        <v>155</v>
      </c>
      <c r="C99">
        <v>18.78</v>
      </c>
      <c r="D99">
        <v>27.19</v>
      </c>
      <c r="E99">
        <v>8.67</v>
      </c>
      <c r="F99">
        <v>1.06</v>
      </c>
      <c r="G99">
        <v>92.631578947368425</v>
      </c>
      <c r="H99">
        <v>66.334934797529172</v>
      </c>
      <c r="I99">
        <v>47.696669029057404</v>
      </c>
      <c r="J99">
        <v>62.275130743261137</v>
      </c>
      <c r="K99">
        <v>63.984674329501914</v>
      </c>
      <c r="L99">
        <v>22.575962784069652</v>
      </c>
      <c r="M99">
        <v>60.89728542820724</v>
      </c>
      <c r="N99">
        <v>62.358055311057853</v>
      </c>
      <c r="O99">
        <v>5.2086538461538465</v>
      </c>
      <c r="P99">
        <v>3.4613461538461534</v>
      </c>
      <c r="Q99">
        <v>97</v>
      </c>
      <c r="R99">
        <v>1</v>
      </c>
      <c r="S99" t="s">
        <v>24</v>
      </c>
      <c r="T99" t="s">
        <v>45</v>
      </c>
      <c r="U99">
        <v>5000</v>
      </c>
      <c r="V99">
        <v>1000</v>
      </c>
    </row>
    <row r="100" spans="1:22" x14ac:dyDescent="0.3">
      <c r="A100" t="s">
        <v>157</v>
      </c>
      <c r="B100" t="s">
        <v>155</v>
      </c>
      <c r="C100">
        <v>18.78</v>
      </c>
      <c r="D100">
        <v>27.19</v>
      </c>
      <c r="E100">
        <v>8.67</v>
      </c>
      <c r="F100">
        <v>1.06</v>
      </c>
      <c r="G100">
        <v>92.631578947368425</v>
      </c>
      <c r="H100">
        <v>66.334934797529172</v>
      </c>
      <c r="I100">
        <v>47.696669029057404</v>
      </c>
      <c r="J100">
        <v>62.275130743261137</v>
      </c>
      <c r="K100">
        <v>63.984674329501914</v>
      </c>
      <c r="L100">
        <v>22.575962784069652</v>
      </c>
      <c r="M100">
        <v>60.89728542820724</v>
      </c>
      <c r="N100">
        <v>62.358055311057853</v>
      </c>
      <c r="O100">
        <v>5.2086538461538465</v>
      </c>
      <c r="P100">
        <v>3.4613461538461534</v>
      </c>
      <c r="Q100">
        <v>97</v>
      </c>
      <c r="R100">
        <v>1</v>
      </c>
      <c r="S100" t="s">
        <v>24</v>
      </c>
      <c r="T100" t="s">
        <v>45</v>
      </c>
      <c r="U100">
        <v>5000</v>
      </c>
      <c r="V100">
        <v>1000</v>
      </c>
    </row>
    <row r="101" spans="1:22" x14ac:dyDescent="0.3">
      <c r="A101" t="s">
        <v>158</v>
      </c>
      <c r="B101" t="s">
        <v>138</v>
      </c>
      <c r="C101">
        <v>7.94</v>
      </c>
      <c r="D101">
        <v>20.29</v>
      </c>
      <c r="E101">
        <v>13.38</v>
      </c>
      <c r="F101">
        <v>1.76</v>
      </c>
      <c r="G101">
        <v>69.34479054779807</v>
      </c>
      <c r="H101">
        <v>54.495538778311605</v>
      </c>
      <c r="I101">
        <v>64.386959603118356</v>
      </c>
      <c r="J101">
        <v>62.41109954461227</v>
      </c>
      <c r="K101">
        <v>37.164750957854409</v>
      </c>
      <c r="L101">
        <v>7.5599886653689428</v>
      </c>
      <c r="M101">
        <v>86.905715526936163</v>
      </c>
      <c r="N101">
        <v>62.223166393503774</v>
      </c>
      <c r="O101">
        <v>9.219019607843137</v>
      </c>
      <c r="P101">
        <v>4.1609803921568638</v>
      </c>
      <c r="Q101">
        <v>100</v>
      </c>
      <c r="R101">
        <v>3</v>
      </c>
      <c r="S101" t="s">
        <v>24</v>
      </c>
      <c r="T101" t="s">
        <v>134</v>
      </c>
      <c r="U101">
        <v>5000</v>
      </c>
      <c r="V101">
        <v>1000</v>
      </c>
    </row>
    <row r="102" spans="1:22" x14ac:dyDescent="0.3">
      <c r="A102" t="s">
        <v>159</v>
      </c>
      <c r="B102" t="s">
        <v>51</v>
      </c>
      <c r="C102">
        <v>5.58</v>
      </c>
      <c r="D102">
        <v>21.06</v>
      </c>
      <c r="E102">
        <v>17.260000000000002</v>
      </c>
      <c r="F102">
        <v>1.92</v>
      </c>
      <c r="G102">
        <v>64.274973147153588</v>
      </c>
      <c r="H102">
        <v>55.816746739876464</v>
      </c>
      <c r="I102">
        <v>78.136073706591077</v>
      </c>
      <c r="J102">
        <v>68.668055504689193</v>
      </c>
      <c r="K102">
        <v>31.034482758620683</v>
      </c>
      <c r="L102">
        <v>11.268126573974873</v>
      </c>
      <c r="M102">
        <v>80.483032267758489</v>
      </c>
      <c r="N102">
        <v>62.213406508939393</v>
      </c>
      <c r="O102">
        <v>12.127586206896551</v>
      </c>
      <c r="P102">
        <v>5.132413793103451</v>
      </c>
      <c r="Q102">
        <v>101</v>
      </c>
      <c r="R102">
        <v>8</v>
      </c>
      <c r="S102" t="s">
        <v>24</v>
      </c>
      <c r="T102" t="s">
        <v>52</v>
      </c>
      <c r="U102">
        <v>1000</v>
      </c>
      <c r="V102">
        <v>1000</v>
      </c>
    </row>
    <row r="103" spans="1:22" x14ac:dyDescent="0.3">
      <c r="A103" t="s">
        <v>160</v>
      </c>
      <c r="B103" t="s">
        <v>161</v>
      </c>
      <c r="C103">
        <v>4.2</v>
      </c>
      <c r="D103">
        <v>10.38</v>
      </c>
      <c r="E103">
        <v>6.82</v>
      </c>
      <c r="F103">
        <v>0.56999999999999995</v>
      </c>
      <c r="G103">
        <v>61.310418904403861</v>
      </c>
      <c r="H103">
        <v>37.491420727522311</v>
      </c>
      <c r="I103">
        <v>41.141034727143868</v>
      </c>
      <c r="J103">
        <v>44.080027362709401</v>
      </c>
      <c r="K103">
        <v>82.758620689655174</v>
      </c>
      <c r="L103">
        <v>12.828798427668028</v>
      </c>
      <c r="M103">
        <v>77.779869323219245</v>
      </c>
      <c r="N103">
        <v>62.174636184573302</v>
      </c>
      <c r="O103">
        <v>4.9189795918367345</v>
      </c>
      <c r="P103">
        <v>1.9010204081632658</v>
      </c>
      <c r="Q103">
        <v>102</v>
      </c>
      <c r="R103">
        <v>1</v>
      </c>
      <c r="S103" t="s">
        <v>24</v>
      </c>
      <c r="T103" t="s">
        <v>162</v>
      </c>
      <c r="U103">
        <v>20000</v>
      </c>
      <c r="V103">
        <v>1000</v>
      </c>
    </row>
    <row r="104" spans="1:22" x14ac:dyDescent="0.3">
      <c r="A104" t="s">
        <v>163</v>
      </c>
      <c r="B104" t="s">
        <v>161</v>
      </c>
      <c r="C104">
        <v>4.2</v>
      </c>
      <c r="D104">
        <v>10.38</v>
      </c>
      <c r="E104">
        <v>6.82</v>
      </c>
      <c r="F104">
        <v>0.56999999999999995</v>
      </c>
      <c r="G104">
        <v>61.310418904403861</v>
      </c>
      <c r="H104">
        <v>37.491420727522311</v>
      </c>
      <c r="I104">
        <v>41.141034727143868</v>
      </c>
      <c r="J104">
        <v>44.080027362709401</v>
      </c>
      <c r="K104">
        <v>82.758620689655174</v>
      </c>
      <c r="L104">
        <v>12.828798427668028</v>
      </c>
      <c r="M104">
        <v>77.779869323219245</v>
      </c>
      <c r="N104">
        <v>62.174636184573302</v>
      </c>
      <c r="O104">
        <v>4.9189795918367345</v>
      </c>
      <c r="P104">
        <v>1.9010204081632658</v>
      </c>
      <c r="Q104">
        <v>102</v>
      </c>
      <c r="R104">
        <v>1</v>
      </c>
      <c r="S104" t="s">
        <v>24</v>
      </c>
      <c r="T104" t="s">
        <v>162</v>
      </c>
      <c r="U104">
        <v>1000</v>
      </c>
      <c r="V104">
        <v>1000</v>
      </c>
    </row>
    <row r="105" spans="1:22" x14ac:dyDescent="0.3">
      <c r="A105" t="s">
        <v>164</v>
      </c>
      <c r="B105" t="s">
        <v>138</v>
      </c>
      <c r="C105">
        <v>7.91</v>
      </c>
      <c r="D105">
        <v>20.29</v>
      </c>
      <c r="E105">
        <v>13.23</v>
      </c>
      <c r="F105">
        <v>1.76</v>
      </c>
      <c r="G105">
        <v>69.280343716433947</v>
      </c>
      <c r="H105">
        <v>54.495538778311605</v>
      </c>
      <c r="I105">
        <v>63.855421686746979</v>
      </c>
      <c r="J105">
        <v>62.132441220153765</v>
      </c>
      <c r="K105">
        <v>37.164750957854409</v>
      </c>
      <c r="L105">
        <v>7.4791671121202885</v>
      </c>
      <c r="M105">
        <v>87.045702563509465</v>
      </c>
      <c r="N105">
        <v>62.118833990417855</v>
      </c>
      <c r="O105">
        <v>9.219019607843137</v>
      </c>
      <c r="P105">
        <v>4.0109803921568634</v>
      </c>
      <c r="Q105">
        <v>104</v>
      </c>
      <c r="R105">
        <v>4</v>
      </c>
      <c r="S105" t="s">
        <v>24</v>
      </c>
      <c r="T105" t="s">
        <v>134</v>
      </c>
      <c r="U105">
        <v>5000</v>
      </c>
      <c r="V105">
        <v>1000</v>
      </c>
    </row>
    <row r="106" spans="1:22" x14ac:dyDescent="0.3">
      <c r="A106" t="s">
        <v>165</v>
      </c>
      <c r="B106" t="s">
        <v>166</v>
      </c>
      <c r="C106">
        <v>0.28999999999999998</v>
      </c>
      <c r="D106">
        <v>27.54</v>
      </c>
      <c r="E106">
        <v>21.97</v>
      </c>
      <c r="F106">
        <v>1.97</v>
      </c>
      <c r="G106">
        <v>52.910848549946287</v>
      </c>
      <c r="H106">
        <v>66.935483870967744</v>
      </c>
      <c r="I106">
        <v>94.826364280652015</v>
      </c>
      <c r="J106">
        <v>78.075997011605594</v>
      </c>
      <c r="K106">
        <v>29.118773946360154</v>
      </c>
      <c r="L106">
        <v>21.336596358080765</v>
      </c>
      <c r="M106">
        <v>63.043931047215047</v>
      </c>
      <c r="N106">
        <v>62.078674754196598</v>
      </c>
      <c r="O106">
        <v>20.878999999999998</v>
      </c>
      <c r="P106">
        <v>1.0910000000000011</v>
      </c>
      <c r="Q106">
        <v>105</v>
      </c>
      <c r="R106">
        <v>1</v>
      </c>
      <c r="S106" t="s">
        <v>24</v>
      </c>
      <c r="T106" t="s">
        <v>167</v>
      </c>
      <c r="U106">
        <v>5000</v>
      </c>
      <c r="V106">
        <v>1000</v>
      </c>
    </row>
    <row r="107" spans="1:22" x14ac:dyDescent="0.3">
      <c r="A107" t="s">
        <v>168</v>
      </c>
      <c r="B107" t="s">
        <v>166</v>
      </c>
      <c r="C107">
        <v>0.28999999999999998</v>
      </c>
      <c r="D107">
        <v>27.5</v>
      </c>
      <c r="E107">
        <v>21.94</v>
      </c>
      <c r="F107">
        <v>1.97</v>
      </c>
      <c r="G107">
        <v>52.910848549946287</v>
      </c>
      <c r="H107">
        <v>66.8668496911462</v>
      </c>
      <c r="I107">
        <v>94.720056697377757</v>
      </c>
      <c r="J107">
        <v>78.002252966021999</v>
      </c>
      <c r="K107">
        <v>29.118773946360154</v>
      </c>
      <c r="L107">
        <v>21.286071323365466</v>
      </c>
      <c r="M107">
        <v>63.131442974396123</v>
      </c>
      <c r="N107">
        <v>62.063680713200071</v>
      </c>
      <c r="O107">
        <v>20.878999999999998</v>
      </c>
      <c r="P107">
        <v>1.0610000000000035</v>
      </c>
      <c r="Q107">
        <v>106</v>
      </c>
      <c r="R107">
        <v>2</v>
      </c>
      <c r="S107" t="s">
        <v>24</v>
      </c>
      <c r="T107" t="s">
        <v>167</v>
      </c>
      <c r="U107">
        <v>5000</v>
      </c>
      <c r="V107">
        <v>1000</v>
      </c>
    </row>
    <row r="108" spans="1:22" x14ac:dyDescent="0.3">
      <c r="A108" t="s">
        <v>169</v>
      </c>
      <c r="B108" t="s">
        <v>170</v>
      </c>
      <c r="C108">
        <v>7.42</v>
      </c>
      <c r="D108">
        <v>24.93</v>
      </c>
      <c r="E108">
        <v>14.32</v>
      </c>
      <c r="F108">
        <v>2.1800000000000002</v>
      </c>
      <c r="G108">
        <v>68.227712137486577</v>
      </c>
      <c r="H108">
        <v>62.457103637611546</v>
      </c>
      <c r="I108">
        <v>67.717930545712264</v>
      </c>
      <c r="J108">
        <v>66.241638791636916</v>
      </c>
      <c r="K108">
        <v>21.072796934865899</v>
      </c>
      <c r="L108">
        <v>3.1946856779955279</v>
      </c>
      <c r="M108">
        <v>94.466642091499125</v>
      </c>
      <c r="N108">
        <v>62.005679152409712</v>
      </c>
      <c r="O108">
        <v>6.9120588235294118</v>
      </c>
      <c r="P108">
        <v>7.4079411764705885</v>
      </c>
      <c r="Q108">
        <v>107</v>
      </c>
      <c r="R108">
        <v>1</v>
      </c>
      <c r="S108" t="s">
        <v>24</v>
      </c>
      <c r="T108" t="s">
        <v>171</v>
      </c>
      <c r="U108">
        <v>1000</v>
      </c>
      <c r="V108">
        <v>1000</v>
      </c>
    </row>
    <row r="109" spans="1:22" x14ac:dyDescent="0.3">
      <c r="A109" t="s">
        <v>172</v>
      </c>
      <c r="B109" t="s">
        <v>170</v>
      </c>
      <c r="C109">
        <v>7.42</v>
      </c>
      <c r="D109">
        <v>24.93</v>
      </c>
      <c r="E109">
        <v>14.32</v>
      </c>
      <c r="F109">
        <v>2.1800000000000002</v>
      </c>
      <c r="G109">
        <v>68.227712137486577</v>
      </c>
      <c r="H109">
        <v>62.457103637611546</v>
      </c>
      <c r="I109">
        <v>67.717930545712264</v>
      </c>
      <c r="J109">
        <v>66.241638791636916</v>
      </c>
      <c r="K109">
        <v>21.072796934865899</v>
      </c>
      <c r="L109">
        <v>3.1946856779955279</v>
      </c>
      <c r="M109">
        <v>94.466642091499125</v>
      </c>
      <c r="N109">
        <v>62.005679152409712</v>
      </c>
      <c r="O109">
        <v>6.9120588235294118</v>
      </c>
      <c r="P109">
        <v>7.4079411764705885</v>
      </c>
      <c r="Q109">
        <v>107</v>
      </c>
      <c r="R109">
        <v>1</v>
      </c>
      <c r="S109" t="s">
        <v>24</v>
      </c>
      <c r="T109" t="s">
        <v>171</v>
      </c>
      <c r="U109">
        <v>1000</v>
      </c>
      <c r="V109">
        <v>1000</v>
      </c>
    </row>
    <row r="110" spans="1:22" x14ac:dyDescent="0.3">
      <c r="A110" t="s">
        <v>173</v>
      </c>
      <c r="B110" t="s">
        <v>51</v>
      </c>
      <c r="C110">
        <v>0.39</v>
      </c>
      <c r="D110">
        <v>26.02</v>
      </c>
      <c r="E110">
        <v>15.01</v>
      </c>
      <c r="F110">
        <v>1.87</v>
      </c>
      <c r="G110">
        <v>53.125671321160041</v>
      </c>
      <c r="H110">
        <v>64.327385037748797</v>
      </c>
      <c r="I110">
        <v>70.163004961020548</v>
      </c>
      <c r="J110">
        <v>65.004852256066926</v>
      </c>
      <c r="K110">
        <v>32.950191570881216</v>
      </c>
      <c r="L110">
        <v>8.6583638526881561</v>
      </c>
      <c r="M110">
        <v>85.003273896726299</v>
      </c>
      <c r="N110">
        <v>61.990792494935334</v>
      </c>
      <c r="O110">
        <v>12.127586206896551</v>
      </c>
      <c r="P110">
        <v>2.8824137931034493</v>
      </c>
      <c r="Q110">
        <v>109</v>
      </c>
      <c r="R110">
        <v>9</v>
      </c>
      <c r="S110" t="s">
        <v>24</v>
      </c>
      <c r="T110" t="s">
        <v>52</v>
      </c>
      <c r="U110">
        <v>1000</v>
      </c>
      <c r="V110">
        <v>1000</v>
      </c>
    </row>
    <row r="111" spans="1:22" x14ac:dyDescent="0.3">
      <c r="A111" t="s">
        <v>174</v>
      </c>
      <c r="B111" t="s">
        <v>51</v>
      </c>
      <c r="C111">
        <v>7.04</v>
      </c>
      <c r="D111">
        <v>26.72</v>
      </c>
      <c r="E111">
        <v>11.35</v>
      </c>
      <c r="F111">
        <v>1.85</v>
      </c>
      <c r="G111">
        <v>67.411385606874319</v>
      </c>
      <c r="H111">
        <v>65.528483184625941</v>
      </c>
      <c r="I111">
        <v>57.193479801559178</v>
      </c>
      <c r="J111">
        <v>61.737561977542235</v>
      </c>
      <c r="K111">
        <v>33.716475095785434</v>
      </c>
      <c r="L111">
        <v>5.4378795189199751</v>
      </c>
      <c r="M111">
        <v>90.581316387792398</v>
      </c>
      <c r="N111">
        <v>61.943228859665581</v>
      </c>
      <c r="O111">
        <v>12.127586206896551</v>
      </c>
      <c r="P111">
        <v>-0.77758620689655089</v>
      </c>
      <c r="Q111">
        <v>110</v>
      </c>
      <c r="R111">
        <v>10</v>
      </c>
      <c r="S111" t="s">
        <v>24</v>
      </c>
      <c r="T111" t="s">
        <v>52</v>
      </c>
      <c r="U111">
        <v>5000</v>
      </c>
      <c r="V111">
        <v>1000</v>
      </c>
    </row>
    <row r="112" spans="1:22" x14ac:dyDescent="0.3">
      <c r="A112" t="s">
        <v>175</v>
      </c>
      <c r="B112" t="s">
        <v>44</v>
      </c>
      <c r="C112">
        <v>8.1300000000000008</v>
      </c>
      <c r="D112">
        <v>14.05</v>
      </c>
      <c r="E112">
        <v>9.4600000000000009</v>
      </c>
      <c r="F112">
        <v>1</v>
      </c>
      <c r="G112">
        <v>69.752953813104185</v>
      </c>
      <c r="H112">
        <v>43.788606726149624</v>
      </c>
      <c r="I112">
        <v>50.496102055279948</v>
      </c>
      <c r="J112">
        <v>52.335223808105695</v>
      </c>
      <c r="K112">
        <v>66.283524904214559</v>
      </c>
      <c r="L112">
        <v>13.478156110691165</v>
      </c>
      <c r="M112">
        <v>76.655148823937964</v>
      </c>
      <c r="N112">
        <v>61.902280336090982</v>
      </c>
      <c r="O112">
        <v>7.5967647058823538</v>
      </c>
      <c r="P112">
        <v>1.8632352941176471</v>
      </c>
      <c r="Q112">
        <v>111</v>
      </c>
      <c r="R112">
        <v>8</v>
      </c>
      <c r="S112" t="s">
        <v>24</v>
      </c>
      <c r="T112" t="s">
        <v>176</v>
      </c>
      <c r="U112">
        <v>1000</v>
      </c>
      <c r="V112">
        <v>1000</v>
      </c>
    </row>
    <row r="113" spans="1:22" x14ac:dyDescent="0.3">
      <c r="A113" t="s">
        <v>177</v>
      </c>
      <c r="B113" t="s">
        <v>44</v>
      </c>
      <c r="C113">
        <v>8.1300000000000008</v>
      </c>
      <c r="D113">
        <v>14.05</v>
      </c>
      <c r="E113">
        <v>9.4600000000000009</v>
      </c>
      <c r="F113">
        <v>1</v>
      </c>
      <c r="G113">
        <v>69.752953813104185</v>
      </c>
      <c r="H113">
        <v>43.788606726149624</v>
      </c>
      <c r="I113">
        <v>50.496102055279948</v>
      </c>
      <c r="J113">
        <v>52.335223808105695</v>
      </c>
      <c r="K113">
        <v>66.283524904214559</v>
      </c>
      <c r="L113">
        <v>13.478156110691165</v>
      </c>
      <c r="M113">
        <v>76.655148823937964</v>
      </c>
      <c r="N113">
        <v>61.902280336090982</v>
      </c>
      <c r="O113">
        <v>7.5967647058823538</v>
      </c>
      <c r="P113">
        <v>1.8632352941176471</v>
      </c>
      <c r="Q113">
        <v>111</v>
      </c>
      <c r="R113">
        <v>8</v>
      </c>
      <c r="S113" t="s">
        <v>24</v>
      </c>
      <c r="T113" t="s">
        <v>176</v>
      </c>
      <c r="U113">
        <v>1000</v>
      </c>
      <c r="V113">
        <v>1000</v>
      </c>
    </row>
    <row r="114" spans="1:22" x14ac:dyDescent="0.3">
      <c r="A114" t="s">
        <v>178</v>
      </c>
      <c r="B114" t="s">
        <v>51</v>
      </c>
      <c r="C114">
        <v>0.4</v>
      </c>
      <c r="D114">
        <v>25.61</v>
      </c>
      <c r="E114">
        <v>14.7</v>
      </c>
      <c r="F114">
        <v>1.87</v>
      </c>
      <c r="G114">
        <v>53.147153598281413</v>
      </c>
      <c r="H114">
        <v>63.623884694577903</v>
      </c>
      <c r="I114">
        <v>69.064493267186378</v>
      </c>
      <c r="J114">
        <v>64.248842761622839</v>
      </c>
      <c r="K114">
        <v>32.950191570881216</v>
      </c>
      <c r="L114">
        <v>8.0903627673067735</v>
      </c>
      <c r="M114">
        <v>85.987080635361124</v>
      </c>
      <c r="N114">
        <v>61.858739432372005</v>
      </c>
      <c r="O114">
        <v>12.127586206896551</v>
      </c>
      <c r="P114">
        <v>2.5724137931034488</v>
      </c>
      <c r="Q114">
        <v>113</v>
      </c>
      <c r="R114">
        <v>11</v>
      </c>
      <c r="S114" t="s">
        <v>24</v>
      </c>
      <c r="T114" t="s">
        <v>52</v>
      </c>
      <c r="U114">
        <v>1000</v>
      </c>
      <c r="V114">
        <v>1000</v>
      </c>
    </row>
    <row r="115" spans="1:22" x14ac:dyDescent="0.3">
      <c r="A115" t="s">
        <v>179</v>
      </c>
      <c r="B115" t="s">
        <v>148</v>
      </c>
      <c r="C115">
        <v>4.2300000000000004</v>
      </c>
      <c r="D115">
        <v>34.229999999999997</v>
      </c>
      <c r="E115">
        <v>16.649999999999999</v>
      </c>
      <c r="F115">
        <v>2.33</v>
      </c>
      <c r="G115">
        <v>61.37486573576799</v>
      </c>
      <c r="H115">
        <v>78.414550446122178</v>
      </c>
      <c r="I115">
        <v>75.974486180014168</v>
      </c>
      <c r="J115">
        <v>73.786581370997339</v>
      </c>
      <c r="K115">
        <v>15.325670498084287</v>
      </c>
      <c r="L115">
        <v>9.2146051259858339</v>
      </c>
      <c r="M115">
        <v>84.039835750107926</v>
      </c>
      <c r="N115">
        <v>61.734667247546724</v>
      </c>
      <c r="O115">
        <v>10.461</v>
      </c>
      <c r="P115">
        <v>6.1889999999999983</v>
      </c>
      <c r="Q115">
        <v>114</v>
      </c>
      <c r="R115">
        <v>2</v>
      </c>
      <c r="S115" t="s">
        <v>24</v>
      </c>
      <c r="T115" t="s">
        <v>78</v>
      </c>
      <c r="U115">
        <v>5000</v>
      </c>
      <c r="V115">
        <v>1000</v>
      </c>
    </row>
    <row r="116" spans="1:22" x14ac:dyDescent="0.3">
      <c r="A116" t="s">
        <v>180</v>
      </c>
      <c r="B116" t="s">
        <v>126</v>
      </c>
      <c r="C116">
        <v>6.92</v>
      </c>
      <c r="D116">
        <v>20.350000000000001</v>
      </c>
      <c r="E116">
        <v>13.26</v>
      </c>
      <c r="F116">
        <v>1.83</v>
      </c>
      <c r="G116">
        <v>67.153598281417828</v>
      </c>
      <c r="H116">
        <v>54.598490048043935</v>
      </c>
      <c r="I116">
        <v>63.961729270021259</v>
      </c>
      <c r="J116">
        <v>61.791131305707381</v>
      </c>
      <c r="K116">
        <v>34.482758620689658</v>
      </c>
      <c r="L116">
        <v>6.5254504220733187</v>
      </c>
      <c r="M116">
        <v>88.697588326697229</v>
      </c>
      <c r="N116">
        <v>61.690652389700411</v>
      </c>
      <c r="O116">
        <v>11.362272727272726</v>
      </c>
      <c r="P116">
        <v>1.8977272727272734</v>
      </c>
      <c r="Q116">
        <v>115</v>
      </c>
      <c r="R116">
        <v>9</v>
      </c>
      <c r="S116" t="s">
        <v>24</v>
      </c>
      <c r="T116" t="s">
        <v>127</v>
      </c>
      <c r="U116">
        <v>1000</v>
      </c>
      <c r="V116">
        <v>1000</v>
      </c>
    </row>
    <row r="117" spans="1:22" x14ac:dyDescent="0.3">
      <c r="A117" t="s">
        <v>181</v>
      </c>
      <c r="B117" t="s">
        <v>51</v>
      </c>
      <c r="C117">
        <v>7.22</v>
      </c>
      <c r="D117">
        <v>24.21</v>
      </c>
      <c r="E117">
        <v>12.43</v>
      </c>
      <c r="F117">
        <v>2</v>
      </c>
      <c r="G117">
        <v>67.798066595059069</v>
      </c>
      <c r="H117">
        <v>61.221688400823616</v>
      </c>
      <c r="I117">
        <v>61.020552799433013</v>
      </c>
      <c r="J117">
        <v>62.436396238975405</v>
      </c>
      <c r="K117">
        <v>27.969348659003824</v>
      </c>
      <c r="L117">
        <v>3.856248153617361</v>
      </c>
      <c r="M117">
        <v>93.320782271341059</v>
      </c>
      <c r="N117">
        <v>61.540730852073921</v>
      </c>
      <c r="O117">
        <v>12.127586206896551</v>
      </c>
      <c r="P117">
        <v>0.30241379310344918</v>
      </c>
      <c r="Q117">
        <v>116</v>
      </c>
      <c r="R117">
        <v>12</v>
      </c>
      <c r="S117" t="s">
        <v>24</v>
      </c>
      <c r="T117" t="s">
        <v>52</v>
      </c>
      <c r="U117">
        <v>5000</v>
      </c>
      <c r="V117">
        <v>1000</v>
      </c>
    </row>
    <row r="118" spans="1:22" x14ac:dyDescent="0.3">
      <c r="A118" t="s">
        <v>182</v>
      </c>
      <c r="B118" t="s">
        <v>148</v>
      </c>
      <c r="C118">
        <v>3.98</v>
      </c>
      <c r="D118">
        <v>34.119999999999997</v>
      </c>
      <c r="E118">
        <v>16.59</v>
      </c>
      <c r="F118">
        <v>2.33</v>
      </c>
      <c r="G118">
        <v>60.837808807733616</v>
      </c>
      <c r="H118">
        <v>78.225806451612897</v>
      </c>
      <c r="I118">
        <v>75.761871013465637</v>
      </c>
      <c r="J118">
        <v>73.516239203763405</v>
      </c>
      <c r="K118">
        <v>15.325670498084287</v>
      </c>
      <c r="L118">
        <v>9.4086934323835862</v>
      </c>
      <c r="M118">
        <v>83.703664942272013</v>
      </c>
      <c r="N118">
        <v>61.515453461970779</v>
      </c>
      <c r="O118">
        <v>10.461</v>
      </c>
      <c r="P118">
        <v>6.1289999999999996</v>
      </c>
      <c r="Q118">
        <v>117</v>
      </c>
      <c r="R118">
        <v>3</v>
      </c>
      <c r="S118" t="s">
        <v>24</v>
      </c>
      <c r="T118" t="s">
        <v>78</v>
      </c>
      <c r="U118">
        <v>5000</v>
      </c>
      <c r="V118">
        <v>1000</v>
      </c>
    </row>
    <row r="119" spans="1:22" x14ac:dyDescent="0.3">
      <c r="A119" t="s">
        <v>183</v>
      </c>
      <c r="B119" t="s">
        <v>51</v>
      </c>
      <c r="C119">
        <v>7.21</v>
      </c>
      <c r="D119">
        <v>24.21</v>
      </c>
      <c r="E119">
        <v>12.4</v>
      </c>
      <c r="F119">
        <v>2</v>
      </c>
      <c r="G119">
        <v>67.77658431793769</v>
      </c>
      <c r="H119">
        <v>61.221688400823616</v>
      </c>
      <c r="I119">
        <v>60.914245216158761</v>
      </c>
      <c r="J119">
        <v>62.378945991914009</v>
      </c>
      <c r="K119">
        <v>27.969348659003824</v>
      </c>
      <c r="L119">
        <v>3.8762713988187079</v>
      </c>
      <c r="M119">
        <v>93.28610099331992</v>
      </c>
      <c r="N119">
        <v>61.503335409037945</v>
      </c>
      <c r="O119">
        <v>12.127586206896551</v>
      </c>
      <c r="P119">
        <v>0.27241379310344982</v>
      </c>
      <c r="Q119">
        <v>118</v>
      </c>
      <c r="R119">
        <v>13</v>
      </c>
      <c r="S119" t="s">
        <v>24</v>
      </c>
      <c r="T119" t="s">
        <v>52</v>
      </c>
      <c r="U119">
        <v>5000</v>
      </c>
      <c r="V119">
        <v>1000</v>
      </c>
    </row>
    <row r="120" spans="1:22" x14ac:dyDescent="0.3">
      <c r="A120" t="s">
        <v>184</v>
      </c>
      <c r="B120" t="s">
        <v>185</v>
      </c>
      <c r="C120">
        <v>3.48</v>
      </c>
      <c r="D120">
        <v>35.85</v>
      </c>
      <c r="E120">
        <v>18.38</v>
      </c>
      <c r="F120">
        <v>2.39</v>
      </c>
      <c r="G120">
        <v>59.763694951664867</v>
      </c>
      <c r="H120">
        <v>81.194234728894997</v>
      </c>
      <c r="I120">
        <v>82.104890148830606</v>
      </c>
      <c r="J120">
        <v>77.363454483416774</v>
      </c>
      <c r="K120">
        <v>13.026819923371647</v>
      </c>
      <c r="L120">
        <v>12.644012623076863</v>
      </c>
      <c r="M120">
        <v>78.099927725288637</v>
      </c>
      <c r="N120">
        <v>61.463414153873458</v>
      </c>
      <c r="O120">
        <v>9.4014285714285712</v>
      </c>
      <c r="P120">
        <v>8.9785714285714278</v>
      </c>
      <c r="Q120">
        <v>119</v>
      </c>
      <c r="R120">
        <v>1</v>
      </c>
      <c r="S120" t="s">
        <v>24</v>
      </c>
      <c r="T120" t="s">
        <v>186</v>
      </c>
      <c r="U120">
        <v>5000</v>
      </c>
      <c r="V120">
        <v>1000</v>
      </c>
    </row>
    <row r="121" spans="1:22" x14ac:dyDescent="0.3">
      <c r="A121" t="s">
        <v>187</v>
      </c>
      <c r="B121" t="s">
        <v>185</v>
      </c>
      <c r="C121">
        <v>3.43</v>
      </c>
      <c r="D121">
        <v>35.89</v>
      </c>
      <c r="E121">
        <v>18.41</v>
      </c>
      <c r="F121">
        <v>2.39</v>
      </c>
      <c r="G121">
        <v>59.656283566058001</v>
      </c>
      <c r="H121">
        <v>81.262868908716541</v>
      </c>
      <c r="I121">
        <v>82.211197732104878</v>
      </c>
      <c r="J121">
        <v>77.415716251879005</v>
      </c>
      <c r="K121">
        <v>13.026819923371647</v>
      </c>
      <c r="L121">
        <v>12.757141860964248</v>
      </c>
      <c r="M121">
        <v>77.90398213744615</v>
      </c>
      <c r="N121">
        <v>61.440558641143951</v>
      </c>
      <c r="O121">
        <v>9.4014285714285712</v>
      </c>
      <c r="P121">
        <v>9.0085714285714289</v>
      </c>
      <c r="Q121">
        <v>120</v>
      </c>
      <c r="R121">
        <v>2</v>
      </c>
      <c r="S121" t="s">
        <v>24</v>
      </c>
      <c r="T121" t="s">
        <v>186</v>
      </c>
      <c r="U121">
        <v>5000</v>
      </c>
      <c r="V121">
        <v>1000</v>
      </c>
    </row>
    <row r="122" spans="1:22" x14ac:dyDescent="0.3">
      <c r="A122" t="s">
        <v>188</v>
      </c>
      <c r="B122" t="s">
        <v>51</v>
      </c>
      <c r="C122">
        <v>6.99</v>
      </c>
      <c r="D122">
        <v>26.73</v>
      </c>
      <c r="E122">
        <v>10.96</v>
      </c>
      <c r="F122">
        <v>1.85</v>
      </c>
      <c r="G122">
        <v>67.303974221267453</v>
      </c>
      <c r="H122">
        <v>65.545641729581334</v>
      </c>
      <c r="I122">
        <v>55.81148121899362</v>
      </c>
      <c r="J122">
        <v>61.030227972624701</v>
      </c>
      <c r="K122">
        <v>33.716475095785434</v>
      </c>
      <c r="L122">
        <v>6.1903555283537282</v>
      </c>
      <c r="M122">
        <v>89.277989707976459</v>
      </c>
      <c r="N122">
        <v>61.263730187252818</v>
      </c>
      <c r="O122">
        <v>12.127586206896551</v>
      </c>
      <c r="P122">
        <v>-1.1675862068965497</v>
      </c>
      <c r="Q122">
        <v>121</v>
      </c>
      <c r="R122">
        <v>14</v>
      </c>
      <c r="S122" t="s">
        <v>24</v>
      </c>
      <c r="T122" t="s">
        <v>52</v>
      </c>
      <c r="U122">
        <v>5000</v>
      </c>
      <c r="V122">
        <v>1000</v>
      </c>
    </row>
    <row r="123" spans="1:22" x14ac:dyDescent="0.3">
      <c r="A123" t="s">
        <v>189</v>
      </c>
      <c r="B123" t="s">
        <v>51</v>
      </c>
      <c r="C123">
        <v>2.85</v>
      </c>
      <c r="D123">
        <v>24.38</v>
      </c>
      <c r="E123">
        <v>10.75</v>
      </c>
      <c r="F123">
        <v>1.83</v>
      </c>
      <c r="G123">
        <v>58.410311493018256</v>
      </c>
      <c r="H123">
        <v>61.513383665065206</v>
      </c>
      <c r="I123">
        <v>55.067328136073698</v>
      </c>
      <c r="J123">
        <v>57.669741466160062</v>
      </c>
      <c r="K123">
        <v>34.482758620689658</v>
      </c>
      <c r="L123">
        <v>3.223771769025181</v>
      </c>
      <c r="M123">
        <v>94.416263504042192</v>
      </c>
      <c r="N123">
        <v>61.059626264262988</v>
      </c>
      <c r="O123">
        <v>12.127586206896551</v>
      </c>
      <c r="P123">
        <v>-1.3775862068965505</v>
      </c>
      <c r="Q123">
        <v>122</v>
      </c>
      <c r="R123">
        <v>15</v>
      </c>
      <c r="S123" t="s">
        <v>24</v>
      </c>
      <c r="T123" t="s">
        <v>120</v>
      </c>
      <c r="U123">
        <v>1000</v>
      </c>
      <c r="V123">
        <v>1000</v>
      </c>
    </row>
    <row r="124" spans="1:22" x14ac:dyDescent="0.3">
      <c r="A124" t="s">
        <v>190</v>
      </c>
      <c r="B124" t="s">
        <v>51</v>
      </c>
      <c r="C124">
        <v>9.89</v>
      </c>
      <c r="D124">
        <v>26.33</v>
      </c>
      <c r="E124">
        <v>11.56</v>
      </c>
      <c r="F124">
        <v>1.93</v>
      </c>
      <c r="G124">
        <v>73.533834586466156</v>
      </c>
      <c r="H124">
        <v>64.859299931365825</v>
      </c>
      <c r="I124">
        <v>57.937632884479086</v>
      </c>
      <c r="J124">
        <v>63.133373338942519</v>
      </c>
      <c r="K124">
        <v>30.651340996168575</v>
      </c>
      <c r="L124">
        <v>7.8145007701447655</v>
      </c>
      <c r="M124">
        <v>86.464887630323148</v>
      </c>
      <c r="N124">
        <v>60.845743826094193</v>
      </c>
      <c r="O124">
        <v>12.127586206896551</v>
      </c>
      <c r="P124">
        <v>-0.56758620689655004</v>
      </c>
      <c r="Q124">
        <v>123</v>
      </c>
      <c r="R124">
        <v>16</v>
      </c>
      <c r="S124" t="s">
        <v>24</v>
      </c>
      <c r="T124" t="s">
        <v>120</v>
      </c>
      <c r="U124">
        <v>1000</v>
      </c>
      <c r="V124">
        <v>1000</v>
      </c>
    </row>
    <row r="125" spans="1:22" x14ac:dyDescent="0.3">
      <c r="A125" t="s">
        <v>191</v>
      </c>
      <c r="B125" t="s">
        <v>192</v>
      </c>
      <c r="C125">
        <v>5.24</v>
      </c>
      <c r="D125">
        <v>4.3</v>
      </c>
      <c r="E125">
        <v>5.36</v>
      </c>
      <c r="F125">
        <v>0.17</v>
      </c>
      <c r="G125">
        <v>63.544575725026853</v>
      </c>
      <c r="H125">
        <v>27.05902539464654</v>
      </c>
      <c r="I125">
        <v>35.967399007795883</v>
      </c>
      <c r="J125">
        <v>38.810322267297273</v>
      </c>
      <c r="K125">
        <v>98.084291187739453</v>
      </c>
      <c r="L125">
        <v>19.022158916360134</v>
      </c>
      <c r="M125">
        <v>67.052654287214907</v>
      </c>
      <c r="N125">
        <v>60.689397502387223</v>
      </c>
      <c r="O125">
        <v>4.4280373831775703</v>
      </c>
      <c r="P125">
        <v>0.93196261682242998</v>
      </c>
      <c r="Q125">
        <v>124</v>
      </c>
      <c r="R125">
        <v>1</v>
      </c>
      <c r="S125" t="s">
        <v>24</v>
      </c>
      <c r="T125" t="s">
        <v>45</v>
      </c>
      <c r="U125">
        <v>5000</v>
      </c>
      <c r="V125">
        <v>1000</v>
      </c>
    </row>
    <row r="126" spans="1:22" x14ac:dyDescent="0.3">
      <c r="A126" t="s">
        <v>193</v>
      </c>
      <c r="B126" t="s">
        <v>126</v>
      </c>
      <c r="C126">
        <v>6.92</v>
      </c>
      <c r="D126">
        <v>19.45</v>
      </c>
      <c r="E126">
        <v>12.5</v>
      </c>
      <c r="F126">
        <v>1.83</v>
      </c>
      <c r="G126">
        <v>67.153598281417828</v>
      </c>
      <c r="H126">
        <v>53.05422100205903</v>
      </c>
      <c r="I126">
        <v>61.268603827073001</v>
      </c>
      <c r="J126">
        <v>59.981287870437775</v>
      </c>
      <c r="K126">
        <v>34.482758620689658</v>
      </c>
      <c r="L126">
        <v>7.0816862938763032</v>
      </c>
      <c r="M126">
        <v>87.734159535742094</v>
      </c>
      <c r="N126">
        <v>60.544873474326828</v>
      </c>
      <c r="O126">
        <v>11.362272727272726</v>
      </c>
      <c r="P126">
        <v>1.1377272727272736</v>
      </c>
      <c r="Q126">
        <v>125</v>
      </c>
      <c r="R126">
        <v>10</v>
      </c>
      <c r="S126" t="s">
        <v>24</v>
      </c>
      <c r="T126" t="s">
        <v>127</v>
      </c>
      <c r="U126">
        <v>1000</v>
      </c>
      <c r="V126">
        <v>1000</v>
      </c>
    </row>
    <row r="127" spans="1:22" x14ac:dyDescent="0.3">
      <c r="A127" t="s">
        <v>194</v>
      </c>
      <c r="B127" t="s">
        <v>195</v>
      </c>
      <c r="C127">
        <v>-1.06</v>
      </c>
      <c r="D127">
        <v>17.43</v>
      </c>
      <c r="E127">
        <v>13.65</v>
      </c>
      <c r="F127">
        <v>1.63</v>
      </c>
      <c r="G127">
        <v>50.010741138560689</v>
      </c>
      <c r="H127">
        <v>49.588194921070702</v>
      </c>
      <c r="I127">
        <v>65.343727852586824</v>
      </c>
      <c r="J127">
        <v>57.550470630326757</v>
      </c>
      <c r="K127">
        <v>42.145593869731798</v>
      </c>
      <c r="L127">
        <v>8.9769690953619943</v>
      </c>
      <c r="M127">
        <v>84.451433428857399</v>
      </c>
      <c r="N127">
        <v>60.424492139810681</v>
      </c>
      <c r="O127">
        <v>10.412619047619048</v>
      </c>
      <c r="P127">
        <v>3.2373809523809527</v>
      </c>
      <c r="Q127">
        <v>126</v>
      </c>
      <c r="R127">
        <v>1</v>
      </c>
      <c r="S127" t="s">
        <v>24</v>
      </c>
      <c r="T127" t="s">
        <v>196</v>
      </c>
      <c r="U127">
        <v>5000</v>
      </c>
      <c r="V127">
        <v>1000</v>
      </c>
    </row>
    <row r="128" spans="1:22" x14ac:dyDescent="0.3">
      <c r="A128" t="s">
        <v>197</v>
      </c>
      <c r="B128" t="s">
        <v>195</v>
      </c>
      <c r="C128">
        <v>-1.06</v>
      </c>
      <c r="D128">
        <v>17.43</v>
      </c>
      <c r="E128">
        <v>13.22</v>
      </c>
      <c r="F128">
        <v>1.63</v>
      </c>
      <c r="G128">
        <v>50.010741138560689</v>
      </c>
      <c r="H128">
        <v>49.588194921070702</v>
      </c>
      <c r="I128">
        <v>63.819985825655557</v>
      </c>
      <c r="J128">
        <v>56.788599616861127</v>
      </c>
      <c r="K128">
        <v>42.145593869731798</v>
      </c>
      <c r="L128">
        <v>8.0975063701302226</v>
      </c>
      <c r="M128">
        <v>85.974707552321817</v>
      </c>
      <c r="N128">
        <v>60.424375163943964</v>
      </c>
      <c r="O128">
        <v>10.412619047619048</v>
      </c>
      <c r="P128">
        <v>2.807380952380953</v>
      </c>
      <c r="Q128">
        <v>127</v>
      </c>
      <c r="R128">
        <v>2</v>
      </c>
      <c r="S128" t="s">
        <v>24</v>
      </c>
      <c r="T128" t="s">
        <v>196</v>
      </c>
      <c r="U128">
        <v>5000</v>
      </c>
      <c r="V128">
        <v>1000</v>
      </c>
    </row>
    <row r="129" spans="1:22" x14ac:dyDescent="0.3">
      <c r="A129" t="s">
        <v>198</v>
      </c>
      <c r="B129" t="s">
        <v>199</v>
      </c>
      <c r="C129">
        <v>5.88</v>
      </c>
      <c r="D129">
        <v>21.29</v>
      </c>
      <c r="E129">
        <v>12.05</v>
      </c>
      <c r="F129">
        <v>1.95</v>
      </c>
      <c r="G129">
        <v>64.919441460794843</v>
      </c>
      <c r="H129">
        <v>56.211393273850383</v>
      </c>
      <c r="I129">
        <v>59.673990077958891</v>
      </c>
      <c r="J129">
        <v>59.684301313293531</v>
      </c>
      <c r="K129">
        <v>29.885057471264375</v>
      </c>
      <c r="L129">
        <v>4.3843365150587443</v>
      </c>
      <c r="M129">
        <v>92.40610639843878</v>
      </c>
      <c r="N129">
        <v>60.414941624072554</v>
      </c>
      <c r="O129">
        <v>9.83</v>
      </c>
      <c r="P129">
        <v>2.2200000000000006</v>
      </c>
      <c r="Q129">
        <v>128</v>
      </c>
      <c r="R129">
        <v>1</v>
      </c>
      <c r="S129" t="s">
        <v>24</v>
      </c>
      <c r="T129" t="s">
        <v>107</v>
      </c>
      <c r="U129">
        <v>5000</v>
      </c>
      <c r="V129">
        <v>1000</v>
      </c>
    </row>
    <row r="130" spans="1:22" x14ac:dyDescent="0.3">
      <c r="A130" t="s">
        <v>200</v>
      </c>
      <c r="B130" t="s">
        <v>51</v>
      </c>
      <c r="C130">
        <v>9.9</v>
      </c>
      <c r="D130">
        <v>26.33</v>
      </c>
      <c r="E130">
        <v>11.29</v>
      </c>
      <c r="F130">
        <v>1.93</v>
      </c>
      <c r="G130">
        <v>73.555316863587535</v>
      </c>
      <c r="H130">
        <v>64.859299931365825</v>
      </c>
      <c r="I130">
        <v>56.980864635010619</v>
      </c>
      <c r="J130">
        <v>62.659285669632567</v>
      </c>
      <c r="K130">
        <v>30.651340996168575</v>
      </c>
      <c r="L130">
        <v>8.2905862265757033</v>
      </c>
      <c r="M130">
        <v>85.640283431040146</v>
      </c>
      <c r="N130">
        <v>60.402548941618463</v>
      </c>
      <c r="O130">
        <v>12.127586206896551</v>
      </c>
      <c r="P130">
        <v>-0.83758620689655139</v>
      </c>
      <c r="Q130">
        <v>129</v>
      </c>
      <c r="R130">
        <v>17</v>
      </c>
      <c r="S130" t="s">
        <v>24</v>
      </c>
      <c r="T130" t="s">
        <v>120</v>
      </c>
      <c r="U130">
        <v>1000</v>
      </c>
      <c r="V130">
        <v>1000</v>
      </c>
    </row>
    <row r="131" spans="1:22" x14ac:dyDescent="0.3">
      <c r="A131" t="s">
        <v>201</v>
      </c>
      <c r="B131" t="s">
        <v>202</v>
      </c>
      <c r="C131">
        <v>0.67</v>
      </c>
      <c r="D131">
        <v>17.48</v>
      </c>
      <c r="E131">
        <v>13.43</v>
      </c>
      <c r="F131">
        <v>1.71</v>
      </c>
      <c r="G131">
        <v>53.727175080558531</v>
      </c>
      <c r="H131">
        <v>49.673987645847639</v>
      </c>
      <c r="I131">
        <v>64.564138908575472</v>
      </c>
      <c r="J131">
        <v>57.929700764153736</v>
      </c>
      <c r="K131">
        <v>39.080459770114942</v>
      </c>
      <c r="L131">
        <v>7.6983192756337102</v>
      </c>
      <c r="M131">
        <v>86.666119881715574</v>
      </c>
      <c r="N131">
        <v>60.401495295034493</v>
      </c>
      <c r="O131">
        <v>10.023387096774194</v>
      </c>
      <c r="P131">
        <v>3.4066129032258061</v>
      </c>
      <c r="Q131">
        <v>130</v>
      </c>
      <c r="R131">
        <v>1</v>
      </c>
      <c r="S131" t="s">
        <v>24</v>
      </c>
      <c r="T131" t="s">
        <v>78</v>
      </c>
      <c r="U131">
        <v>1000</v>
      </c>
      <c r="V131">
        <v>1000</v>
      </c>
    </row>
    <row r="132" spans="1:22" x14ac:dyDescent="0.3">
      <c r="A132" t="s">
        <v>203</v>
      </c>
      <c r="B132" t="s">
        <v>202</v>
      </c>
      <c r="C132">
        <v>0.67</v>
      </c>
      <c r="D132">
        <v>17.489999999999998</v>
      </c>
      <c r="E132">
        <v>13.2</v>
      </c>
      <c r="F132">
        <v>1.71</v>
      </c>
      <c r="G132">
        <v>53.727175080558531</v>
      </c>
      <c r="H132">
        <v>49.691146190803018</v>
      </c>
      <c r="I132">
        <v>63.749114103472706</v>
      </c>
      <c r="J132">
        <v>57.527335925088963</v>
      </c>
      <c r="K132">
        <v>39.080459770114942</v>
      </c>
      <c r="L132">
        <v>7.2382692776151218</v>
      </c>
      <c r="M132">
        <v>87.462949852305726</v>
      </c>
      <c r="N132">
        <v>60.399520368149652</v>
      </c>
      <c r="O132">
        <v>10.023387096774194</v>
      </c>
      <c r="P132">
        <v>3.1766129032258057</v>
      </c>
      <c r="Q132">
        <v>131</v>
      </c>
      <c r="R132">
        <v>2</v>
      </c>
      <c r="S132" t="s">
        <v>24</v>
      </c>
      <c r="T132" t="s">
        <v>78</v>
      </c>
      <c r="U132">
        <v>1000</v>
      </c>
      <c r="V132">
        <v>1000</v>
      </c>
    </row>
    <row r="133" spans="1:22" x14ac:dyDescent="0.3">
      <c r="A133" t="s">
        <v>204</v>
      </c>
      <c r="B133" t="s">
        <v>170</v>
      </c>
      <c r="C133">
        <v>-1.41</v>
      </c>
      <c r="D133">
        <v>10.17</v>
      </c>
      <c r="E133">
        <v>9.1199999999999992</v>
      </c>
      <c r="F133">
        <v>1.1000000000000001</v>
      </c>
      <c r="G133">
        <v>49.258861439312561</v>
      </c>
      <c r="H133">
        <v>37.131091283459163</v>
      </c>
      <c r="I133">
        <v>49.2912827781715</v>
      </c>
      <c r="J133">
        <v>45.636741061986015</v>
      </c>
      <c r="K133">
        <v>62.452107279693479</v>
      </c>
      <c r="L133">
        <v>7.0113493385664354</v>
      </c>
      <c r="M133">
        <v>87.855986715988493</v>
      </c>
      <c r="N133">
        <v>60.395394029913504</v>
      </c>
      <c r="O133">
        <v>6.9120588235294118</v>
      </c>
      <c r="P133">
        <v>2.2079411764705874</v>
      </c>
      <c r="Q133">
        <v>132</v>
      </c>
      <c r="R133">
        <v>3</v>
      </c>
      <c r="S133" t="s">
        <v>24</v>
      </c>
      <c r="T133" t="s">
        <v>205</v>
      </c>
      <c r="U133">
        <v>1000</v>
      </c>
      <c r="V133">
        <v>1000</v>
      </c>
    </row>
    <row r="134" spans="1:22" x14ac:dyDescent="0.3">
      <c r="A134" t="s">
        <v>206</v>
      </c>
      <c r="B134" t="s">
        <v>170</v>
      </c>
      <c r="C134">
        <v>-1.41</v>
      </c>
      <c r="D134">
        <v>10.17</v>
      </c>
      <c r="E134">
        <v>9.1199999999999992</v>
      </c>
      <c r="F134">
        <v>1.1000000000000001</v>
      </c>
      <c r="G134">
        <v>49.258861439312561</v>
      </c>
      <c r="H134">
        <v>37.131091283459163</v>
      </c>
      <c r="I134">
        <v>49.2912827781715</v>
      </c>
      <c r="J134">
        <v>45.636741061986015</v>
      </c>
      <c r="K134">
        <v>62.452107279693479</v>
      </c>
      <c r="L134">
        <v>7.0113493385664354</v>
      </c>
      <c r="M134">
        <v>87.855986715988493</v>
      </c>
      <c r="N134">
        <v>60.395394029913504</v>
      </c>
      <c r="O134">
        <v>6.9120588235294118</v>
      </c>
      <c r="P134">
        <v>2.2079411764705874</v>
      </c>
      <c r="Q134">
        <v>132</v>
      </c>
      <c r="R134">
        <v>3</v>
      </c>
      <c r="S134" t="s">
        <v>24</v>
      </c>
      <c r="T134" t="s">
        <v>205</v>
      </c>
      <c r="U134">
        <v>1000</v>
      </c>
      <c r="V134">
        <v>1000</v>
      </c>
    </row>
    <row r="135" spans="1:22" x14ac:dyDescent="0.3">
      <c r="A135" t="s">
        <v>207</v>
      </c>
      <c r="B135" t="s">
        <v>126</v>
      </c>
      <c r="C135">
        <v>12.13</v>
      </c>
      <c r="D135">
        <v>21.44</v>
      </c>
      <c r="E135">
        <v>12.02</v>
      </c>
      <c r="F135">
        <v>1.76</v>
      </c>
      <c r="G135">
        <v>78.345864661654147</v>
      </c>
      <c r="H135">
        <v>56.468771448181208</v>
      </c>
      <c r="I135">
        <v>59.567682494684618</v>
      </c>
      <c r="J135">
        <v>62.3936456141275</v>
      </c>
      <c r="K135">
        <v>37.164750957854409</v>
      </c>
      <c r="L135">
        <v>11.838007874645527</v>
      </c>
      <c r="M135">
        <v>79.495968900713478</v>
      </c>
      <c r="N135">
        <v>60.362002771705718</v>
      </c>
      <c r="O135">
        <v>11.362272727272726</v>
      </c>
      <c r="P135">
        <v>0.65772727272727316</v>
      </c>
      <c r="Q135">
        <v>134</v>
      </c>
      <c r="R135">
        <v>11</v>
      </c>
      <c r="S135" t="s">
        <v>24</v>
      </c>
      <c r="T135" t="s">
        <v>127</v>
      </c>
      <c r="U135">
        <v>1000</v>
      </c>
      <c r="V135">
        <v>1000</v>
      </c>
    </row>
    <row r="136" spans="1:22" x14ac:dyDescent="0.3">
      <c r="A136" t="s">
        <v>208</v>
      </c>
      <c r="B136" t="s">
        <v>192</v>
      </c>
      <c r="C136">
        <v>5.22</v>
      </c>
      <c r="D136">
        <v>4.18</v>
      </c>
      <c r="E136">
        <v>5.34</v>
      </c>
      <c r="F136">
        <v>0.21</v>
      </c>
      <c r="G136">
        <v>63.501611170784102</v>
      </c>
      <c r="H136">
        <v>26.853122855181883</v>
      </c>
      <c r="I136">
        <v>35.896527285613033</v>
      </c>
      <c r="J136">
        <v>38.704522733517905</v>
      </c>
      <c r="K136">
        <v>96.551724137931032</v>
      </c>
      <c r="L136">
        <v>19.09160162575203</v>
      </c>
      <c r="M136">
        <v>66.9323759863329</v>
      </c>
      <c r="N136">
        <v>60.223286397824936</v>
      </c>
      <c r="O136">
        <v>4.4280373831775703</v>
      </c>
      <c r="P136">
        <v>0.91196261682242952</v>
      </c>
      <c r="Q136">
        <v>135</v>
      </c>
      <c r="R136">
        <v>2</v>
      </c>
      <c r="S136" t="s">
        <v>24</v>
      </c>
      <c r="T136" t="s">
        <v>45</v>
      </c>
      <c r="U136">
        <v>10000</v>
      </c>
      <c r="V136">
        <v>1000</v>
      </c>
    </row>
    <row r="137" spans="1:22" x14ac:dyDescent="0.3">
      <c r="A137" t="s">
        <v>209</v>
      </c>
      <c r="B137" t="s">
        <v>192</v>
      </c>
      <c r="C137">
        <v>5.25</v>
      </c>
      <c r="D137">
        <v>3.98</v>
      </c>
      <c r="E137">
        <v>5.08</v>
      </c>
      <c r="F137">
        <v>0.18</v>
      </c>
      <c r="G137">
        <v>63.566058002148232</v>
      </c>
      <c r="H137">
        <v>26.509951956074129</v>
      </c>
      <c r="I137">
        <v>34.975194897236001</v>
      </c>
      <c r="J137">
        <v>38.153794635869886</v>
      </c>
      <c r="K137">
        <v>97.701149425287355</v>
      </c>
      <c r="L137">
        <v>19.417572738950543</v>
      </c>
      <c r="M137">
        <v>66.367777456473291</v>
      </c>
      <c r="N137">
        <v>60.094129038375101</v>
      </c>
      <c r="O137">
        <v>4.4280373831775703</v>
      </c>
      <c r="P137">
        <v>0.65196261682242973</v>
      </c>
      <c r="Q137">
        <v>136</v>
      </c>
      <c r="R137">
        <v>3</v>
      </c>
      <c r="S137" t="s">
        <v>24</v>
      </c>
      <c r="T137" t="s">
        <v>45</v>
      </c>
      <c r="U137">
        <v>5000</v>
      </c>
      <c r="V137">
        <v>1000</v>
      </c>
    </row>
    <row r="138" spans="1:22" x14ac:dyDescent="0.3">
      <c r="A138" t="s">
        <v>210</v>
      </c>
      <c r="B138" t="s">
        <v>51</v>
      </c>
      <c r="C138">
        <v>2.85</v>
      </c>
      <c r="D138">
        <v>24.38</v>
      </c>
      <c r="E138">
        <v>10.17</v>
      </c>
      <c r="F138">
        <v>1.83</v>
      </c>
      <c r="G138">
        <v>58.410311493018256</v>
      </c>
      <c r="H138">
        <v>61.513383665065206</v>
      </c>
      <c r="I138">
        <v>53.012048192771076</v>
      </c>
      <c r="J138">
        <v>56.642101494508751</v>
      </c>
      <c r="K138">
        <v>34.482758620689658</v>
      </c>
      <c r="L138">
        <v>4.3019958231851376</v>
      </c>
      <c r="M138">
        <v>92.548724660294241</v>
      </c>
      <c r="N138">
        <v>60.078921567500345</v>
      </c>
      <c r="O138">
        <v>12.127586206896551</v>
      </c>
      <c r="P138">
        <v>-1.9575862068965506</v>
      </c>
      <c r="Q138">
        <v>137</v>
      </c>
      <c r="R138">
        <v>18</v>
      </c>
      <c r="S138" t="s">
        <v>24</v>
      </c>
      <c r="T138" t="s">
        <v>120</v>
      </c>
      <c r="U138">
        <v>1000</v>
      </c>
      <c r="V138">
        <v>1000</v>
      </c>
    </row>
    <row r="139" spans="1:22" x14ac:dyDescent="0.3">
      <c r="A139" t="s">
        <v>211</v>
      </c>
      <c r="B139" t="s">
        <v>51</v>
      </c>
      <c r="C139">
        <v>2.85</v>
      </c>
      <c r="D139">
        <v>24.38</v>
      </c>
      <c r="E139">
        <v>10.17</v>
      </c>
      <c r="F139">
        <v>1.83</v>
      </c>
      <c r="G139">
        <v>58.410311493018256</v>
      </c>
      <c r="H139">
        <v>61.513383665065206</v>
      </c>
      <c r="I139">
        <v>53.012048192771076</v>
      </c>
      <c r="J139">
        <v>56.642101494508751</v>
      </c>
      <c r="K139">
        <v>34.482758620689658</v>
      </c>
      <c r="L139">
        <v>4.3019958231851376</v>
      </c>
      <c r="M139">
        <v>92.548724660294241</v>
      </c>
      <c r="N139">
        <v>60.078921567500345</v>
      </c>
      <c r="O139">
        <v>12.127586206896551</v>
      </c>
      <c r="P139">
        <v>-1.9575862068965506</v>
      </c>
      <c r="Q139">
        <v>137</v>
      </c>
      <c r="R139">
        <v>18</v>
      </c>
      <c r="S139" t="s">
        <v>24</v>
      </c>
      <c r="T139" t="s">
        <v>120</v>
      </c>
      <c r="U139">
        <v>1000</v>
      </c>
      <c r="V139">
        <v>1000</v>
      </c>
    </row>
    <row r="140" spans="1:22" x14ac:dyDescent="0.3">
      <c r="A140" t="s">
        <v>212</v>
      </c>
      <c r="B140" t="s">
        <v>192</v>
      </c>
      <c r="C140">
        <v>5.26</v>
      </c>
      <c r="D140">
        <v>4.1900000000000004</v>
      </c>
      <c r="E140">
        <v>5.29</v>
      </c>
      <c r="F140">
        <v>0.22</v>
      </c>
      <c r="G140">
        <v>63.587540279269597</v>
      </c>
      <c r="H140">
        <v>26.870281400137273</v>
      </c>
      <c r="I140">
        <v>35.719347980155916</v>
      </c>
      <c r="J140">
        <v>38.638266465973061</v>
      </c>
      <c r="K140">
        <v>96.168582375478934</v>
      </c>
      <c r="L140">
        <v>19.162025036319463</v>
      </c>
      <c r="M140">
        <v>66.810399061187837</v>
      </c>
      <c r="N140">
        <v>60.063878592153223</v>
      </c>
      <c r="O140">
        <v>4.4280373831775703</v>
      </c>
      <c r="P140">
        <v>0.86196261682242969</v>
      </c>
      <c r="Q140">
        <v>139</v>
      </c>
      <c r="R140">
        <v>4</v>
      </c>
      <c r="S140" t="s">
        <v>24</v>
      </c>
      <c r="T140" t="s">
        <v>213</v>
      </c>
      <c r="U140">
        <v>1000</v>
      </c>
    </row>
    <row r="141" spans="1:22" x14ac:dyDescent="0.3">
      <c r="A141" t="s">
        <v>214</v>
      </c>
      <c r="B141" t="s">
        <v>199</v>
      </c>
      <c r="C141">
        <v>5.86</v>
      </c>
      <c r="D141">
        <v>21.28</v>
      </c>
      <c r="E141">
        <v>11.68</v>
      </c>
      <c r="F141">
        <v>1.95</v>
      </c>
      <c r="G141">
        <v>64.876476906552099</v>
      </c>
      <c r="H141">
        <v>56.194234728894997</v>
      </c>
      <c r="I141">
        <v>58.362863217576177</v>
      </c>
      <c r="J141">
        <v>59.014997408767009</v>
      </c>
      <c r="K141">
        <v>29.885057471264375</v>
      </c>
      <c r="L141">
        <v>4.5186915886980321</v>
      </c>
      <c r="M141">
        <v>92.173396584640884</v>
      </c>
      <c r="N141">
        <v>60.022112218359823</v>
      </c>
      <c r="O141">
        <v>9.83</v>
      </c>
      <c r="P141">
        <v>1.8499999999999996</v>
      </c>
      <c r="Q141">
        <v>140</v>
      </c>
      <c r="R141">
        <v>2</v>
      </c>
      <c r="S141" t="s">
        <v>24</v>
      </c>
      <c r="T141" t="s">
        <v>107</v>
      </c>
      <c r="U141">
        <v>5000</v>
      </c>
      <c r="V141">
        <v>1000</v>
      </c>
    </row>
    <row r="142" spans="1:22" x14ac:dyDescent="0.3">
      <c r="A142" t="s">
        <v>215</v>
      </c>
      <c r="B142" t="s">
        <v>216</v>
      </c>
      <c r="C142">
        <v>5</v>
      </c>
      <c r="D142">
        <v>3.77</v>
      </c>
      <c r="E142">
        <v>4.54</v>
      </c>
      <c r="F142">
        <v>0.12</v>
      </c>
      <c r="G142">
        <v>63.029001074113857</v>
      </c>
      <c r="H142">
        <v>26.149622512010986</v>
      </c>
      <c r="I142">
        <v>33.061658398299073</v>
      </c>
      <c r="J142">
        <v>36.981516167575606</v>
      </c>
      <c r="K142">
        <v>100</v>
      </c>
      <c r="L142">
        <v>19.604023525244067</v>
      </c>
      <c r="M142">
        <v>66.044835221501756</v>
      </c>
      <c r="N142">
        <v>60.001966889163242</v>
      </c>
      <c r="O142">
        <v>4.3460000000000001</v>
      </c>
      <c r="P142">
        <v>0.19399999999999995</v>
      </c>
      <c r="Q142">
        <v>141</v>
      </c>
      <c r="R142">
        <v>1</v>
      </c>
      <c r="S142" t="s">
        <v>24</v>
      </c>
      <c r="T142" t="s">
        <v>217</v>
      </c>
      <c r="U142">
        <v>20000</v>
      </c>
      <c r="V142">
        <v>1000</v>
      </c>
    </row>
    <row r="143" spans="1:22" x14ac:dyDescent="0.3">
      <c r="A143" t="s">
        <v>218</v>
      </c>
      <c r="B143" t="s">
        <v>192</v>
      </c>
      <c r="C143">
        <v>5.35</v>
      </c>
      <c r="D143">
        <v>4.0999999999999996</v>
      </c>
      <c r="E143">
        <v>5.13</v>
      </c>
      <c r="F143">
        <v>0.2</v>
      </c>
      <c r="G143">
        <v>63.780880773361972</v>
      </c>
      <c r="H143">
        <v>26.715854495538782</v>
      </c>
      <c r="I143">
        <v>35.152374202693125</v>
      </c>
      <c r="J143">
        <v>38.347119604680593</v>
      </c>
      <c r="K143">
        <v>96.934865900383144</v>
      </c>
      <c r="L143">
        <v>19.427568153750641</v>
      </c>
      <c r="M143">
        <v>66.350464890196804</v>
      </c>
      <c r="N143">
        <v>59.994892499985284</v>
      </c>
      <c r="O143">
        <v>4.4280373831775703</v>
      </c>
      <c r="P143">
        <v>0.70196261682242955</v>
      </c>
      <c r="Q143">
        <v>142</v>
      </c>
      <c r="R143">
        <v>5</v>
      </c>
      <c r="S143" t="s">
        <v>24</v>
      </c>
      <c r="T143" t="s">
        <v>45</v>
      </c>
      <c r="U143">
        <v>1000</v>
      </c>
      <c r="V143">
        <v>1000</v>
      </c>
    </row>
    <row r="144" spans="1:22" x14ac:dyDescent="0.3">
      <c r="A144" t="s">
        <v>219</v>
      </c>
      <c r="B144" t="s">
        <v>123</v>
      </c>
      <c r="C144">
        <v>11.87</v>
      </c>
      <c r="D144">
        <v>20.55</v>
      </c>
      <c r="E144">
        <v>12.89</v>
      </c>
      <c r="F144">
        <v>1.86</v>
      </c>
      <c r="G144">
        <v>77.78732545649838</v>
      </c>
      <c r="H144">
        <v>54.941660947151696</v>
      </c>
      <c r="I144">
        <v>62.650602409638559</v>
      </c>
      <c r="J144">
        <v>63.365264580264466</v>
      </c>
      <c r="K144">
        <v>33.333333333333329</v>
      </c>
      <c r="L144">
        <v>11.622338763081844</v>
      </c>
      <c r="M144">
        <v>79.869518759565025</v>
      </c>
      <c r="N144">
        <v>59.983345313356821</v>
      </c>
      <c r="O144">
        <v>10.563571428571427</v>
      </c>
      <c r="P144">
        <v>2.3264285714285737</v>
      </c>
      <c r="Q144">
        <v>143</v>
      </c>
      <c r="R144">
        <v>3</v>
      </c>
      <c r="S144" t="s">
        <v>24</v>
      </c>
      <c r="T144" t="s">
        <v>45</v>
      </c>
      <c r="U144">
        <v>5000</v>
      </c>
      <c r="V144">
        <v>1000</v>
      </c>
    </row>
    <row r="145" spans="1:22" x14ac:dyDescent="0.3">
      <c r="A145" t="s">
        <v>220</v>
      </c>
      <c r="B145" t="s">
        <v>44</v>
      </c>
      <c r="C145">
        <v>3.3</v>
      </c>
      <c r="D145">
        <v>5.14</v>
      </c>
      <c r="E145">
        <v>6.74</v>
      </c>
      <c r="F145">
        <v>0.51</v>
      </c>
      <c r="G145">
        <v>59.377013963480131</v>
      </c>
      <c r="H145">
        <v>28.500343170899111</v>
      </c>
      <c r="I145">
        <v>40.857547838412472</v>
      </c>
      <c r="J145">
        <v>40.854279663171994</v>
      </c>
      <c r="K145">
        <v>85.057471264367805</v>
      </c>
      <c r="L145">
        <v>15.540484398208486</v>
      </c>
      <c r="M145">
        <v>73.083091448071457</v>
      </c>
      <c r="N145">
        <v>59.962280509695816</v>
      </c>
      <c r="O145">
        <v>7.5967647058823538</v>
      </c>
      <c r="P145">
        <v>-0.85676470588235354</v>
      </c>
      <c r="Q145">
        <v>144</v>
      </c>
      <c r="R145">
        <v>10</v>
      </c>
      <c r="S145" t="s">
        <v>24</v>
      </c>
      <c r="T145" t="s">
        <v>221</v>
      </c>
      <c r="U145">
        <v>1000</v>
      </c>
      <c r="V145">
        <v>1000</v>
      </c>
    </row>
    <row r="146" spans="1:22" x14ac:dyDescent="0.3">
      <c r="A146" t="s">
        <v>222</v>
      </c>
      <c r="B146" t="s">
        <v>192</v>
      </c>
      <c r="C146">
        <v>5.29</v>
      </c>
      <c r="D146">
        <v>4.16</v>
      </c>
      <c r="E146">
        <v>5.21</v>
      </c>
      <c r="F146">
        <v>0.22</v>
      </c>
      <c r="G146">
        <v>63.651987110633726</v>
      </c>
      <c r="H146">
        <v>26.818805765271108</v>
      </c>
      <c r="I146">
        <v>35.43586109142452</v>
      </c>
      <c r="J146">
        <v>38.49396969742034</v>
      </c>
      <c r="K146">
        <v>96.168582375478934</v>
      </c>
      <c r="L146">
        <v>19.266061083531717</v>
      </c>
      <c r="M146">
        <v>66.630203341597564</v>
      </c>
      <c r="N146">
        <v>59.946681277979295</v>
      </c>
      <c r="O146">
        <v>4.4280373831775703</v>
      </c>
      <c r="P146">
        <v>0.78196261682242962</v>
      </c>
      <c r="Q146">
        <v>145</v>
      </c>
      <c r="R146">
        <v>6</v>
      </c>
      <c r="S146" t="s">
        <v>24</v>
      </c>
      <c r="T146" t="s">
        <v>45</v>
      </c>
      <c r="U146">
        <v>5000</v>
      </c>
    </row>
    <row r="147" spans="1:22" x14ac:dyDescent="0.3">
      <c r="A147" t="s">
        <v>223</v>
      </c>
      <c r="B147" t="s">
        <v>192</v>
      </c>
      <c r="C147">
        <v>5.21</v>
      </c>
      <c r="D147">
        <v>4.08</v>
      </c>
      <c r="E147">
        <v>5.22</v>
      </c>
      <c r="F147">
        <v>0.22</v>
      </c>
      <c r="G147">
        <v>63.480128893662723</v>
      </c>
      <c r="H147">
        <v>26.68153740562801</v>
      </c>
      <c r="I147">
        <v>35.471296952515942</v>
      </c>
      <c r="J147">
        <v>38.43613547667892</v>
      </c>
      <c r="K147">
        <v>96.168582375478934</v>
      </c>
      <c r="L147">
        <v>19.217573880447606</v>
      </c>
      <c r="M147">
        <v>66.714185640856158</v>
      </c>
      <c r="N147">
        <v>59.93875974242323</v>
      </c>
      <c r="O147">
        <v>4.4280373831775703</v>
      </c>
      <c r="P147">
        <v>0.79196261682242941</v>
      </c>
      <c r="Q147">
        <v>146</v>
      </c>
      <c r="R147">
        <v>7</v>
      </c>
      <c r="S147" t="s">
        <v>24</v>
      </c>
      <c r="T147" t="s">
        <v>213</v>
      </c>
      <c r="U147">
        <v>5000</v>
      </c>
      <c r="V147">
        <v>1000</v>
      </c>
    </row>
    <row r="148" spans="1:22" x14ac:dyDescent="0.3">
      <c r="A148" t="s">
        <v>224</v>
      </c>
      <c r="B148" t="s">
        <v>192</v>
      </c>
      <c r="C148">
        <v>5.21</v>
      </c>
      <c r="D148">
        <v>4.1100000000000003</v>
      </c>
      <c r="E148">
        <v>5.19</v>
      </c>
      <c r="F148">
        <v>0.22</v>
      </c>
      <c r="G148">
        <v>63.480128893662723</v>
      </c>
      <c r="H148">
        <v>26.733013040494168</v>
      </c>
      <c r="I148">
        <v>35.36498936924167</v>
      </c>
      <c r="J148">
        <v>38.398424375501634</v>
      </c>
      <c r="K148">
        <v>96.168582375478934</v>
      </c>
      <c r="L148">
        <v>19.215109546673212</v>
      </c>
      <c r="M148">
        <v>66.718453992160221</v>
      </c>
      <c r="N148">
        <v>59.920971279660606</v>
      </c>
      <c r="O148">
        <v>4.4280373831775703</v>
      </c>
      <c r="P148">
        <v>0.76196261682243005</v>
      </c>
      <c r="Q148">
        <v>147</v>
      </c>
      <c r="R148">
        <v>8</v>
      </c>
      <c r="S148" t="s">
        <v>24</v>
      </c>
      <c r="T148" t="s">
        <v>213</v>
      </c>
      <c r="U148">
        <v>1000</v>
      </c>
      <c r="V148">
        <v>1000</v>
      </c>
    </row>
    <row r="149" spans="1:22" x14ac:dyDescent="0.3">
      <c r="A149" t="s">
        <v>225</v>
      </c>
      <c r="B149" t="s">
        <v>192</v>
      </c>
      <c r="C149">
        <v>5.21</v>
      </c>
      <c r="D149">
        <v>4.1500000000000004</v>
      </c>
      <c r="E149">
        <v>5.25</v>
      </c>
      <c r="F149">
        <v>0.23</v>
      </c>
      <c r="G149">
        <v>63.480128893662723</v>
      </c>
      <c r="H149">
        <v>26.801647220315722</v>
      </c>
      <c r="I149">
        <v>35.577604535790222</v>
      </c>
      <c r="J149">
        <v>38.525322212722372</v>
      </c>
      <c r="K149">
        <v>95.785440613026822</v>
      </c>
      <c r="L149">
        <v>19.152368479323695</v>
      </c>
      <c r="M149">
        <v>66.827124708530675</v>
      </c>
      <c r="N149">
        <v>59.91580243675056</v>
      </c>
      <c r="O149">
        <v>4.4280373831775703</v>
      </c>
      <c r="P149">
        <v>0.82196261682242966</v>
      </c>
      <c r="Q149">
        <v>148</v>
      </c>
      <c r="R149">
        <v>9</v>
      </c>
      <c r="S149" t="s">
        <v>24</v>
      </c>
      <c r="T149" t="s">
        <v>45</v>
      </c>
      <c r="U149">
        <v>1000</v>
      </c>
    </row>
    <row r="150" spans="1:22" x14ac:dyDescent="0.3">
      <c r="A150" t="s">
        <v>226</v>
      </c>
      <c r="B150" t="s">
        <v>126</v>
      </c>
      <c r="C150">
        <v>12.78</v>
      </c>
      <c r="D150">
        <v>20.59</v>
      </c>
      <c r="E150">
        <v>14.89</v>
      </c>
      <c r="F150">
        <v>2.04</v>
      </c>
      <c r="G150">
        <v>79.742212674543495</v>
      </c>
      <c r="H150">
        <v>55.01029512697324</v>
      </c>
      <c r="I150">
        <v>69.737774627923457</v>
      </c>
      <c r="J150">
        <v>67.320418386962402</v>
      </c>
      <c r="K150">
        <v>26.436781609195403</v>
      </c>
      <c r="L150">
        <v>12.440894787349373</v>
      </c>
      <c r="M150">
        <v>78.451738136692086</v>
      </c>
      <c r="N150">
        <v>59.882339129953074</v>
      </c>
      <c r="O150">
        <v>11.362272727272726</v>
      </c>
      <c r="P150">
        <v>3.5277272727272742</v>
      </c>
      <c r="Q150">
        <v>149</v>
      </c>
      <c r="R150">
        <v>12</v>
      </c>
      <c r="S150" t="s">
        <v>24</v>
      </c>
      <c r="T150" t="s">
        <v>127</v>
      </c>
      <c r="U150">
        <v>1000</v>
      </c>
      <c r="V150">
        <v>1000</v>
      </c>
    </row>
    <row r="151" spans="1:22" x14ac:dyDescent="0.3">
      <c r="A151" t="s">
        <v>227</v>
      </c>
      <c r="B151" t="s">
        <v>195</v>
      </c>
      <c r="C151">
        <v>9.92</v>
      </c>
      <c r="D151">
        <v>20.43</v>
      </c>
      <c r="E151">
        <v>12.37</v>
      </c>
      <c r="F151">
        <v>1.87</v>
      </c>
      <c r="G151">
        <v>73.598281417830293</v>
      </c>
      <c r="H151">
        <v>54.73575840768703</v>
      </c>
      <c r="I151">
        <v>60.807937632884482</v>
      </c>
      <c r="J151">
        <v>61.544352622314406</v>
      </c>
      <c r="K151">
        <v>32.950191570881216</v>
      </c>
      <c r="L151">
        <v>9.6285948177655154</v>
      </c>
      <c r="M151">
        <v>83.322784570135724</v>
      </c>
      <c r="N151">
        <v>59.840420346411442</v>
      </c>
      <c r="O151">
        <v>10.412619047619048</v>
      </c>
      <c r="P151">
        <v>1.9573809523809516</v>
      </c>
      <c r="Q151">
        <v>150</v>
      </c>
      <c r="R151">
        <v>3</v>
      </c>
      <c r="S151" t="s">
        <v>24</v>
      </c>
      <c r="T151" t="s">
        <v>196</v>
      </c>
      <c r="U151">
        <v>5000</v>
      </c>
      <c r="V151">
        <v>1000</v>
      </c>
    </row>
    <row r="152" spans="1:22" x14ac:dyDescent="0.3">
      <c r="A152" t="s">
        <v>228</v>
      </c>
      <c r="B152" t="s">
        <v>229</v>
      </c>
      <c r="C152">
        <v>5.65</v>
      </c>
      <c r="D152">
        <v>4.79</v>
      </c>
      <c r="E152">
        <v>6.77</v>
      </c>
      <c r="F152">
        <v>0.44</v>
      </c>
      <c r="G152">
        <v>64.425349087003212</v>
      </c>
      <c r="H152">
        <v>27.899794097460539</v>
      </c>
      <c r="I152">
        <v>40.963855421686745</v>
      </c>
      <c r="J152">
        <v>41.736935757482179</v>
      </c>
      <c r="K152">
        <v>87.739463601532563</v>
      </c>
      <c r="L152">
        <v>18.507780123436977</v>
      </c>
      <c r="M152">
        <v>67.943584490893755</v>
      </c>
      <c r="N152">
        <v>59.789229901847669</v>
      </c>
      <c r="O152">
        <v>5.1221052631578941</v>
      </c>
      <c r="P152">
        <v>1.6478947368421055</v>
      </c>
      <c r="Q152">
        <v>151</v>
      </c>
      <c r="R152">
        <v>1</v>
      </c>
      <c r="S152" t="s">
        <v>24</v>
      </c>
      <c r="T152" t="s">
        <v>230</v>
      </c>
      <c r="U152">
        <v>20000</v>
      </c>
      <c r="V152">
        <v>1000</v>
      </c>
    </row>
    <row r="153" spans="1:22" x14ac:dyDescent="0.3">
      <c r="A153" t="s">
        <v>231</v>
      </c>
      <c r="B153" t="s">
        <v>229</v>
      </c>
      <c r="C153">
        <v>5.65</v>
      </c>
      <c r="D153">
        <v>4.79</v>
      </c>
      <c r="E153">
        <v>6.77</v>
      </c>
      <c r="F153">
        <v>0.44</v>
      </c>
      <c r="G153">
        <v>64.425349087003212</v>
      </c>
      <c r="H153">
        <v>27.899794097460539</v>
      </c>
      <c r="I153">
        <v>40.963855421686745</v>
      </c>
      <c r="J153">
        <v>41.736935757482179</v>
      </c>
      <c r="K153">
        <v>87.739463601532563</v>
      </c>
      <c r="L153">
        <v>18.507780123436977</v>
      </c>
      <c r="M153">
        <v>67.943584490893755</v>
      </c>
      <c r="N153">
        <v>59.789229901847669</v>
      </c>
      <c r="O153">
        <v>5.1221052631578941</v>
      </c>
      <c r="P153">
        <v>1.6478947368421055</v>
      </c>
      <c r="Q153">
        <v>151</v>
      </c>
      <c r="R153">
        <v>1</v>
      </c>
      <c r="S153" t="s">
        <v>24</v>
      </c>
      <c r="T153" t="s">
        <v>230</v>
      </c>
      <c r="U153">
        <v>20000</v>
      </c>
      <c r="V153">
        <v>1000</v>
      </c>
    </row>
    <row r="154" spans="1:22" x14ac:dyDescent="0.3">
      <c r="A154" t="s">
        <v>232</v>
      </c>
      <c r="B154" t="s">
        <v>229</v>
      </c>
      <c r="C154">
        <v>5.65</v>
      </c>
      <c r="D154">
        <v>4.79</v>
      </c>
      <c r="E154">
        <v>6.77</v>
      </c>
      <c r="F154">
        <v>0.44</v>
      </c>
      <c r="G154">
        <v>64.425349087003212</v>
      </c>
      <c r="H154">
        <v>27.899794097460539</v>
      </c>
      <c r="I154">
        <v>40.963855421686745</v>
      </c>
      <c r="J154">
        <v>41.736935757482179</v>
      </c>
      <c r="K154">
        <v>87.739463601532563</v>
      </c>
      <c r="L154">
        <v>18.507780123436977</v>
      </c>
      <c r="M154">
        <v>67.943584490893755</v>
      </c>
      <c r="N154">
        <v>59.789229901847669</v>
      </c>
      <c r="O154">
        <v>5.1221052631578941</v>
      </c>
      <c r="P154">
        <v>1.6478947368421055</v>
      </c>
      <c r="Q154">
        <v>151</v>
      </c>
      <c r="R154">
        <v>1</v>
      </c>
      <c r="S154" t="s">
        <v>24</v>
      </c>
      <c r="T154" t="s">
        <v>230</v>
      </c>
      <c r="U154">
        <v>20000</v>
      </c>
      <c r="V154">
        <v>1000</v>
      </c>
    </row>
    <row r="155" spans="1:22" x14ac:dyDescent="0.3">
      <c r="A155" t="s">
        <v>233</v>
      </c>
      <c r="B155" t="s">
        <v>229</v>
      </c>
      <c r="C155">
        <v>5.65</v>
      </c>
      <c r="D155">
        <v>4.79</v>
      </c>
      <c r="E155">
        <v>6.77</v>
      </c>
      <c r="F155">
        <v>0.44</v>
      </c>
      <c r="G155">
        <v>64.425349087003212</v>
      </c>
      <c r="H155">
        <v>27.899794097460539</v>
      </c>
      <c r="I155">
        <v>40.963855421686745</v>
      </c>
      <c r="J155">
        <v>41.736935757482179</v>
      </c>
      <c r="K155">
        <v>87.739463601532563</v>
      </c>
      <c r="L155">
        <v>18.507780123436977</v>
      </c>
      <c r="M155">
        <v>67.943584490893755</v>
      </c>
      <c r="N155">
        <v>59.789229901847669</v>
      </c>
      <c r="O155">
        <v>5.1221052631578941</v>
      </c>
      <c r="P155">
        <v>1.6478947368421055</v>
      </c>
      <c r="Q155">
        <v>151</v>
      </c>
      <c r="R155">
        <v>1</v>
      </c>
      <c r="S155" t="s">
        <v>24</v>
      </c>
      <c r="T155" t="s">
        <v>230</v>
      </c>
      <c r="U155">
        <v>20000</v>
      </c>
      <c r="V155">
        <v>1000</v>
      </c>
    </row>
    <row r="156" spans="1:22" x14ac:dyDescent="0.3">
      <c r="A156" t="s">
        <v>234</v>
      </c>
      <c r="B156" t="s">
        <v>77</v>
      </c>
      <c r="C156">
        <v>5.12</v>
      </c>
      <c r="D156">
        <v>23.35</v>
      </c>
      <c r="E156">
        <v>10.55</v>
      </c>
      <c r="F156">
        <v>1.91</v>
      </c>
      <c r="G156">
        <v>63.286788399570348</v>
      </c>
      <c r="H156">
        <v>59.74605353466027</v>
      </c>
      <c r="I156">
        <v>54.358610914245212</v>
      </c>
      <c r="J156">
        <v>57.760479197434762</v>
      </c>
      <c r="K156">
        <v>31.417624521072796</v>
      </c>
      <c r="L156">
        <v>4.4958072056328433</v>
      </c>
      <c r="M156">
        <v>92.213033498809651</v>
      </c>
      <c r="N156">
        <v>59.787904103687993</v>
      </c>
      <c r="O156">
        <v>9.0435999999999996</v>
      </c>
      <c r="P156">
        <v>1.5064000000000011</v>
      </c>
      <c r="Q156">
        <v>155</v>
      </c>
      <c r="R156">
        <v>3</v>
      </c>
      <c r="S156" t="s">
        <v>24</v>
      </c>
      <c r="T156" t="s">
        <v>107</v>
      </c>
      <c r="U156">
        <v>1000</v>
      </c>
      <c r="V156">
        <v>1000</v>
      </c>
    </row>
    <row r="157" spans="1:22" x14ac:dyDescent="0.3">
      <c r="A157" t="s">
        <v>235</v>
      </c>
      <c r="B157" t="s">
        <v>192</v>
      </c>
      <c r="C157">
        <v>5.25</v>
      </c>
      <c r="D157">
        <v>4.2</v>
      </c>
      <c r="E157">
        <v>5.3</v>
      </c>
      <c r="F157">
        <v>0.26</v>
      </c>
      <c r="G157">
        <v>63.566058002148232</v>
      </c>
      <c r="H157">
        <v>26.887439945092662</v>
      </c>
      <c r="I157">
        <v>35.754783841247338</v>
      </c>
      <c r="J157">
        <v>38.65683550458111</v>
      </c>
      <c r="K157">
        <v>94.636015325670499</v>
      </c>
      <c r="L157">
        <v>19.137301189042773</v>
      </c>
      <c r="M157">
        <v>66.853222020829634</v>
      </c>
      <c r="N157">
        <v>59.700727088915592</v>
      </c>
      <c r="O157">
        <v>4.4280373831775703</v>
      </c>
      <c r="P157">
        <v>0.87196261682242948</v>
      </c>
      <c r="Q157">
        <v>156</v>
      </c>
      <c r="R157">
        <v>10</v>
      </c>
      <c r="S157" t="s">
        <v>24</v>
      </c>
      <c r="T157" t="s">
        <v>45</v>
      </c>
      <c r="U157">
        <v>1000</v>
      </c>
    </row>
    <row r="158" spans="1:22" x14ac:dyDescent="0.3">
      <c r="A158" t="s">
        <v>236</v>
      </c>
      <c r="B158" t="s">
        <v>192</v>
      </c>
      <c r="C158">
        <v>5.29</v>
      </c>
      <c r="D158">
        <v>4.24</v>
      </c>
      <c r="E158">
        <v>4.55</v>
      </c>
      <c r="F158">
        <v>0.17</v>
      </c>
      <c r="G158">
        <v>63.651987110633726</v>
      </c>
      <c r="H158">
        <v>26.95607412491421</v>
      </c>
      <c r="I158">
        <v>33.097094259390502</v>
      </c>
      <c r="J158">
        <v>37.365766789296259</v>
      </c>
      <c r="K158">
        <v>98.084291187739453</v>
      </c>
      <c r="L158">
        <v>19.654955419683589</v>
      </c>
      <c r="M158">
        <v>65.956618592606759</v>
      </c>
      <c r="N158">
        <v>59.693110839734679</v>
      </c>
      <c r="O158">
        <v>4.4280373831775703</v>
      </c>
      <c r="P158">
        <v>0.12196261682242948</v>
      </c>
      <c r="Q158">
        <v>157</v>
      </c>
      <c r="R158">
        <v>11</v>
      </c>
      <c r="S158" t="s">
        <v>24</v>
      </c>
      <c r="T158" t="s">
        <v>45</v>
      </c>
      <c r="U158">
        <v>5000</v>
      </c>
      <c r="V158">
        <v>1000</v>
      </c>
    </row>
    <row r="159" spans="1:22" x14ac:dyDescent="0.3">
      <c r="A159" t="s">
        <v>237</v>
      </c>
      <c r="B159" t="s">
        <v>192</v>
      </c>
      <c r="C159">
        <v>5.24</v>
      </c>
      <c r="D159">
        <v>4.25</v>
      </c>
      <c r="E159">
        <v>4.53</v>
      </c>
      <c r="F159">
        <v>0.17</v>
      </c>
      <c r="G159">
        <v>63.544575725026853</v>
      </c>
      <c r="H159">
        <v>26.973232669869596</v>
      </c>
      <c r="I159">
        <v>33.026222537207651</v>
      </c>
      <c r="J159">
        <v>37.313996214570075</v>
      </c>
      <c r="K159">
        <v>98.084291187739453</v>
      </c>
      <c r="L159">
        <v>19.602175476583248</v>
      </c>
      <c r="M159">
        <v>66.048036135677137</v>
      </c>
      <c r="N159">
        <v>59.690079938139185</v>
      </c>
      <c r="O159">
        <v>4.4280373831775703</v>
      </c>
      <c r="P159">
        <v>0.10196261682242991</v>
      </c>
      <c r="Q159">
        <v>158</v>
      </c>
      <c r="R159">
        <v>12</v>
      </c>
      <c r="S159" t="s">
        <v>24</v>
      </c>
      <c r="T159" t="s">
        <v>45</v>
      </c>
      <c r="U159">
        <v>5000</v>
      </c>
      <c r="V159">
        <v>1000</v>
      </c>
    </row>
    <row r="160" spans="1:22" x14ac:dyDescent="0.3">
      <c r="A160" t="s">
        <v>238</v>
      </c>
      <c r="B160" t="s">
        <v>192</v>
      </c>
      <c r="C160">
        <v>5.24</v>
      </c>
      <c r="D160">
        <v>4.2300000000000004</v>
      </c>
      <c r="E160">
        <v>4.5199999999999996</v>
      </c>
      <c r="F160">
        <v>0.17</v>
      </c>
      <c r="G160">
        <v>63.544575725026853</v>
      </c>
      <c r="H160">
        <v>26.938915579958824</v>
      </c>
      <c r="I160">
        <v>32.990786676116223</v>
      </c>
      <c r="J160">
        <v>37.285983157051135</v>
      </c>
      <c r="K160">
        <v>98.084291187739453</v>
      </c>
      <c r="L160">
        <v>19.621983945165766</v>
      </c>
      <c r="M160">
        <v>66.013726861672097</v>
      </c>
      <c r="N160">
        <v>59.667496090878451</v>
      </c>
      <c r="O160">
        <v>4.4280373831775703</v>
      </c>
      <c r="P160">
        <v>9.1962616822429233E-2</v>
      </c>
      <c r="Q160">
        <v>159</v>
      </c>
      <c r="R160">
        <v>13</v>
      </c>
      <c r="S160" t="s">
        <v>24</v>
      </c>
      <c r="T160" t="s">
        <v>45</v>
      </c>
      <c r="U160">
        <v>5000</v>
      </c>
      <c r="V160">
        <v>1000</v>
      </c>
    </row>
    <row r="161" spans="1:22" x14ac:dyDescent="0.3">
      <c r="A161" t="s">
        <v>239</v>
      </c>
      <c r="B161" t="s">
        <v>126</v>
      </c>
      <c r="C161">
        <v>12.78</v>
      </c>
      <c r="D161">
        <v>20.59</v>
      </c>
      <c r="E161">
        <v>14.62</v>
      </c>
      <c r="F161">
        <v>2.04</v>
      </c>
      <c r="G161">
        <v>79.742212674543495</v>
      </c>
      <c r="H161">
        <v>55.01029512697324</v>
      </c>
      <c r="I161">
        <v>68.78100637845499</v>
      </c>
      <c r="J161">
        <v>66.842034262228168</v>
      </c>
      <c r="K161">
        <v>26.436781609195403</v>
      </c>
      <c r="L161">
        <v>12.392526493932474</v>
      </c>
      <c r="M161">
        <v>78.535514478365542</v>
      </c>
      <c r="N161">
        <v>59.664091153004321</v>
      </c>
      <c r="O161">
        <v>11.362272727272726</v>
      </c>
      <c r="P161">
        <v>3.2577272727272728</v>
      </c>
      <c r="Q161">
        <v>160</v>
      </c>
      <c r="R161">
        <v>13</v>
      </c>
      <c r="S161" t="s">
        <v>24</v>
      </c>
      <c r="T161" t="s">
        <v>127</v>
      </c>
      <c r="U161">
        <v>1000</v>
      </c>
      <c r="V161">
        <v>1000</v>
      </c>
    </row>
    <row r="162" spans="1:22" x14ac:dyDescent="0.3">
      <c r="A162" t="s">
        <v>240</v>
      </c>
      <c r="B162" t="s">
        <v>151</v>
      </c>
      <c r="C162">
        <v>-6.21</v>
      </c>
      <c r="D162">
        <v>10.18</v>
      </c>
      <c r="E162">
        <v>4.9400000000000004</v>
      </c>
      <c r="F162">
        <v>0.9</v>
      </c>
      <c r="G162">
        <v>38.94736842105263</v>
      </c>
      <c r="H162">
        <v>37.148249828414556</v>
      </c>
      <c r="I162">
        <v>34.47909284195606</v>
      </c>
      <c r="J162">
        <v>36.173495053712927</v>
      </c>
      <c r="K162">
        <v>70.114942528735625</v>
      </c>
      <c r="L162">
        <v>2.2482108953375568</v>
      </c>
      <c r="M162">
        <v>96.105984503145436</v>
      </c>
      <c r="N162">
        <v>59.641979284826725</v>
      </c>
      <c r="O162">
        <v>5.0250000000000004</v>
      </c>
      <c r="P162">
        <v>-8.4999999999999964E-2</v>
      </c>
      <c r="Q162">
        <v>161</v>
      </c>
      <c r="R162">
        <v>3</v>
      </c>
      <c r="S162" t="s">
        <v>24</v>
      </c>
      <c r="T162" t="s">
        <v>152</v>
      </c>
      <c r="U162">
        <v>5000</v>
      </c>
      <c r="V162">
        <v>1000</v>
      </c>
    </row>
    <row r="163" spans="1:22" x14ac:dyDescent="0.3">
      <c r="A163" t="s">
        <v>241</v>
      </c>
      <c r="B163" t="s">
        <v>151</v>
      </c>
      <c r="C163">
        <v>-6.21</v>
      </c>
      <c r="D163">
        <v>10.18</v>
      </c>
      <c r="E163">
        <v>4.9400000000000004</v>
      </c>
      <c r="F163">
        <v>0.9</v>
      </c>
      <c r="G163">
        <v>38.94736842105263</v>
      </c>
      <c r="H163">
        <v>37.148249828414556</v>
      </c>
      <c r="I163">
        <v>34.47909284195606</v>
      </c>
      <c r="J163">
        <v>36.173495053712927</v>
      </c>
      <c r="K163">
        <v>70.114942528735625</v>
      </c>
      <c r="L163">
        <v>2.2482108953375568</v>
      </c>
      <c r="M163">
        <v>96.105984503145436</v>
      </c>
      <c r="N163">
        <v>59.641979284826725</v>
      </c>
      <c r="O163">
        <v>5.0250000000000004</v>
      </c>
      <c r="P163">
        <v>-8.4999999999999964E-2</v>
      </c>
      <c r="Q163">
        <v>161</v>
      </c>
      <c r="R163">
        <v>3</v>
      </c>
      <c r="S163" t="s">
        <v>24</v>
      </c>
      <c r="T163" t="s">
        <v>152</v>
      </c>
      <c r="U163">
        <v>5000</v>
      </c>
      <c r="V163">
        <v>1000</v>
      </c>
    </row>
    <row r="164" spans="1:22" x14ac:dyDescent="0.3">
      <c r="A164" t="s">
        <v>242</v>
      </c>
      <c r="B164" t="s">
        <v>192</v>
      </c>
      <c r="C164">
        <v>5.2</v>
      </c>
      <c r="D164">
        <v>4.08</v>
      </c>
      <c r="E164">
        <v>5.2</v>
      </c>
      <c r="F164">
        <v>0.25</v>
      </c>
      <c r="G164">
        <v>63.458646616541344</v>
      </c>
      <c r="H164">
        <v>26.68153740562801</v>
      </c>
      <c r="I164">
        <v>35.400425230333099</v>
      </c>
      <c r="J164">
        <v>38.396403160163217</v>
      </c>
      <c r="K164">
        <v>95.019157088122611</v>
      </c>
      <c r="L164">
        <v>19.217346999385352</v>
      </c>
      <c r="M164">
        <v>66.714578610383256</v>
      </c>
      <c r="N164">
        <v>59.631635504708079</v>
      </c>
      <c r="O164">
        <v>4.4280373831775703</v>
      </c>
      <c r="P164">
        <v>0.77196261682242984</v>
      </c>
      <c r="Q164">
        <v>163</v>
      </c>
      <c r="R164">
        <v>14</v>
      </c>
      <c r="S164" t="s">
        <v>24</v>
      </c>
      <c r="T164" t="s">
        <v>45</v>
      </c>
      <c r="U164">
        <v>5000</v>
      </c>
      <c r="V164">
        <v>1000</v>
      </c>
    </row>
    <row r="165" spans="1:22" x14ac:dyDescent="0.3">
      <c r="A165" t="s">
        <v>243</v>
      </c>
      <c r="B165" t="s">
        <v>192</v>
      </c>
      <c r="C165">
        <v>5.2</v>
      </c>
      <c r="D165">
        <v>4.08</v>
      </c>
      <c r="E165">
        <v>5.2</v>
      </c>
      <c r="F165">
        <v>0.25</v>
      </c>
      <c r="G165">
        <v>63.458646616541344</v>
      </c>
      <c r="H165">
        <v>26.68153740562801</v>
      </c>
      <c r="I165">
        <v>35.400425230333099</v>
      </c>
      <c r="J165">
        <v>38.396403160163217</v>
      </c>
      <c r="K165">
        <v>95.019157088122611</v>
      </c>
      <c r="L165">
        <v>19.217346999385352</v>
      </c>
      <c r="M165">
        <v>66.714578610383256</v>
      </c>
      <c r="N165">
        <v>59.631635504708079</v>
      </c>
      <c r="O165">
        <v>4.4280373831775703</v>
      </c>
      <c r="P165">
        <v>0.77196261682242984</v>
      </c>
      <c r="Q165">
        <v>163</v>
      </c>
      <c r="R165">
        <v>14</v>
      </c>
      <c r="S165" t="s">
        <v>24</v>
      </c>
      <c r="T165" t="s">
        <v>45</v>
      </c>
      <c r="U165">
        <v>5000</v>
      </c>
      <c r="V165">
        <v>1000</v>
      </c>
    </row>
    <row r="166" spans="1:22" x14ac:dyDescent="0.3">
      <c r="A166" t="s">
        <v>244</v>
      </c>
      <c r="B166" t="s">
        <v>44</v>
      </c>
      <c r="C166">
        <v>7.86</v>
      </c>
      <c r="D166">
        <v>12.54</v>
      </c>
      <c r="E166">
        <v>11.45</v>
      </c>
      <c r="F166">
        <v>1.35</v>
      </c>
      <c r="G166">
        <v>69.172932330827066</v>
      </c>
      <c r="H166">
        <v>41.19766643788607</v>
      </c>
      <c r="I166">
        <v>57.547838412473418</v>
      </c>
      <c r="J166">
        <v>54.967805603767943</v>
      </c>
      <c r="K166">
        <v>52.873563218390807</v>
      </c>
      <c r="L166">
        <v>14.053981843768645</v>
      </c>
      <c r="M166">
        <v>75.657789397942182</v>
      </c>
      <c r="N166">
        <v>59.616740955967217</v>
      </c>
      <c r="O166">
        <v>7.5967647058823538</v>
      </c>
      <c r="P166">
        <v>3.8532352941176455</v>
      </c>
      <c r="Q166">
        <v>165</v>
      </c>
      <c r="R166">
        <v>11</v>
      </c>
      <c r="S166" t="s">
        <v>24</v>
      </c>
      <c r="T166" t="s">
        <v>112</v>
      </c>
      <c r="U166">
        <v>5000</v>
      </c>
      <c r="V166">
        <v>1000</v>
      </c>
    </row>
    <row r="167" spans="1:22" x14ac:dyDescent="0.3">
      <c r="A167" t="s">
        <v>245</v>
      </c>
      <c r="B167" t="s">
        <v>192</v>
      </c>
      <c r="C167">
        <v>5.23</v>
      </c>
      <c r="D167">
        <v>4.2</v>
      </c>
      <c r="E167">
        <v>4.4800000000000004</v>
      </c>
      <c r="F167">
        <v>0.17</v>
      </c>
      <c r="G167">
        <v>63.523093447905474</v>
      </c>
      <c r="H167">
        <v>26.887439945092662</v>
      </c>
      <c r="I167">
        <v>32.849043231750528</v>
      </c>
      <c r="J167">
        <v>37.19537228898416</v>
      </c>
      <c r="K167">
        <v>98.084291187739453</v>
      </c>
      <c r="L167">
        <v>19.657946561076539</v>
      </c>
      <c r="M167">
        <v>65.95143778374154</v>
      </c>
      <c r="N167">
        <v>59.606618387362332</v>
      </c>
      <c r="O167">
        <v>4.4280373831775703</v>
      </c>
      <c r="P167">
        <v>5.1962616822430086E-2</v>
      </c>
      <c r="Q167">
        <v>166</v>
      </c>
      <c r="R167">
        <v>16</v>
      </c>
      <c r="S167" t="s">
        <v>24</v>
      </c>
      <c r="T167" t="s">
        <v>45</v>
      </c>
      <c r="U167">
        <v>5000</v>
      </c>
      <c r="V167">
        <v>2000</v>
      </c>
    </row>
    <row r="168" spans="1:22" x14ac:dyDescent="0.3">
      <c r="A168" t="s">
        <v>246</v>
      </c>
      <c r="B168" t="s">
        <v>195</v>
      </c>
      <c r="C168">
        <v>9.92</v>
      </c>
      <c r="D168">
        <v>20.440000000000001</v>
      </c>
      <c r="E168">
        <v>12.12</v>
      </c>
      <c r="F168">
        <v>1.87</v>
      </c>
      <c r="G168">
        <v>73.598281417830293</v>
      </c>
      <c r="H168">
        <v>54.752916952642416</v>
      </c>
      <c r="I168">
        <v>59.922041105598865</v>
      </c>
      <c r="J168">
        <v>61.106551922158218</v>
      </c>
      <c r="K168">
        <v>32.950191570881216</v>
      </c>
      <c r="L168">
        <v>9.7374462378691096</v>
      </c>
      <c r="M168">
        <v>83.134248380040276</v>
      </c>
      <c r="N168">
        <v>59.574385948809478</v>
      </c>
      <c r="O168">
        <v>10.412619047619048</v>
      </c>
      <c r="P168">
        <v>1.7073809523809516</v>
      </c>
      <c r="Q168">
        <v>167</v>
      </c>
      <c r="R168">
        <v>4</v>
      </c>
      <c r="S168" t="s">
        <v>24</v>
      </c>
      <c r="T168" t="s">
        <v>196</v>
      </c>
      <c r="U168">
        <v>5000</v>
      </c>
      <c r="V168">
        <v>1000</v>
      </c>
    </row>
    <row r="169" spans="1:22" x14ac:dyDescent="0.3">
      <c r="A169" t="s">
        <v>247</v>
      </c>
      <c r="B169" t="s">
        <v>202</v>
      </c>
      <c r="C169">
        <v>4.1500000000000004</v>
      </c>
      <c r="D169">
        <v>21.04</v>
      </c>
      <c r="E169">
        <v>11.54</v>
      </c>
      <c r="F169">
        <v>2.02</v>
      </c>
      <c r="G169">
        <v>61.203007518796994</v>
      </c>
      <c r="H169">
        <v>55.782429649965692</v>
      </c>
      <c r="I169">
        <v>57.866761162296228</v>
      </c>
      <c r="J169">
        <v>57.908710979897222</v>
      </c>
      <c r="K169">
        <v>27.203065134099624</v>
      </c>
      <c r="L169">
        <v>2.7342775412840599</v>
      </c>
      <c r="M169">
        <v>95.264092376501495</v>
      </c>
      <c r="N169">
        <v>59.571144867598889</v>
      </c>
      <c r="O169">
        <v>10.023387096774194</v>
      </c>
      <c r="P169">
        <v>1.5166129032258056</v>
      </c>
      <c r="Q169">
        <v>168</v>
      </c>
      <c r="R169">
        <v>3</v>
      </c>
      <c r="S169" t="s">
        <v>24</v>
      </c>
      <c r="T169" t="s">
        <v>107</v>
      </c>
      <c r="U169">
        <v>1000</v>
      </c>
      <c r="V169">
        <v>1000</v>
      </c>
    </row>
    <row r="170" spans="1:22" x14ac:dyDescent="0.3">
      <c r="A170" t="s">
        <v>248</v>
      </c>
      <c r="B170" t="s">
        <v>192</v>
      </c>
      <c r="C170">
        <v>5.18</v>
      </c>
      <c r="D170">
        <v>4.08</v>
      </c>
      <c r="E170">
        <v>5.13</v>
      </c>
      <c r="F170">
        <v>0.25</v>
      </c>
      <c r="G170">
        <v>63.415682062298593</v>
      </c>
      <c r="H170">
        <v>26.68153740562801</v>
      </c>
      <c r="I170">
        <v>35.152374202693125</v>
      </c>
      <c r="J170">
        <v>38.263784735494681</v>
      </c>
      <c r="K170">
        <v>95.019157088122611</v>
      </c>
      <c r="L170">
        <v>19.235241229171649</v>
      </c>
      <c r="M170">
        <v>66.683584895231078</v>
      </c>
      <c r="N170">
        <v>59.557577863585763</v>
      </c>
      <c r="O170">
        <v>4.4280373831775703</v>
      </c>
      <c r="P170">
        <v>0.70196261682242955</v>
      </c>
      <c r="Q170">
        <v>169</v>
      </c>
      <c r="R170">
        <v>17</v>
      </c>
      <c r="S170" t="s">
        <v>24</v>
      </c>
      <c r="T170" t="s">
        <v>213</v>
      </c>
      <c r="U170">
        <v>1000</v>
      </c>
      <c r="V170">
        <v>1000</v>
      </c>
    </row>
    <row r="171" spans="1:22" x14ac:dyDescent="0.3">
      <c r="A171" t="s">
        <v>249</v>
      </c>
      <c r="B171" t="s">
        <v>192</v>
      </c>
      <c r="C171">
        <v>5.19</v>
      </c>
      <c r="D171">
        <v>4.13</v>
      </c>
      <c r="E171">
        <v>5.27</v>
      </c>
      <c r="F171">
        <v>0.27</v>
      </c>
      <c r="G171">
        <v>63.437164339419972</v>
      </c>
      <c r="H171">
        <v>26.767330130404943</v>
      </c>
      <c r="I171">
        <v>35.648476257973059</v>
      </c>
      <c r="J171">
        <v>38.541870035992005</v>
      </c>
      <c r="K171">
        <v>94.252873563218387</v>
      </c>
      <c r="L171">
        <v>19.130092710804345</v>
      </c>
      <c r="M171">
        <v>66.865707471383843</v>
      </c>
      <c r="N171">
        <v>59.550580276646564</v>
      </c>
      <c r="O171">
        <v>4.4280373831775703</v>
      </c>
      <c r="P171">
        <v>0.84196261682242923</v>
      </c>
      <c r="Q171">
        <v>170</v>
      </c>
      <c r="R171">
        <v>18</v>
      </c>
      <c r="S171" t="s">
        <v>24</v>
      </c>
      <c r="T171" t="s">
        <v>45</v>
      </c>
      <c r="U171">
        <v>5000</v>
      </c>
      <c r="V171">
        <v>1000</v>
      </c>
    </row>
    <row r="172" spans="1:22" x14ac:dyDescent="0.3">
      <c r="A172" t="s">
        <v>250</v>
      </c>
      <c r="B172" t="s">
        <v>148</v>
      </c>
      <c r="C172">
        <v>13.99</v>
      </c>
      <c r="D172">
        <v>20.309999999999999</v>
      </c>
      <c r="E172">
        <v>12.39</v>
      </c>
      <c r="F172">
        <v>1.77</v>
      </c>
      <c r="G172">
        <v>82.341568206229866</v>
      </c>
      <c r="H172">
        <v>54.529855868222377</v>
      </c>
      <c r="I172">
        <v>60.878809355067332</v>
      </c>
      <c r="J172">
        <v>63.266675079246347</v>
      </c>
      <c r="K172">
        <v>36.781609195402297</v>
      </c>
      <c r="L172">
        <v>14.574238522437199</v>
      </c>
      <c r="M172">
        <v>74.756678397511209</v>
      </c>
      <c r="N172">
        <v>59.517909437851557</v>
      </c>
      <c r="O172">
        <v>10.461</v>
      </c>
      <c r="P172">
        <v>1.9290000000000003</v>
      </c>
      <c r="Q172">
        <v>171</v>
      </c>
      <c r="R172">
        <v>4</v>
      </c>
      <c r="S172" t="s">
        <v>24</v>
      </c>
      <c r="T172" t="s">
        <v>78</v>
      </c>
      <c r="U172">
        <v>1000</v>
      </c>
      <c r="V172">
        <v>1000</v>
      </c>
    </row>
    <row r="173" spans="1:22" x14ac:dyDescent="0.3">
      <c r="A173" t="s">
        <v>251</v>
      </c>
      <c r="B173" t="s">
        <v>192</v>
      </c>
      <c r="C173">
        <v>5.21</v>
      </c>
      <c r="D173">
        <v>4.1500000000000004</v>
      </c>
      <c r="E173">
        <v>5.23</v>
      </c>
      <c r="F173">
        <v>0.27</v>
      </c>
      <c r="G173">
        <v>63.480128893662723</v>
      </c>
      <c r="H173">
        <v>26.801647220315722</v>
      </c>
      <c r="I173">
        <v>35.506732813607364</v>
      </c>
      <c r="J173">
        <v>38.489886351630943</v>
      </c>
      <c r="K173">
        <v>94.252873563218387</v>
      </c>
      <c r="L173">
        <v>19.164204572154141</v>
      </c>
      <c r="M173">
        <v>66.806623994385248</v>
      </c>
      <c r="N173">
        <v>59.50981756521638</v>
      </c>
      <c r="O173">
        <v>4.4280373831775703</v>
      </c>
      <c r="P173">
        <v>0.80196261682243009</v>
      </c>
      <c r="Q173">
        <v>172</v>
      </c>
      <c r="R173">
        <v>19</v>
      </c>
      <c r="S173" t="s">
        <v>24</v>
      </c>
      <c r="T173" t="s">
        <v>45</v>
      </c>
      <c r="U173">
        <v>5000</v>
      </c>
      <c r="V173">
        <v>1000</v>
      </c>
    </row>
    <row r="174" spans="1:22" x14ac:dyDescent="0.3">
      <c r="A174" t="s">
        <v>252</v>
      </c>
      <c r="B174" t="s">
        <v>229</v>
      </c>
      <c r="C174">
        <v>5.17</v>
      </c>
      <c r="D174">
        <v>4.34</v>
      </c>
      <c r="E174">
        <v>10.71</v>
      </c>
      <c r="F174">
        <v>0.79</v>
      </c>
      <c r="G174">
        <v>63.394199785177229</v>
      </c>
      <c r="H174">
        <v>27.127659574468087</v>
      </c>
      <c r="I174">
        <v>54.925584691708011</v>
      </c>
      <c r="J174">
        <v>48.279930175229879</v>
      </c>
      <c r="K174">
        <v>74.329501915708818</v>
      </c>
      <c r="L174">
        <v>18.972365962455306</v>
      </c>
      <c r="M174">
        <v>67.138898213237013</v>
      </c>
      <c r="N174">
        <v>59.507065119851397</v>
      </c>
      <c r="O174">
        <v>5.1221052631578941</v>
      </c>
      <c r="P174">
        <v>5.5878947368421068</v>
      </c>
      <c r="Q174">
        <v>173</v>
      </c>
      <c r="R174">
        <v>5</v>
      </c>
      <c r="S174" t="s">
        <v>24</v>
      </c>
      <c r="T174" t="s">
        <v>230</v>
      </c>
      <c r="U174">
        <v>5000</v>
      </c>
      <c r="V174">
        <v>1000</v>
      </c>
    </row>
    <row r="175" spans="1:22" x14ac:dyDescent="0.3">
      <c r="A175" t="s">
        <v>253</v>
      </c>
      <c r="B175" t="s">
        <v>229</v>
      </c>
      <c r="C175">
        <v>5.17</v>
      </c>
      <c r="D175">
        <v>4.34</v>
      </c>
      <c r="E175">
        <v>10.7</v>
      </c>
      <c r="F175">
        <v>0.79</v>
      </c>
      <c r="G175">
        <v>63.394199785177229</v>
      </c>
      <c r="H175">
        <v>27.127659574468087</v>
      </c>
      <c r="I175">
        <v>54.890148830616582</v>
      </c>
      <c r="J175">
        <v>48.262212244684164</v>
      </c>
      <c r="K175">
        <v>74.329501915708818</v>
      </c>
      <c r="L175">
        <v>18.96635895118208</v>
      </c>
      <c r="M175">
        <v>67.149302661963873</v>
      </c>
      <c r="N175">
        <v>59.500807266760255</v>
      </c>
      <c r="O175">
        <v>5.1221052631578941</v>
      </c>
      <c r="P175">
        <v>5.5778947368421052</v>
      </c>
      <c r="Q175">
        <v>174</v>
      </c>
      <c r="R175">
        <v>6</v>
      </c>
      <c r="S175" t="s">
        <v>24</v>
      </c>
      <c r="T175" t="s">
        <v>230</v>
      </c>
      <c r="U175">
        <v>5000</v>
      </c>
      <c r="V175">
        <v>1000</v>
      </c>
    </row>
    <row r="176" spans="1:22" x14ac:dyDescent="0.3">
      <c r="A176" t="s">
        <v>254</v>
      </c>
      <c r="B176" t="s">
        <v>229</v>
      </c>
      <c r="C176">
        <v>5.17</v>
      </c>
      <c r="D176">
        <v>4.34</v>
      </c>
      <c r="E176">
        <v>10.69</v>
      </c>
      <c r="F176">
        <v>0.79</v>
      </c>
      <c r="G176">
        <v>63.394199785177229</v>
      </c>
      <c r="H176">
        <v>27.127659574468087</v>
      </c>
      <c r="I176">
        <v>54.854712969525153</v>
      </c>
      <c r="J176">
        <v>48.24449431413845</v>
      </c>
      <c r="K176">
        <v>74.329501915708818</v>
      </c>
      <c r="L176">
        <v>18.960372112654788</v>
      </c>
      <c r="M176">
        <v>67.159672170469861</v>
      </c>
      <c r="N176">
        <v>59.494540678613895</v>
      </c>
      <c r="O176">
        <v>5.1221052631578941</v>
      </c>
      <c r="P176">
        <v>5.5678947368421055</v>
      </c>
      <c r="Q176">
        <v>175</v>
      </c>
      <c r="R176">
        <v>7</v>
      </c>
      <c r="S176" t="s">
        <v>24</v>
      </c>
      <c r="T176" t="s">
        <v>230</v>
      </c>
      <c r="U176">
        <v>5000</v>
      </c>
      <c r="V176">
        <v>1000</v>
      </c>
    </row>
    <row r="177" spans="1:22" x14ac:dyDescent="0.3">
      <c r="A177" t="s">
        <v>255</v>
      </c>
      <c r="B177" t="s">
        <v>126</v>
      </c>
      <c r="C177">
        <v>12.02</v>
      </c>
      <c r="D177">
        <v>20.93</v>
      </c>
      <c r="E177">
        <v>11.5</v>
      </c>
      <c r="F177">
        <v>1.76</v>
      </c>
      <c r="G177">
        <v>78.109559613319007</v>
      </c>
      <c r="H177">
        <v>55.593685655456412</v>
      </c>
      <c r="I177">
        <v>57.725017717930548</v>
      </c>
      <c r="J177">
        <v>61.162526478266003</v>
      </c>
      <c r="K177">
        <v>37.164750957854409</v>
      </c>
      <c r="L177">
        <v>12.43004897236084</v>
      </c>
      <c r="M177">
        <v>78.470523639301717</v>
      </c>
      <c r="N177">
        <v>59.490081888422033</v>
      </c>
      <c r="O177">
        <v>11.362272727272726</v>
      </c>
      <c r="P177">
        <v>0.13772727272727359</v>
      </c>
      <c r="Q177">
        <v>176</v>
      </c>
      <c r="R177">
        <v>14</v>
      </c>
      <c r="S177" t="s">
        <v>24</v>
      </c>
      <c r="T177" t="s">
        <v>127</v>
      </c>
      <c r="U177">
        <v>1000</v>
      </c>
      <c r="V177">
        <v>1000</v>
      </c>
    </row>
    <row r="178" spans="1:22" x14ac:dyDescent="0.3">
      <c r="A178" t="s">
        <v>256</v>
      </c>
      <c r="B178" t="s">
        <v>229</v>
      </c>
      <c r="C178">
        <v>5.17</v>
      </c>
      <c r="D178">
        <v>4.34</v>
      </c>
      <c r="E178">
        <v>10.68</v>
      </c>
      <c r="F178">
        <v>0.79</v>
      </c>
      <c r="G178">
        <v>63.394199785177229</v>
      </c>
      <c r="H178">
        <v>27.127659574468087</v>
      </c>
      <c r="I178">
        <v>54.819277108433731</v>
      </c>
      <c r="J178">
        <v>48.226776383592735</v>
      </c>
      <c r="K178">
        <v>74.329501915708818</v>
      </c>
      <c r="L178">
        <v>18.954405465988401</v>
      </c>
      <c r="M178">
        <v>67.170006705646841</v>
      </c>
      <c r="N178">
        <v>59.488265347135282</v>
      </c>
      <c r="O178">
        <v>5.1221052631578941</v>
      </c>
      <c r="P178">
        <v>5.5578947368421057</v>
      </c>
      <c r="Q178">
        <v>177</v>
      </c>
      <c r="R178">
        <v>8</v>
      </c>
      <c r="S178" t="s">
        <v>24</v>
      </c>
      <c r="T178" t="s">
        <v>230</v>
      </c>
      <c r="U178">
        <v>5000</v>
      </c>
      <c r="V178">
        <v>1000</v>
      </c>
    </row>
    <row r="179" spans="1:22" x14ac:dyDescent="0.3">
      <c r="A179" t="s">
        <v>257</v>
      </c>
      <c r="B179" t="s">
        <v>192</v>
      </c>
      <c r="C179">
        <v>5.2</v>
      </c>
      <c r="D179">
        <v>4.13</v>
      </c>
      <c r="E179">
        <v>5.21</v>
      </c>
      <c r="F179">
        <v>0.27</v>
      </c>
      <c r="G179">
        <v>63.458646616541344</v>
      </c>
      <c r="H179">
        <v>26.767330130404943</v>
      </c>
      <c r="I179">
        <v>35.43586109142452</v>
      </c>
      <c r="J179">
        <v>38.439858908142014</v>
      </c>
      <c r="K179">
        <v>94.252873563218387</v>
      </c>
      <c r="L179">
        <v>19.177559121251921</v>
      </c>
      <c r="M179">
        <v>66.783493236835724</v>
      </c>
      <c r="N179">
        <v>59.479021154084535</v>
      </c>
      <c r="O179">
        <v>4.4280373831775703</v>
      </c>
      <c r="P179">
        <v>0.78196261682242962</v>
      </c>
      <c r="Q179">
        <v>178</v>
      </c>
      <c r="R179">
        <v>20</v>
      </c>
      <c r="S179" t="s">
        <v>24</v>
      </c>
      <c r="T179" t="s">
        <v>45</v>
      </c>
      <c r="U179">
        <v>1000</v>
      </c>
      <c r="V179">
        <v>1000</v>
      </c>
    </row>
    <row r="180" spans="1:22" x14ac:dyDescent="0.3">
      <c r="A180" t="s">
        <v>258</v>
      </c>
      <c r="B180" t="s">
        <v>148</v>
      </c>
      <c r="C180">
        <v>2.93</v>
      </c>
      <c r="D180">
        <v>18.3</v>
      </c>
      <c r="E180">
        <v>11.1</v>
      </c>
      <c r="F180">
        <v>1.84</v>
      </c>
      <c r="G180">
        <v>58.582169709989252</v>
      </c>
      <c r="H180">
        <v>51.080988332189435</v>
      </c>
      <c r="I180">
        <v>56.307583274273568</v>
      </c>
      <c r="J180">
        <v>55.194522078791465</v>
      </c>
      <c r="K180">
        <v>34.099616858237546</v>
      </c>
      <c r="L180">
        <v>3.8461833940676824</v>
      </c>
      <c r="M180">
        <v>93.338214946247064</v>
      </c>
      <c r="N180">
        <v>59.456718990516883</v>
      </c>
      <c r="O180">
        <v>10.461</v>
      </c>
      <c r="P180">
        <v>0.63899999999999935</v>
      </c>
      <c r="Q180">
        <v>179</v>
      </c>
      <c r="R180">
        <v>5</v>
      </c>
      <c r="S180" t="s">
        <v>24</v>
      </c>
      <c r="T180" t="s">
        <v>78</v>
      </c>
      <c r="U180">
        <v>5000</v>
      </c>
      <c r="V180">
        <v>1000</v>
      </c>
    </row>
    <row r="181" spans="1:22" x14ac:dyDescent="0.3">
      <c r="A181" t="s">
        <v>259</v>
      </c>
      <c r="B181" t="s">
        <v>216</v>
      </c>
      <c r="C181">
        <v>4.95</v>
      </c>
      <c r="D181">
        <v>3.72</v>
      </c>
      <c r="E181">
        <v>4.57</v>
      </c>
      <c r="F181">
        <v>0.18</v>
      </c>
      <c r="G181">
        <v>62.921589688506984</v>
      </c>
      <c r="H181">
        <v>26.063829787234049</v>
      </c>
      <c r="I181">
        <v>33.167965981573353</v>
      </c>
      <c r="J181">
        <v>36.987449864658288</v>
      </c>
      <c r="K181">
        <v>97.701149425287355</v>
      </c>
      <c r="L181">
        <v>19.554374360150245</v>
      </c>
      <c r="M181">
        <v>66.130830097997617</v>
      </c>
      <c r="N181">
        <v>59.45171981315039</v>
      </c>
      <c r="O181">
        <v>4.3460000000000001</v>
      </c>
      <c r="P181">
        <v>0.2240000000000002</v>
      </c>
      <c r="Q181">
        <v>180</v>
      </c>
      <c r="R181">
        <v>2</v>
      </c>
      <c r="S181" t="s">
        <v>24</v>
      </c>
      <c r="T181" t="s">
        <v>217</v>
      </c>
      <c r="U181">
        <v>5000</v>
      </c>
      <c r="V181">
        <v>2000</v>
      </c>
    </row>
    <row r="182" spans="1:22" x14ac:dyDescent="0.3">
      <c r="A182" t="s">
        <v>260</v>
      </c>
      <c r="B182" t="s">
        <v>202</v>
      </c>
      <c r="C182">
        <v>3.42</v>
      </c>
      <c r="D182">
        <v>33.99</v>
      </c>
      <c r="E182">
        <v>19.739999999999998</v>
      </c>
      <c r="F182">
        <v>2.62</v>
      </c>
      <c r="G182">
        <v>59.634801288936622</v>
      </c>
      <c r="H182">
        <v>78.002745367192873</v>
      </c>
      <c r="I182">
        <v>86.924167257264344</v>
      </c>
      <c r="J182">
        <v>78.789867496577358</v>
      </c>
      <c r="K182">
        <v>4.2145593869731712</v>
      </c>
      <c r="L182">
        <v>13.914516599316451</v>
      </c>
      <c r="M182">
        <v>75.899350287223399</v>
      </c>
      <c r="N182">
        <v>59.423411166837823</v>
      </c>
      <c r="O182">
        <v>10.023387096774194</v>
      </c>
      <c r="P182">
        <v>9.7166129032258048</v>
      </c>
      <c r="Q182">
        <v>181</v>
      </c>
      <c r="R182">
        <v>4</v>
      </c>
      <c r="S182" t="s">
        <v>24</v>
      </c>
      <c r="T182" t="s">
        <v>78</v>
      </c>
      <c r="U182">
        <v>1000</v>
      </c>
      <c r="V182">
        <v>1000</v>
      </c>
    </row>
    <row r="183" spans="1:22" x14ac:dyDescent="0.3">
      <c r="A183" t="s">
        <v>261</v>
      </c>
      <c r="B183" t="s">
        <v>262</v>
      </c>
      <c r="C183">
        <v>6.19</v>
      </c>
      <c r="D183">
        <v>5.25</v>
      </c>
      <c r="E183">
        <v>4.91</v>
      </c>
      <c r="F183">
        <v>0.27</v>
      </c>
      <c r="G183">
        <v>65.585392051557463</v>
      </c>
      <c r="H183">
        <v>28.689087165408377</v>
      </c>
      <c r="I183">
        <v>34.37278525868178</v>
      </c>
      <c r="J183">
        <v>38.910197189274896</v>
      </c>
      <c r="K183">
        <v>94.252873563218387</v>
      </c>
      <c r="L183">
        <v>19.865667876489066</v>
      </c>
      <c r="M183">
        <v>65.591653911632008</v>
      </c>
      <c r="N183">
        <v>59.416230463350047</v>
      </c>
      <c r="O183">
        <v>4.4728846153846158</v>
      </c>
      <c r="P183">
        <v>0.43711538461538435</v>
      </c>
      <c r="Q183">
        <v>182</v>
      </c>
      <c r="R183">
        <v>1</v>
      </c>
      <c r="S183" t="s">
        <v>24</v>
      </c>
      <c r="T183" t="s">
        <v>263</v>
      </c>
      <c r="U183">
        <v>20000</v>
      </c>
      <c r="V183">
        <v>1000</v>
      </c>
    </row>
    <row r="184" spans="1:22" x14ac:dyDescent="0.3">
      <c r="A184" t="s">
        <v>264</v>
      </c>
      <c r="B184" t="s">
        <v>262</v>
      </c>
      <c r="C184">
        <v>6.19</v>
      </c>
      <c r="D184">
        <v>5.25</v>
      </c>
      <c r="E184">
        <v>4.91</v>
      </c>
      <c r="F184">
        <v>0.27</v>
      </c>
      <c r="G184">
        <v>65.585392051557463</v>
      </c>
      <c r="H184">
        <v>28.689087165408377</v>
      </c>
      <c r="I184">
        <v>34.37278525868178</v>
      </c>
      <c r="J184">
        <v>38.910197189274896</v>
      </c>
      <c r="K184">
        <v>94.252873563218387</v>
      </c>
      <c r="L184">
        <v>19.865667876489066</v>
      </c>
      <c r="M184">
        <v>65.591653911632008</v>
      </c>
      <c r="N184">
        <v>59.416230463350047</v>
      </c>
      <c r="O184">
        <v>4.4728846153846158</v>
      </c>
      <c r="P184">
        <v>0.43711538461538435</v>
      </c>
      <c r="Q184">
        <v>182</v>
      </c>
      <c r="R184">
        <v>1</v>
      </c>
      <c r="S184" t="s">
        <v>24</v>
      </c>
      <c r="T184" t="s">
        <v>263</v>
      </c>
      <c r="U184">
        <v>1000</v>
      </c>
      <c r="V184">
        <v>1000</v>
      </c>
    </row>
    <row r="185" spans="1:22" x14ac:dyDescent="0.3">
      <c r="A185" t="s">
        <v>265</v>
      </c>
      <c r="B185" t="s">
        <v>202</v>
      </c>
      <c r="C185">
        <v>4.17</v>
      </c>
      <c r="D185">
        <v>21.05</v>
      </c>
      <c r="E185">
        <v>11.39</v>
      </c>
      <c r="F185">
        <v>2.02</v>
      </c>
      <c r="G185">
        <v>61.245972073039731</v>
      </c>
      <c r="H185">
        <v>55.799588194921078</v>
      </c>
      <c r="I185">
        <v>57.33522324592488</v>
      </c>
      <c r="J185">
        <v>57.656682496046713</v>
      </c>
      <c r="K185">
        <v>27.203065134099624</v>
      </c>
      <c r="L185">
        <v>2.8081793848946095</v>
      </c>
      <c r="M185">
        <v>95.136090628595014</v>
      </c>
      <c r="N185">
        <v>59.413130188697018</v>
      </c>
      <c r="O185">
        <v>10.023387096774194</v>
      </c>
      <c r="P185">
        <v>1.366612903225807</v>
      </c>
      <c r="Q185">
        <v>184</v>
      </c>
      <c r="R185">
        <v>5</v>
      </c>
      <c r="S185" t="s">
        <v>24</v>
      </c>
      <c r="T185" t="s">
        <v>107</v>
      </c>
      <c r="U185">
        <v>1000</v>
      </c>
      <c r="V185">
        <v>1000</v>
      </c>
    </row>
    <row r="186" spans="1:22" x14ac:dyDescent="0.3">
      <c r="A186" t="s">
        <v>266</v>
      </c>
      <c r="B186" t="s">
        <v>77</v>
      </c>
      <c r="C186">
        <v>5.12</v>
      </c>
      <c r="D186">
        <v>23.02</v>
      </c>
      <c r="E186">
        <v>10.37</v>
      </c>
      <c r="F186">
        <v>1.91</v>
      </c>
      <c r="G186">
        <v>63.286788399570348</v>
      </c>
      <c r="H186">
        <v>59.179821551132463</v>
      </c>
      <c r="I186">
        <v>53.720765414599569</v>
      </c>
      <c r="J186">
        <v>57.271686852553593</v>
      </c>
      <c r="K186">
        <v>31.417624521072796</v>
      </c>
      <c r="L186">
        <v>4.7989107504546364</v>
      </c>
      <c r="M186">
        <v>91.688042759224075</v>
      </c>
      <c r="N186">
        <v>59.412260246351011</v>
      </c>
      <c r="O186">
        <v>9.0435999999999996</v>
      </c>
      <c r="P186">
        <v>1.3263999999999996</v>
      </c>
      <c r="Q186">
        <v>185</v>
      </c>
      <c r="R186">
        <v>4</v>
      </c>
      <c r="S186" t="s">
        <v>24</v>
      </c>
      <c r="T186" t="s">
        <v>107</v>
      </c>
      <c r="U186">
        <v>1000</v>
      </c>
      <c r="V186">
        <v>1000</v>
      </c>
    </row>
    <row r="187" spans="1:22" x14ac:dyDescent="0.3">
      <c r="A187" t="s">
        <v>267</v>
      </c>
      <c r="B187" t="s">
        <v>216</v>
      </c>
      <c r="C187">
        <v>5</v>
      </c>
      <c r="D187">
        <v>3.72</v>
      </c>
      <c r="E187">
        <v>4.0599999999999996</v>
      </c>
      <c r="F187">
        <v>0.12</v>
      </c>
      <c r="G187">
        <v>63.029001074113857</v>
      </c>
      <c r="H187">
        <v>26.063829787234049</v>
      </c>
      <c r="I187">
        <v>31.360737065910698</v>
      </c>
      <c r="J187">
        <v>36.105317683948336</v>
      </c>
      <c r="K187">
        <v>100</v>
      </c>
      <c r="L187">
        <v>19.98899722464218</v>
      </c>
      <c r="M187">
        <v>65.378041214566466</v>
      </c>
      <c r="N187">
        <v>59.397169145615777</v>
      </c>
      <c r="O187">
        <v>4.3460000000000001</v>
      </c>
      <c r="P187">
        <v>-0.28600000000000048</v>
      </c>
      <c r="Q187">
        <v>186</v>
      </c>
      <c r="R187">
        <v>3</v>
      </c>
      <c r="S187" t="s">
        <v>24</v>
      </c>
      <c r="T187" t="s">
        <v>217</v>
      </c>
      <c r="U187">
        <v>20000</v>
      </c>
      <c r="V187">
        <v>1000</v>
      </c>
    </row>
    <row r="188" spans="1:22" x14ac:dyDescent="0.3">
      <c r="A188" t="s">
        <v>268</v>
      </c>
      <c r="B188" t="s">
        <v>195</v>
      </c>
      <c r="C188">
        <v>8.2200000000000006</v>
      </c>
      <c r="D188">
        <v>17.72</v>
      </c>
      <c r="E188">
        <v>12.34</v>
      </c>
      <c r="F188">
        <v>1.79</v>
      </c>
      <c r="G188">
        <v>69.946294307196567</v>
      </c>
      <c r="H188">
        <v>50.085792724776937</v>
      </c>
      <c r="I188">
        <v>60.701630049610202</v>
      </c>
      <c r="J188">
        <v>59.365811703677494</v>
      </c>
      <c r="K188">
        <v>36.015325670498079</v>
      </c>
      <c r="L188">
        <v>9.9381364990970571</v>
      </c>
      <c r="M188">
        <v>82.786642651009203</v>
      </c>
      <c r="N188">
        <v>59.383397932215566</v>
      </c>
      <c r="O188">
        <v>10.412619047619048</v>
      </c>
      <c r="P188">
        <v>1.9273809523809522</v>
      </c>
      <c r="Q188">
        <v>187</v>
      </c>
      <c r="R188">
        <v>5</v>
      </c>
      <c r="S188" t="s">
        <v>24</v>
      </c>
      <c r="T188" t="s">
        <v>196</v>
      </c>
      <c r="U188">
        <v>5000</v>
      </c>
      <c r="V188">
        <v>1000</v>
      </c>
    </row>
    <row r="189" spans="1:22" x14ac:dyDescent="0.3">
      <c r="A189" t="s">
        <v>269</v>
      </c>
      <c r="B189" t="s">
        <v>195</v>
      </c>
      <c r="C189">
        <v>8.2200000000000006</v>
      </c>
      <c r="D189">
        <v>17.71</v>
      </c>
      <c r="E189">
        <v>12.34</v>
      </c>
      <c r="F189">
        <v>1.79</v>
      </c>
      <c r="G189">
        <v>69.946294307196567</v>
      </c>
      <c r="H189">
        <v>50.068634179821558</v>
      </c>
      <c r="I189">
        <v>60.701630049610202</v>
      </c>
      <c r="J189">
        <v>59.360664140190877</v>
      </c>
      <c r="K189">
        <v>36.015325670498079</v>
      </c>
      <c r="L189">
        <v>9.9469073128441252</v>
      </c>
      <c r="M189">
        <v>82.771451155975569</v>
      </c>
      <c r="N189">
        <v>59.377026276713849</v>
      </c>
      <c r="O189">
        <v>10.412619047619048</v>
      </c>
      <c r="P189">
        <v>1.9273809523809522</v>
      </c>
      <c r="Q189">
        <v>188</v>
      </c>
      <c r="R189">
        <v>6</v>
      </c>
      <c r="S189" t="s">
        <v>24</v>
      </c>
      <c r="T189" t="s">
        <v>196</v>
      </c>
      <c r="U189">
        <v>5000</v>
      </c>
      <c r="V189">
        <v>1000</v>
      </c>
    </row>
    <row r="190" spans="1:22" x14ac:dyDescent="0.3">
      <c r="A190" t="s">
        <v>270</v>
      </c>
      <c r="B190" t="s">
        <v>192</v>
      </c>
      <c r="C190">
        <v>5.15</v>
      </c>
      <c r="D190">
        <v>4.12</v>
      </c>
      <c r="E190">
        <v>5.19</v>
      </c>
      <c r="F190">
        <v>0.28000000000000003</v>
      </c>
      <c r="G190">
        <v>63.351235230934478</v>
      </c>
      <c r="H190">
        <v>26.750171585449557</v>
      </c>
      <c r="I190">
        <v>35.36498936924167</v>
      </c>
      <c r="J190">
        <v>38.377793206442597</v>
      </c>
      <c r="K190">
        <v>93.869731800766274</v>
      </c>
      <c r="L190">
        <v>19.135842908269883</v>
      </c>
      <c r="M190">
        <v>66.85574783721998</v>
      </c>
      <c r="N190">
        <v>59.370266512717862</v>
      </c>
      <c r="O190">
        <v>4.4280373831775703</v>
      </c>
      <c r="P190">
        <v>0.76196261682243005</v>
      </c>
      <c r="Q190">
        <v>189</v>
      </c>
      <c r="R190">
        <v>21</v>
      </c>
      <c r="S190" t="s">
        <v>24</v>
      </c>
      <c r="T190" t="s">
        <v>45</v>
      </c>
      <c r="U190">
        <v>1000</v>
      </c>
      <c r="V190">
        <v>1000</v>
      </c>
    </row>
    <row r="191" spans="1:22" x14ac:dyDescent="0.3">
      <c r="A191" t="s">
        <v>271</v>
      </c>
      <c r="B191" t="s">
        <v>272</v>
      </c>
      <c r="C191">
        <v>5.63</v>
      </c>
      <c r="D191">
        <v>16.09</v>
      </c>
      <c r="E191">
        <v>11.48</v>
      </c>
      <c r="F191">
        <v>1.67</v>
      </c>
      <c r="G191">
        <v>64.382384532760469</v>
      </c>
      <c r="H191">
        <v>47.288949897048738</v>
      </c>
      <c r="I191">
        <v>57.654145995747697</v>
      </c>
      <c r="J191">
        <v>55.890234873540564</v>
      </c>
      <c r="K191">
        <v>40.613026819923384</v>
      </c>
      <c r="L191">
        <v>8.6109619247868903</v>
      </c>
      <c r="M191">
        <v>85.085376444228018</v>
      </c>
      <c r="N191">
        <v>59.369718252808134</v>
      </c>
      <c r="O191">
        <v>10.044583333333334</v>
      </c>
      <c r="P191">
        <v>1.4354166666666668</v>
      </c>
      <c r="Q191">
        <v>190</v>
      </c>
      <c r="R191">
        <v>1</v>
      </c>
      <c r="S191" t="s">
        <v>24</v>
      </c>
      <c r="T191" t="s">
        <v>273</v>
      </c>
      <c r="U191">
        <v>1000</v>
      </c>
      <c r="V191">
        <v>1000</v>
      </c>
    </row>
    <row r="192" spans="1:22" x14ac:dyDescent="0.3">
      <c r="A192" t="s">
        <v>274</v>
      </c>
      <c r="B192" t="s">
        <v>262</v>
      </c>
      <c r="C192">
        <v>6.19</v>
      </c>
      <c r="D192">
        <v>5.25</v>
      </c>
      <c r="E192">
        <v>4.87</v>
      </c>
      <c r="F192">
        <v>0.27</v>
      </c>
      <c r="G192">
        <v>65.585392051557463</v>
      </c>
      <c r="H192">
        <v>28.689087165408377</v>
      </c>
      <c r="I192">
        <v>34.231041814316086</v>
      </c>
      <c r="J192">
        <v>38.839325467092053</v>
      </c>
      <c r="K192">
        <v>94.252873563218387</v>
      </c>
      <c r="L192">
        <v>19.896171551255016</v>
      </c>
      <c r="M192">
        <v>65.53881999711983</v>
      </c>
      <c r="N192">
        <v>59.367586123630588</v>
      </c>
      <c r="O192">
        <v>4.4728846153846158</v>
      </c>
      <c r="P192">
        <v>0.39711538461538431</v>
      </c>
      <c r="Q192">
        <v>191</v>
      </c>
      <c r="R192">
        <v>3</v>
      </c>
      <c r="S192" t="s">
        <v>24</v>
      </c>
      <c r="T192" t="s">
        <v>263</v>
      </c>
      <c r="U192">
        <v>20000</v>
      </c>
      <c r="V192">
        <v>1000</v>
      </c>
    </row>
    <row r="193" spans="1:22" x14ac:dyDescent="0.3">
      <c r="A193" t="s">
        <v>275</v>
      </c>
      <c r="B193" t="s">
        <v>192</v>
      </c>
      <c r="C193">
        <v>5.14</v>
      </c>
      <c r="D193">
        <v>4.1399999999999997</v>
      </c>
      <c r="E193">
        <v>5.23</v>
      </c>
      <c r="F193">
        <v>0.28999999999999998</v>
      </c>
      <c r="G193">
        <v>63.329752953813099</v>
      </c>
      <c r="H193">
        <v>26.784488675360329</v>
      </c>
      <c r="I193">
        <v>35.506732813607364</v>
      </c>
      <c r="J193">
        <v>38.454663600174399</v>
      </c>
      <c r="K193">
        <v>93.486590038314176</v>
      </c>
      <c r="L193">
        <v>19.08644516278256</v>
      </c>
      <c r="M193">
        <v>66.94130724218337</v>
      </c>
      <c r="N193">
        <v>59.334306120211586</v>
      </c>
      <c r="O193">
        <v>4.4280373831775703</v>
      </c>
      <c r="P193">
        <v>0.80196261682243009</v>
      </c>
      <c r="Q193">
        <v>192</v>
      </c>
      <c r="R193">
        <v>22</v>
      </c>
      <c r="S193" t="s">
        <v>24</v>
      </c>
      <c r="T193" t="s">
        <v>45</v>
      </c>
      <c r="U193">
        <v>1000</v>
      </c>
      <c r="V193">
        <v>1000</v>
      </c>
    </row>
    <row r="194" spans="1:22" x14ac:dyDescent="0.3">
      <c r="A194" t="s">
        <v>276</v>
      </c>
      <c r="B194" t="s">
        <v>262</v>
      </c>
      <c r="C194">
        <v>6.19</v>
      </c>
      <c r="D194">
        <v>5.25</v>
      </c>
      <c r="E194">
        <v>4.83</v>
      </c>
      <c r="F194">
        <v>0.27</v>
      </c>
      <c r="G194">
        <v>65.585392051557463</v>
      </c>
      <c r="H194">
        <v>28.689087165408377</v>
      </c>
      <c r="I194">
        <v>34.089298369950392</v>
      </c>
      <c r="J194">
        <v>38.768453744909202</v>
      </c>
      <c r="K194">
        <v>94.252873563218387</v>
      </c>
      <c r="L194">
        <v>19.926964614586517</v>
      </c>
      <c r="M194">
        <v>65.485484846908975</v>
      </c>
      <c r="N194">
        <v>59.318816474986441</v>
      </c>
      <c r="O194">
        <v>4.4728846153846158</v>
      </c>
      <c r="P194">
        <v>0.35711538461538428</v>
      </c>
      <c r="Q194">
        <v>193</v>
      </c>
      <c r="R194">
        <v>4</v>
      </c>
      <c r="S194" t="s">
        <v>24</v>
      </c>
      <c r="T194" t="s">
        <v>263</v>
      </c>
      <c r="U194">
        <v>20000</v>
      </c>
      <c r="V194">
        <v>1000</v>
      </c>
    </row>
    <row r="195" spans="1:22" x14ac:dyDescent="0.3">
      <c r="A195" t="s">
        <v>277</v>
      </c>
      <c r="B195" t="s">
        <v>199</v>
      </c>
      <c r="C195">
        <v>5.81</v>
      </c>
      <c r="D195">
        <v>18.420000000000002</v>
      </c>
      <c r="E195">
        <v>11.97</v>
      </c>
      <c r="F195">
        <v>1.87</v>
      </c>
      <c r="G195">
        <v>64.769065520945219</v>
      </c>
      <c r="H195">
        <v>51.286890871654087</v>
      </c>
      <c r="I195">
        <v>59.390503189227495</v>
      </c>
      <c r="J195">
        <v>58.035131960299019</v>
      </c>
      <c r="K195">
        <v>32.950191570881216</v>
      </c>
      <c r="L195">
        <v>6.7868315953726244</v>
      </c>
      <c r="M195">
        <v>88.244862854400878</v>
      </c>
      <c r="N195">
        <v>59.316329586470033</v>
      </c>
      <c r="O195">
        <v>9.83</v>
      </c>
      <c r="P195">
        <v>2.1400000000000006</v>
      </c>
      <c r="Q195">
        <v>194</v>
      </c>
      <c r="R195">
        <v>3</v>
      </c>
      <c r="S195" t="s">
        <v>24</v>
      </c>
      <c r="T195" t="s">
        <v>78</v>
      </c>
      <c r="U195">
        <v>5000</v>
      </c>
      <c r="V195">
        <v>1000</v>
      </c>
    </row>
    <row r="196" spans="1:22" x14ac:dyDescent="0.3">
      <c r="A196" t="s">
        <v>278</v>
      </c>
      <c r="B196" t="s">
        <v>202</v>
      </c>
      <c r="C196">
        <v>3.28</v>
      </c>
      <c r="D196">
        <v>33.869999999999997</v>
      </c>
      <c r="E196">
        <v>19.68</v>
      </c>
      <c r="F196">
        <v>2.62</v>
      </c>
      <c r="G196">
        <v>59.33404940923738</v>
      </c>
      <c r="H196">
        <v>77.796842827728213</v>
      </c>
      <c r="I196">
        <v>86.711552090715799</v>
      </c>
      <c r="J196">
        <v>78.561638775523846</v>
      </c>
      <c r="K196">
        <v>4.2145593869731712</v>
      </c>
      <c r="L196">
        <v>13.963490699748775</v>
      </c>
      <c r="M196">
        <v>75.814524657019632</v>
      </c>
      <c r="N196">
        <v>59.288090398760126</v>
      </c>
      <c r="O196">
        <v>10.023387096774194</v>
      </c>
      <c r="P196">
        <v>9.6566129032258061</v>
      </c>
      <c r="Q196">
        <v>195</v>
      </c>
      <c r="R196">
        <v>6</v>
      </c>
      <c r="S196" t="s">
        <v>24</v>
      </c>
      <c r="T196" t="s">
        <v>78</v>
      </c>
      <c r="U196">
        <v>1000</v>
      </c>
      <c r="V196">
        <v>1000</v>
      </c>
    </row>
    <row r="197" spans="1:22" x14ac:dyDescent="0.3">
      <c r="A197" t="s">
        <v>279</v>
      </c>
      <c r="B197" t="s">
        <v>216</v>
      </c>
      <c r="C197">
        <v>5</v>
      </c>
      <c r="D197">
        <v>3.51</v>
      </c>
      <c r="E197">
        <v>4.05</v>
      </c>
      <c r="F197">
        <v>0.12</v>
      </c>
      <c r="G197">
        <v>63.029001074113857</v>
      </c>
      <c r="H197">
        <v>25.703500343170905</v>
      </c>
      <c r="I197">
        <v>31.325301204819279</v>
      </c>
      <c r="J197">
        <v>35.979500920183682</v>
      </c>
      <c r="K197">
        <v>100</v>
      </c>
      <c r="L197">
        <v>20.124289781033113</v>
      </c>
      <c r="M197">
        <v>65.143707633011488</v>
      </c>
      <c r="N197">
        <v>59.275677368344716</v>
      </c>
      <c r="O197">
        <v>4.3460000000000001</v>
      </c>
      <c r="P197">
        <v>-0.29600000000000026</v>
      </c>
      <c r="Q197">
        <v>196</v>
      </c>
      <c r="R197">
        <v>4</v>
      </c>
      <c r="S197" t="s">
        <v>24</v>
      </c>
      <c r="T197" t="s">
        <v>217</v>
      </c>
      <c r="U197">
        <v>20000</v>
      </c>
      <c r="V197">
        <v>1000</v>
      </c>
    </row>
    <row r="198" spans="1:22" x14ac:dyDescent="0.3">
      <c r="A198" t="s">
        <v>280</v>
      </c>
      <c r="B198" t="s">
        <v>192</v>
      </c>
      <c r="C198">
        <v>5.12</v>
      </c>
      <c r="D198">
        <v>4.13</v>
      </c>
      <c r="E198">
        <v>5.2</v>
      </c>
      <c r="F198">
        <v>0.3</v>
      </c>
      <c r="G198">
        <v>63.286788399570348</v>
      </c>
      <c r="H198">
        <v>26.767330130404943</v>
      </c>
      <c r="I198">
        <v>35.400425230333099</v>
      </c>
      <c r="J198">
        <v>38.387769334202105</v>
      </c>
      <c r="K198">
        <v>93.103448275862064</v>
      </c>
      <c r="L198">
        <v>19.086864654714372</v>
      </c>
      <c r="M198">
        <v>66.94058066084412</v>
      </c>
      <c r="N198">
        <v>59.204891901277598</v>
      </c>
      <c r="O198">
        <v>4.4280373831775703</v>
      </c>
      <c r="P198">
        <v>0.77196261682242984</v>
      </c>
      <c r="Q198">
        <v>197</v>
      </c>
      <c r="R198">
        <v>23</v>
      </c>
      <c r="S198" t="s">
        <v>24</v>
      </c>
      <c r="T198" t="s">
        <v>45</v>
      </c>
      <c r="U198">
        <v>5000</v>
      </c>
      <c r="V198">
        <v>1000</v>
      </c>
    </row>
    <row r="199" spans="1:22" x14ac:dyDescent="0.3">
      <c r="A199" t="s">
        <v>281</v>
      </c>
      <c r="B199" t="s">
        <v>216</v>
      </c>
      <c r="C199">
        <v>4.91</v>
      </c>
      <c r="D199">
        <v>3.68</v>
      </c>
      <c r="E199">
        <v>4.51</v>
      </c>
      <c r="F199">
        <v>0.2</v>
      </c>
      <c r="G199">
        <v>62.835660580021482</v>
      </c>
      <c r="H199">
        <v>25.995195607412498</v>
      </c>
      <c r="I199">
        <v>32.955350815024801</v>
      </c>
      <c r="J199">
        <v>36.843366205740445</v>
      </c>
      <c r="K199">
        <v>96.934865900383144</v>
      </c>
      <c r="L199">
        <v>19.57249997472746</v>
      </c>
      <c r="M199">
        <v>66.099435612631467</v>
      </c>
      <c r="N199">
        <v>59.180258481123872</v>
      </c>
      <c r="O199">
        <v>4.3460000000000001</v>
      </c>
      <c r="P199">
        <v>0.1639999999999997</v>
      </c>
      <c r="Q199">
        <v>198</v>
      </c>
      <c r="R199">
        <v>5</v>
      </c>
      <c r="S199" t="s">
        <v>24</v>
      </c>
      <c r="T199" t="s">
        <v>217</v>
      </c>
      <c r="U199">
        <v>1000</v>
      </c>
      <c r="V199">
        <v>1000</v>
      </c>
    </row>
    <row r="200" spans="1:22" x14ac:dyDescent="0.3">
      <c r="A200" t="s">
        <v>282</v>
      </c>
      <c r="B200" t="s">
        <v>123</v>
      </c>
      <c r="C200">
        <v>11.86</v>
      </c>
      <c r="D200">
        <v>20.48</v>
      </c>
      <c r="E200">
        <v>12.19</v>
      </c>
      <c r="F200">
        <v>1.86</v>
      </c>
      <c r="G200">
        <v>77.765843179377001</v>
      </c>
      <c r="H200">
        <v>54.821551132463973</v>
      </c>
      <c r="I200">
        <v>60.170092133238825</v>
      </c>
      <c r="J200">
        <v>62.084680042234005</v>
      </c>
      <c r="K200">
        <v>33.333333333333329</v>
      </c>
      <c r="L200">
        <v>12.004567764318427</v>
      </c>
      <c r="M200">
        <v>79.20747870929695</v>
      </c>
      <c r="N200">
        <v>59.177543031774576</v>
      </c>
      <c r="O200">
        <v>10.563571428571427</v>
      </c>
      <c r="P200">
        <v>1.6264285714285727</v>
      </c>
      <c r="Q200">
        <v>199</v>
      </c>
      <c r="R200">
        <v>4</v>
      </c>
      <c r="S200" t="s">
        <v>24</v>
      </c>
      <c r="T200" t="s">
        <v>45</v>
      </c>
      <c r="U200">
        <v>5000</v>
      </c>
      <c r="V200">
        <v>1000</v>
      </c>
    </row>
    <row r="201" spans="1:22" x14ac:dyDescent="0.3">
      <c r="A201" t="s">
        <v>283</v>
      </c>
      <c r="B201" t="s">
        <v>192</v>
      </c>
      <c r="C201">
        <v>5.24</v>
      </c>
      <c r="D201">
        <v>3.91</v>
      </c>
      <c r="E201">
        <v>4.28</v>
      </c>
      <c r="F201">
        <v>0.18</v>
      </c>
      <c r="G201">
        <v>63.544575725026853</v>
      </c>
      <c r="H201">
        <v>26.389842141386417</v>
      </c>
      <c r="I201">
        <v>32.140326009922035</v>
      </c>
      <c r="J201">
        <v>36.696030792382317</v>
      </c>
      <c r="K201">
        <v>97.701149425287355</v>
      </c>
      <c r="L201">
        <v>19.999038279220027</v>
      </c>
      <c r="M201">
        <v>65.360649597876062</v>
      </c>
      <c r="N201">
        <v>59.113465151982012</v>
      </c>
      <c r="O201">
        <v>4.4280373831775703</v>
      </c>
      <c r="P201">
        <v>-0.14803738317757009</v>
      </c>
      <c r="Q201">
        <v>200</v>
      </c>
      <c r="R201">
        <v>24</v>
      </c>
      <c r="S201" t="s">
        <v>24</v>
      </c>
      <c r="T201" t="s">
        <v>45</v>
      </c>
      <c r="U201">
        <v>5000</v>
      </c>
      <c r="V201">
        <v>1000</v>
      </c>
    </row>
    <row r="202" spans="1:22" x14ac:dyDescent="0.3">
      <c r="A202" t="s">
        <v>284</v>
      </c>
      <c r="B202" t="s">
        <v>192</v>
      </c>
      <c r="C202">
        <v>5.15</v>
      </c>
      <c r="D202">
        <v>4.08</v>
      </c>
      <c r="E202">
        <v>5.15</v>
      </c>
      <c r="F202">
        <v>0.3</v>
      </c>
      <c r="G202">
        <v>63.351235230934478</v>
      </c>
      <c r="H202">
        <v>26.68153740562801</v>
      </c>
      <c r="I202">
        <v>35.223245924875975</v>
      </c>
      <c r="J202">
        <v>38.28633123031328</v>
      </c>
      <c r="K202">
        <v>93.103448275862064</v>
      </c>
      <c r="L202">
        <v>19.186850121149906</v>
      </c>
      <c r="M202">
        <v>66.767400752959304</v>
      </c>
      <c r="N202">
        <v>59.110877872361982</v>
      </c>
      <c r="O202">
        <v>4.4280373831775703</v>
      </c>
      <c r="P202">
        <v>0.72196261682243001</v>
      </c>
      <c r="Q202">
        <v>201</v>
      </c>
      <c r="R202">
        <v>25</v>
      </c>
      <c r="S202" t="s">
        <v>24</v>
      </c>
      <c r="T202" t="s">
        <v>45</v>
      </c>
      <c r="U202">
        <v>1000</v>
      </c>
      <c r="V202">
        <v>1000</v>
      </c>
    </row>
    <row r="203" spans="1:22" x14ac:dyDescent="0.3">
      <c r="A203" t="s">
        <v>285</v>
      </c>
      <c r="B203" t="s">
        <v>195</v>
      </c>
      <c r="C203">
        <v>7.16</v>
      </c>
      <c r="D203">
        <v>23.32</v>
      </c>
      <c r="E203">
        <v>13.37</v>
      </c>
      <c r="F203">
        <v>2.31</v>
      </c>
      <c r="G203">
        <v>67.669172932330824</v>
      </c>
      <c r="H203">
        <v>59.694577899794112</v>
      </c>
      <c r="I203">
        <v>64.351523742026927</v>
      </c>
      <c r="J203">
        <v>63.617969827417859</v>
      </c>
      <c r="K203">
        <v>16.09195402298851</v>
      </c>
      <c r="L203">
        <v>4.0059977255022003</v>
      </c>
      <c r="M203">
        <v>93.061408404424824</v>
      </c>
      <c r="N203">
        <v>59.097325520562265</v>
      </c>
      <c r="O203">
        <v>10.412619047619048</v>
      </c>
      <c r="P203">
        <v>2.9573809523809516</v>
      </c>
      <c r="Q203">
        <v>202</v>
      </c>
      <c r="R203">
        <v>7</v>
      </c>
      <c r="S203" t="s">
        <v>24</v>
      </c>
      <c r="T203" t="s">
        <v>196</v>
      </c>
      <c r="U203">
        <v>5000</v>
      </c>
      <c r="V203">
        <v>1000</v>
      </c>
    </row>
    <row r="204" spans="1:22" x14ac:dyDescent="0.3">
      <c r="A204" t="s">
        <v>286</v>
      </c>
      <c r="B204" t="s">
        <v>192</v>
      </c>
      <c r="C204">
        <v>5.25</v>
      </c>
      <c r="D204">
        <v>3.88</v>
      </c>
      <c r="E204">
        <v>4.26</v>
      </c>
      <c r="F204">
        <v>0.18</v>
      </c>
      <c r="G204">
        <v>63.566058002148232</v>
      </c>
      <c r="H204">
        <v>26.338366506520249</v>
      </c>
      <c r="I204">
        <v>32.069454287739184</v>
      </c>
      <c r="J204">
        <v>36.649448696255313</v>
      </c>
      <c r="K204">
        <v>97.701149425287355</v>
      </c>
      <c r="L204">
        <v>20.044876430949525</v>
      </c>
      <c r="M204">
        <v>65.281255590155524</v>
      </c>
      <c r="N204">
        <v>59.070325601988372</v>
      </c>
      <c r="O204">
        <v>4.4280373831775703</v>
      </c>
      <c r="P204">
        <v>-0.16803738317757055</v>
      </c>
      <c r="Q204">
        <v>203</v>
      </c>
      <c r="R204">
        <v>26</v>
      </c>
      <c r="S204" t="s">
        <v>24</v>
      </c>
      <c r="T204" t="s">
        <v>45</v>
      </c>
      <c r="U204">
        <v>5000</v>
      </c>
      <c r="V204">
        <v>1000</v>
      </c>
    </row>
    <row r="205" spans="1:22" x14ac:dyDescent="0.3">
      <c r="A205" t="s">
        <v>287</v>
      </c>
      <c r="B205" t="s">
        <v>192</v>
      </c>
      <c r="C205">
        <v>5.14</v>
      </c>
      <c r="D205">
        <v>4.1500000000000004</v>
      </c>
      <c r="E205">
        <v>5.24</v>
      </c>
      <c r="F205">
        <v>0.32</v>
      </c>
      <c r="G205">
        <v>63.329752953813099</v>
      </c>
      <c r="H205">
        <v>26.801647220315722</v>
      </c>
      <c r="I205">
        <v>35.542168674698793</v>
      </c>
      <c r="J205">
        <v>38.47752909420673</v>
      </c>
      <c r="K205">
        <v>92.337164750957854</v>
      </c>
      <c r="L205">
        <v>19.073756245344786</v>
      </c>
      <c r="M205">
        <v>66.963285091878646</v>
      </c>
      <c r="N205">
        <v>59.063877007812486</v>
      </c>
      <c r="O205">
        <v>4.4280373831775703</v>
      </c>
      <c r="P205">
        <v>0.81196261682242987</v>
      </c>
      <c r="Q205">
        <v>204</v>
      </c>
      <c r="R205">
        <v>27</v>
      </c>
      <c r="S205" t="s">
        <v>24</v>
      </c>
      <c r="T205" t="s">
        <v>45</v>
      </c>
      <c r="U205">
        <v>5000</v>
      </c>
      <c r="V205">
        <v>1000</v>
      </c>
    </row>
    <row r="206" spans="1:22" x14ac:dyDescent="0.3">
      <c r="A206" t="s">
        <v>288</v>
      </c>
      <c r="B206" t="s">
        <v>192</v>
      </c>
      <c r="C206">
        <v>5.26</v>
      </c>
      <c r="D206">
        <v>4.13</v>
      </c>
      <c r="E206">
        <v>4.46</v>
      </c>
      <c r="F206">
        <v>0.22</v>
      </c>
      <c r="G206">
        <v>63.587540279269597</v>
      </c>
      <c r="H206">
        <v>26.767330130404943</v>
      </c>
      <c r="I206">
        <v>32.778171509567677</v>
      </c>
      <c r="J206">
        <v>37.136792849759246</v>
      </c>
      <c r="K206">
        <v>96.168582375478934</v>
      </c>
      <c r="L206">
        <v>19.752954603803346</v>
      </c>
      <c r="M206">
        <v>65.786879026611047</v>
      </c>
      <c r="N206">
        <v>59.057261775402118</v>
      </c>
      <c r="O206">
        <v>4.4280373831775703</v>
      </c>
      <c r="P206">
        <v>3.1962616822429624E-2</v>
      </c>
      <c r="Q206">
        <v>205</v>
      </c>
      <c r="R206">
        <v>28</v>
      </c>
      <c r="S206" t="s">
        <v>24</v>
      </c>
      <c r="T206" t="s">
        <v>213</v>
      </c>
      <c r="U206">
        <v>5000</v>
      </c>
    </row>
    <row r="207" spans="1:22" x14ac:dyDescent="0.3">
      <c r="A207" t="s">
        <v>289</v>
      </c>
      <c r="B207" t="s">
        <v>192</v>
      </c>
      <c r="C207">
        <v>4.9400000000000004</v>
      </c>
      <c r="D207">
        <v>3.8</v>
      </c>
      <c r="E207">
        <v>4.76</v>
      </c>
      <c r="F207">
        <v>0.25</v>
      </c>
      <c r="G207">
        <v>62.900107411385605</v>
      </c>
      <c r="H207">
        <v>26.20109814687715</v>
      </c>
      <c r="I207">
        <v>33.841247342310417</v>
      </c>
      <c r="J207">
        <v>37.360974597495471</v>
      </c>
      <c r="K207">
        <v>95.019157088122611</v>
      </c>
      <c r="L207">
        <v>19.363223342370151</v>
      </c>
      <c r="M207">
        <v>66.461913372711251</v>
      </c>
      <c r="N207">
        <v>59.050754913956197</v>
      </c>
      <c r="O207">
        <v>4.4280373831775703</v>
      </c>
      <c r="P207">
        <v>0.33196261682242945</v>
      </c>
      <c r="Q207">
        <v>206</v>
      </c>
      <c r="R207">
        <v>29</v>
      </c>
      <c r="S207" t="s">
        <v>24</v>
      </c>
      <c r="T207" t="s">
        <v>45</v>
      </c>
      <c r="U207">
        <v>5000</v>
      </c>
      <c r="V207">
        <v>1000</v>
      </c>
    </row>
    <row r="208" spans="1:22" x14ac:dyDescent="0.3">
      <c r="A208" t="s">
        <v>290</v>
      </c>
      <c r="B208" t="s">
        <v>272</v>
      </c>
      <c r="C208">
        <v>6.59</v>
      </c>
      <c r="D208">
        <v>15.37</v>
      </c>
      <c r="E208">
        <v>11</v>
      </c>
      <c r="F208">
        <v>1.59</v>
      </c>
      <c r="G208">
        <v>66.444683136412451</v>
      </c>
      <c r="H208">
        <v>46.053534660260816</v>
      </c>
      <c r="I208">
        <v>55.953224663359322</v>
      </c>
      <c r="J208">
        <v>55.081609357040392</v>
      </c>
      <c r="K208">
        <v>43.678160919540218</v>
      </c>
      <c r="L208">
        <v>10.197005273001382</v>
      </c>
      <c r="M208">
        <v>82.338268782113857</v>
      </c>
      <c r="N208">
        <v>59.044912103933711</v>
      </c>
      <c r="O208">
        <v>10.044583333333334</v>
      </c>
      <c r="P208">
        <v>0.95541666666666636</v>
      </c>
      <c r="Q208">
        <v>207</v>
      </c>
      <c r="R208">
        <v>2</v>
      </c>
      <c r="S208" t="s">
        <v>24</v>
      </c>
      <c r="T208" t="s">
        <v>291</v>
      </c>
      <c r="U208">
        <v>5000</v>
      </c>
      <c r="V208">
        <v>1000</v>
      </c>
    </row>
    <row r="209" spans="1:22" x14ac:dyDescent="0.3">
      <c r="A209" t="s">
        <v>292</v>
      </c>
      <c r="B209" t="s">
        <v>272</v>
      </c>
      <c r="C209">
        <v>6.59</v>
      </c>
      <c r="D209">
        <v>15.37</v>
      </c>
      <c r="E209">
        <v>10.99</v>
      </c>
      <c r="F209">
        <v>1.59</v>
      </c>
      <c r="G209">
        <v>66.444683136412451</v>
      </c>
      <c r="H209">
        <v>46.053534660260816</v>
      </c>
      <c r="I209">
        <v>55.9177888022679</v>
      </c>
      <c r="J209">
        <v>55.063891426494685</v>
      </c>
      <c r="K209">
        <v>43.678160919540218</v>
      </c>
      <c r="L209">
        <v>10.197368535369062</v>
      </c>
      <c r="M209">
        <v>82.33763959323656</v>
      </c>
      <c r="N209">
        <v>59.035895841441537</v>
      </c>
      <c r="O209">
        <v>10.044583333333334</v>
      </c>
      <c r="P209">
        <v>0.94541666666666657</v>
      </c>
      <c r="Q209">
        <v>208</v>
      </c>
      <c r="R209">
        <v>3</v>
      </c>
      <c r="S209" t="s">
        <v>24</v>
      </c>
      <c r="T209" t="s">
        <v>291</v>
      </c>
      <c r="U209">
        <v>5000</v>
      </c>
      <c r="V209">
        <v>1000</v>
      </c>
    </row>
    <row r="210" spans="1:22" x14ac:dyDescent="0.3">
      <c r="A210" t="s">
        <v>293</v>
      </c>
      <c r="B210" t="s">
        <v>192</v>
      </c>
      <c r="C210">
        <v>5.26</v>
      </c>
      <c r="D210">
        <v>4.1100000000000003</v>
      </c>
      <c r="E210">
        <v>4.45</v>
      </c>
      <c r="F210">
        <v>0.22</v>
      </c>
      <c r="G210">
        <v>63.587540279269597</v>
      </c>
      <c r="H210">
        <v>26.733013040494168</v>
      </c>
      <c r="I210">
        <v>32.742735648476256</v>
      </c>
      <c r="J210">
        <v>37.108779792240298</v>
      </c>
      <c r="K210">
        <v>96.168582375478934</v>
      </c>
      <c r="L210">
        <v>19.77277133050373</v>
      </c>
      <c r="M210">
        <v>65.752555449126277</v>
      </c>
      <c r="N210">
        <v>59.034674352271452</v>
      </c>
      <c r="O210">
        <v>4.4280373831775703</v>
      </c>
      <c r="P210">
        <v>2.1962616822429837E-2</v>
      </c>
      <c r="Q210">
        <v>209</v>
      </c>
      <c r="R210">
        <v>30</v>
      </c>
      <c r="S210" t="s">
        <v>24</v>
      </c>
      <c r="T210" t="s">
        <v>213</v>
      </c>
      <c r="U210">
        <v>5000</v>
      </c>
    </row>
    <row r="211" spans="1:22" x14ac:dyDescent="0.3">
      <c r="A211" t="s">
        <v>294</v>
      </c>
      <c r="B211" t="s">
        <v>262</v>
      </c>
      <c r="C211">
        <v>6.15</v>
      </c>
      <c r="D211">
        <v>5.18</v>
      </c>
      <c r="E211">
        <v>5.08</v>
      </c>
      <c r="F211">
        <v>0.33</v>
      </c>
      <c r="G211">
        <v>65.499462943071961</v>
      </c>
      <c r="H211">
        <v>28.568977350720658</v>
      </c>
      <c r="I211">
        <v>34.975194897236001</v>
      </c>
      <c r="J211">
        <v>39.158183242448587</v>
      </c>
      <c r="K211">
        <v>91.954022988505741</v>
      </c>
      <c r="L211">
        <v>19.734197598222696</v>
      </c>
      <c r="M211">
        <v>65.819367113274581</v>
      </c>
      <c r="N211">
        <v>59.022439146669377</v>
      </c>
      <c r="O211">
        <v>4.4728846153846158</v>
      </c>
      <c r="P211">
        <v>0.60711538461538428</v>
      </c>
      <c r="Q211">
        <v>210</v>
      </c>
      <c r="R211">
        <v>5</v>
      </c>
      <c r="S211" t="s">
        <v>24</v>
      </c>
      <c r="T211" t="s">
        <v>295</v>
      </c>
      <c r="U211">
        <v>1000</v>
      </c>
      <c r="V211">
        <v>1000</v>
      </c>
    </row>
    <row r="212" spans="1:22" x14ac:dyDescent="0.3">
      <c r="A212" t="s">
        <v>296</v>
      </c>
      <c r="B212" t="s">
        <v>192</v>
      </c>
      <c r="C212">
        <v>5.1100000000000003</v>
      </c>
      <c r="D212">
        <v>3.78</v>
      </c>
      <c r="E212">
        <v>4.78</v>
      </c>
      <c r="F212">
        <v>0.25</v>
      </c>
      <c r="G212">
        <v>63.265306122448969</v>
      </c>
      <c r="H212">
        <v>26.166781056966371</v>
      </c>
      <c r="I212">
        <v>33.912119064493261</v>
      </c>
      <c r="J212">
        <v>37.459155073826338</v>
      </c>
      <c r="K212">
        <v>95.019157088122611</v>
      </c>
      <c r="L212">
        <v>19.569961732820786</v>
      </c>
      <c r="M212">
        <v>66.103831976575734</v>
      </c>
      <c r="N212">
        <v>59.010324803087755</v>
      </c>
      <c r="O212">
        <v>4.4280373831775703</v>
      </c>
      <c r="P212">
        <v>0.35196261682242991</v>
      </c>
      <c r="Q212">
        <v>211</v>
      </c>
      <c r="R212">
        <v>31</v>
      </c>
      <c r="S212" t="s">
        <v>24</v>
      </c>
      <c r="T212" t="s">
        <v>45</v>
      </c>
      <c r="U212">
        <v>5000</v>
      </c>
      <c r="V212">
        <v>1000</v>
      </c>
    </row>
    <row r="213" spans="1:22" x14ac:dyDescent="0.3">
      <c r="A213" t="s">
        <v>297</v>
      </c>
      <c r="B213" t="s">
        <v>192</v>
      </c>
      <c r="C213">
        <v>5.22</v>
      </c>
      <c r="D213">
        <v>3.97</v>
      </c>
      <c r="E213">
        <v>4.4000000000000004</v>
      </c>
      <c r="F213">
        <v>0.21</v>
      </c>
      <c r="G213">
        <v>63.501611170784102</v>
      </c>
      <c r="H213">
        <v>26.492793411118743</v>
      </c>
      <c r="I213">
        <v>32.565556343019132</v>
      </c>
      <c r="J213">
        <v>36.930938429002012</v>
      </c>
      <c r="K213">
        <v>96.551724137931032</v>
      </c>
      <c r="L213">
        <v>19.847630126800468</v>
      </c>
      <c r="M213">
        <v>65.62289621054687</v>
      </c>
      <c r="N213">
        <v>59.009124301620474</v>
      </c>
      <c r="O213">
        <v>4.4280373831775703</v>
      </c>
      <c r="P213">
        <v>-2.8037383177569986E-2</v>
      </c>
      <c r="Q213">
        <v>212</v>
      </c>
      <c r="R213">
        <v>32</v>
      </c>
      <c r="S213" t="s">
        <v>24</v>
      </c>
      <c r="T213" t="s">
        <v>45</v>
      </c>
      <c r="U213">
        <v>10000</v>
      </c>
      <c r="V213">
        <v>1000</v>
      </c>
    </row>
    <row r="214" spans="1:22" x14ac:dyDescent="0.3">
      <c r="A214" t="s">
        <v>298</v>
      </c>
      <c r="B214" t="s">
        <v>195</v>
      </c>
      <c r="C214">
        <v>7.02</v>
      </c>
      <c r="D214">
        <v>23.16</v>
      </c>
      <c r="E214">
        <v>13.35</v>
      </c>
      <c r="F214">
        <v>2.31</v>
      </c>
      <c r="G214">
        <v>67.368421052631575</v>
      </c>
      <c r="H214">
        <v>59.420041180507901</v>
      </c>
      <c r="I214">
        <v>64.280652019844069</v>
      </c>
      <c r="J214">
        <v>63.440022574600718</v>
      </c>
      <c r="K214">
        <v>16.09195402298851</v>
      </c>
      <c r="L214">
        <v>4.0070063206608184</v>
      </c>
      <c r="M214">
        <v>93.059661466365839</v>
      </c>
      <c r="N214">
        <v>59.007915159638948</v>
      </c>
      <c r="O214">
        <v>10.412619047619048</v>
      </c>
      <c r="P214">
        <v>2.937380952380952</v>
      </c>
      <c r="Q214">
        <v>213</v>
      </c>
      <c r="R214">
        <v>8</v>
      </c>
      <c r="S214" t="s">
        <v>24</v>
      </c>
      <c r="T214" t="s">
        <v>196</v>
      </c>
      <c r="U214">
        <v>5000</v>
      </c>
      <c r="V214">
        <v>1000</v>
      </c>
    </row>
    <row r="215" spans="1:22" x14ac:dyDescent="0.3">
      <c r="A215" t="s">
        <v>299</v>
      </c>
      <c r="B215" t="s">
        <v>272</v>
      </c>
      <c r="C215">
        <v>5.63</v>
      </c>
      <c r="D215">
        <v>16.079999999999998</v>
      </c>
      <c r="E215">
        <v>11.04</v>
      </c>
      <c r="F215">
        <v>1.67</v>
      </c>
      <c r="G215">
        <v>64.382384532760469</v>
      </c>
      <c r="H215">
        <v>47.271791352093345</v>
      </c>
      <c r="I215">
        <v>56.094968107725009</v>
      </c>
      <c r="J215">
        <v>55.105498366042603</v>
      </c>
      <c r="K215">
        <v>40.613026819923384</v>
      </c>
      <c r="L215">
        <v>8.5566944363011146</v>
      </c>
      <c r="M215">
        <v>85.179370491484534</v>
      </c>
      <c r="N215">
        <v>59.000848510873283</v>
      </c>
      <c r="O215">
        <v>10.044583333333334</v>
      </c>
      <c r="P215">
        <v>0.99541666666666551</v>
      </c>
      <c r="Q215">
        <v>214</v>
      </c>
      <c r="R215">
        <v>4</v>
      </c>
      <c r="S215" t="s">
        <v>24</v>
      </c>
      <c r="T215" t="s">
        <v>273</v>
      </c>
      <c r="U215">
        <v>1000</v>
      </c>
      <c r="V215">
        <v>1000</v>
      </c>
    </row>
    <row r="216" spans="1:22" x14ac:dyDescent="0.3">
      <c r="A216" t="s">
        <v>300</v>
      </c>
      <c r="B216" t="s">
        <v>192</v>
      </c>
      <c r="C216">
        <v>5.29</v>
      </c>
      <c r="D216">
        <v>4.12</v>
      </c>
      <c r="E216">
        <v>4.42</v>
      </c>
      <c r="F216">
        <v>0.22</v>
      </c>
      <c r="G216">
        <v>63.651987110633726</v>
      </c>
      <c r="H216">
        <v>26.750171585449557</v>
      </c>
      <c r="I216">
        <v>32.636428065201983</v>
      </c>
      <c r="J216">
        <v>37.073662930362602</v>
      </c>
      <c r="K216">
        <v>96.168582375478934</v>
      </c>
      <c r="L216">
        <v>19.825727844145735</v>
      </c>
      <c r="M216">
        <v>65.660832076906601</v>
      </c>
      <c r="N216">
        <v>58.994185078277681</v>
      </c>
      <c r="O216">
        <v>4.4280373831775703</v>
      </c>
      <c r="P216">
        <v>-8.0373831775704119E-3</v>
      </c>
      <c r="Q216">
        <v>215</v>
      </c>
      <c r="R216">
        <v>33</v>
      </c>
      <c r="S216" t="s">
        <v>24</v>
      </c>
      <c r="T216" t="s">
        <v>45</v>
      </c>
      <c r="U216">
        <v>5000</v>
      </c>
    </row>
    <row r="217" spans="1:22" x14ac:dyDescent="0.3">
      <c r="A217" t="s">
        <v>301</v>
      </c>
      <c r="B217" t="s">
        <v>192</v>
      </c>
      <c r="C217">
        <v>5.36</v>
      </c>
      <c r="D217">
        <v>4.0199999999999996</v>
      </c>
      <c r="E217">
        <v>4.3099999999999996</v>
      </c>
      <c r="F217">
        <v>0.2</v>
      </c>
      <c r="G217">
        <v>63.802363050483343</v>
      </c>
      <c r="H217">
        <v>26.578586135895677</v>
      </c>
      <c r="I217">
        <v>32.246633593196314</v>
      </c>
      <c r="J217">
        <v>36.857365247463534</v>
      </c>
      <c r="K217">
        <v>96.934865900383144</v>
      </c>
      <c r="L217">
        <v>20.056172746175903</v>
      </c>
      <c r="M217">
        <v>65.261689798245129</v>
      </c>
      <c r="N217">
        <v>58.977821548388832</v>
      </c>
      <c r="O217">
        <v>4.4280373831775703</v>
      </c>
      <c r="P217">
        <v>-0.11803738317757073</v>
      </c>
      <c r="Q217">
        <v>216</v>
      </c>
      <c r="R217">
        <v>34</v>
      </c>
      <c r="S217" t="s">
        <v>24</v>
      </c>
      <c r="T217" t="s">
        <v>45</v>
      </c>
      <c r="U217">
        <v>1000</v>
      </c>
      <c r="V217">
        <v>1000</v>
      </c>
    </row>
    <row r="218" spans="1:22" x14ac:dyDescent="0.3">
      <c r="A218" t="s">
        <v>302</v>
      </c>
      <c r="B218" t="s">
        <v>262</v>
      </c>
      <c r="C218">
        <v>6.09</v>
      </c>
      <c r="D218">
        <v>5.0999999999999996</v>
      </c>
      <c r="E218">
        <v>4.9000000000000004</v>
      </c>
      <c r="F218">
        <v>0.31</v>
      </c>
      <c r="G218">
        <v>65.370569280343716</v>
      </c>
      <c r="H218">
        <v>28.43170899107756</v>
      </c>
      <c r="I218">
        <v>34.337349397590359</v>
      </c>
      <c r="J218">
        <v>38.772301252187191</v>
      </c>
      <c r="K218">
        <v>92.720306513409966</v>
      </c>
      <c r="L218">
        <v>19.842785105138674</v>
      </c>
      <c r="M218">
        <v>65.631288034228874</v>
      </c>
      <c r="N218">
        <v>58.974049263003309</v>
      </c>
      <c r="O218">
        <v>4.4728846153846158</v>
      </c>
      <c r="P218">
        <v>0.42711538461538456</v>
      </c>
      <c r="Q218">
        <v>217</v>
      </c>
      <c r="R218">
        <v>6</v>
      </c>
      <c r="S218" t="s">
        <v>24</v>
      </c>
      <c r="T218" t="s">
        <v>263</v>
      </c>
      <c r="U218">
        <v>1000</v>
      </c>
      <c r="V218">
        <v>1000</v>
      </c>
    </row>
    <row r="219" spans="1:22" x14ac:dyDescent="0.3">
      <c r="A219" t="s">
        <v>303</v>
      </c>
      <c r="B219" t="s">
        <v>192</v>
      </c>
      <c r="C219">
        <v>5.22</v>
      </c>
      <c r="D219">
        <v>3.96</v>
      </c>
      <c r="E219">
        <v>4.37</v>
      </c>
      <c r="F219">
        <v>0.21</v>
      </c>
      <c r="G219">
        <v>63.501611170784102</v>
      </c>
      <c r="H219">
        <v>26.475634866163354</v>
      </c>
      <c r="I219">
        <v>32.459248759744867</v>
      </c>
      <c r="J219">
        <v>36.872637073878259</v>
      </c>
      <c r="K219">
        <v>96.551724137931032</v>
      </c>
      <c r="L219">
        <v>19.876094605480645</v>
      </c>
      <c r="M219">
        <v>65.573594287261841</v>
      </c>
      <c r="N219">
        <v>58.967648143237348</v>
      </c>
      <c r="O219">
        <v>4.4280373831775703</v>
      </c>
      <c r="P219">
        <v>-5.8037383177570234E-2</v>
      </c>
      <c r="Q219">
        <v>218</v>
      </c>
      <c r="R219">
        <v>35</v>
      </c>
      <c r="S219" t="s">
        <v>24</v>
      </c>
      <c r="T219" t="s">
        <v>45</v>
      </c>
      <c r="U219">
        <v>2500000</v>
      </c>
      <c r="V219">
        <v>1000</v>
      </c>
    </row>
    <row r="220" spans="1:22" x14ac:dyDescent="0.3">
      <c r="A220" t="s">
        <v>304</v>
      </c>
      <c r="B220" t="s">
        <v>192</v>
      </c>
      <c r="C220">
        <v>5.29</v>
      </c>
      <c r="D220">
        <v>4.09</v>
      </c>
      <c r="E220">
        <v>4.41</v>
      </c>
      <c r="F220">
        <v>0.22</v>
      </c>
      <c r="G220">
        <v>63.651987110633726</v>
      </c>
      <c r="H220">
        <v>26.698695950583396</v>
      </c>
      <c r="I220">
        <v>32.600992204110554</v>
      </c>
      <c r="J220">
        <v>37.040502309357038</v>
      </c>
      <c r="K220">
        <v>96.168582375478934</v>
      </c>
      <c r="L220">
        <v>19.851730039255113</v>
      </c>
      <c r="M220">
        <v>65.615794953868829</v>
      </c>
      <c r="N220">
        <v>58.96634548701546</v>
      </c>
      <c r="O220">
        <v>4.4280373831775703</v>
      </c>
      <c r="P220">
        <v>-1.8037383177570199E-2</v>
      </c>
      <c r="Q220">
        <v>219</v>
      </c>
      <c r="R220">
        <v>36</v>
      </c>
      <c r="S220" t="s">
        <v>24</v>
      </c>
      <c r="T220" t="s">
        <v>45</v>
      </c>
      <c r="U220">
        <v>5000</v>
      </c>
    </row>
    <row r="221" spans="1:22" x14ac:dyDescent="0.3">
      <c r="A221" t="s">
        <v>305</v>
      </c>
      <c r="B221" t="s">
        <v>44</v>
      </c>
      <c r="C221">
        <v>3.3</v>
      </c>
      <c r="D221">
        <v>5.0199999999999996</v>
      </c>
      <c r="E221">
        <v>5.84</v>
      </c>
      <c r="F221">
        <v>0.51</v>
      </c>
      <c r="G221">
        <v>59.377013963480131</v>
      </c>
      <c r="H221">
        <v>28.294440631434458</v>
      </c>
      <c r="I221">
        <v>37.668320340184266</v>
      </c>
      <c r="J221">
        <v>39.1978951522185</v>
      </c>
      <c r="K221">
        <v>85.057471264367805</v>
      </c>
      <c r="L221">
        <v>15.943981960634526</v>
      </c>
      <c r="M221">
        <v>72.38421316921935</v>
      </c>
      <c r="N221">
        <v>58.959368684506039</v>
      </c>
      <c r="O221">
        <v>7.5967647058823538</v>
      </c>
      <c r="P221">
        <v>-1.7567647058823539</v>
      </c>
      <c r="Q221">
        <v>220</v>
      </c>
      <c r="R221">
        <v>12</v>
      </c>
      <c r="S221" t="s">
        <v>24</v>
      </c>
      <c r="T221" t="s">
        <v>221</v>
      </c>
      <c r="U221">
        <v>1000</v>
      </c>
      <c r="V221">
        <v>1000</v>
      </c>
    </row>
    <row r="222" spans="1:22" x14ac:dyDescent="0.3">
      <c r="A222" t="s">
        <v>306</v>
      </c>
      <c r="B222" t="s">
        <v>199</v>
      </c>
      <c r="C222">
        <v>5.81</v>
      </c>
      <c r="D222">
        <v>18.420000000000002</v>
      </c>
      <c r="E222">
        <v>11.54</v>
      </c>
      <c r="F222">
        <v>1.87</v>
      </c>
      <c r="G222">
        <v>64.769065520945219</v>
      </c>
      <c r="H222">
        <v>51.286890871654087</v>
      </c>
      <c r="I222">
        <v>57.866761162296228</v>
      </c>
      <c r="J222">
        <v>57.273260946833389</v>
      </c>
      <c r="K222">
        <v>32.950191570881216</v>
      </c>
      <c r="L222">
        <v>6.7417298939155614</v>
      </c>
      <c r="M222">
        <v>88.32298129283231</v>
      </c>
      <c r="N222">
        <v>58.95492368934508</v>
      </c>
      <c r="O222">
        <v>9.83</v>
      </c>
      <c r="P222">
        <v>1.7099999999999991</v>
      </c>
      <c r="Q222">
        <v>221</v>
      </c>
      <c r="R222">
        <v>4</v>
      </c>
      <c r="S222" t="s">
        <v>24</v>
      </c>
      <c r="T222" t="s">
        <v>78</v>
      </c>
      <c r="U222">
        <v>5000</v>
      </c>
      <c r="V222">
        <v>1000</v>
      </c>
    </row>
    <row r="223" spans="1:22" x14ac:dyDescent="0.3">
      <c r="A223" t="s">
        <v>307</v>
      </c>
      <c r="B223" t="s">
        <v>192</v>
      </c>
      <c r="C223">
        <v>5.12</v>
      </c>
      <c r="D223">
        <v>4.08</v>
      </c>
      <c r="E223">
        <v>5.17</v>
      </c>
      <c r="F223">
        <v>0.32</v>
      </c>
      <c r="G223">
        <v>63.286788399570348</v>
      </c>
      <c r="H223">
        <v>26.68153740562801</v>
      </c>
      <c r="I223">
        <v>35.294117647058819</v>
      </c>
      <c r="J223">
        <v>38.308877725131879</v>
      </c>
      <c r="K223">
        <v>92.337164750957854</v>
      </c>
      <c r="L223">
        <v>19.138576029419028</v>
      </c>
      <c r="M223">
        <v>66.851013932526413</v>
      </c>
      <c r="N223">
        <v>58.951483533437013</v>
      </c>
      <c r="O223">
        <v>4.4280373831775703</v>
      </c>
      <c r="P223">
        <v>0.74196261682242959</v>
      </c>
      <c r="Q223">
        <v>222</v>
      </c>
      <c r="R223">
        <v>37</v>
      </c>
      <c r="S223" t="s">
        <v>24</v>
      </c>
      <c r="T223" t="s">
        <v>213</v>
      </c>
      <c r="U223">
        <v>1000</v>
      </c>
    </row>
    <row r="224" spans="1:22" x14ac:dyDescent="0.3">
      <c r="A224" t="s">
        <v>308</v>
      </c>
      <c r="B224" t="s">
        <v>262</v>
      </c>
      <c r="C224">
        <v>6.15</v>
      </c>
      <c r="D224">
        <v>5.19</v>
      </c>
      <c r="E224">
        <v>5.01</v>
      </c>
      <c r="F224">
        <v>0.33</v>
      </c>
      <c r="G224">
        <v>65.499462943071961</v>
      </c>
      <c r="H224">
        <v>28.586135895676051</v>
      </c>
      <c r="I224">
        <v>34.727143869596027</v>
      </c>
      <c r="J224">
        <v>39.039305292115216</v>
      </c>
      <c r="K224">
        <v>91.954022988505741</v>
      </c>
      <c r="L224">
        <v>19.778950569580992</v>
      </c>
      <c r="M224">
        <v>65.741852693092341</v>
      </c>
      <c r="N224">
        <v>58.943621566457132</v>
      </c>
      <c r="O224">
        <v>4.4728846153846158</v>
      </c>
      <c r="P224">
        <v>0.537115384615384</v>
      </c>
      <c r="Q224">
        <v>223</v>
      </c>
      <c r="R224">
        <v>7</v>
      </c>
      <c r="S224" t="s">
        <v>24</v>
      </c>
      <c r="T224" t="s">
        <v>295</v>
      </c>
      <c r="U224">
        <v>1000</v>
      </c>
      <c r="V224">
        <v>1000</v>
      </c>
    </row>
    <row r="225" spans="1:22" x14ac:dyDescent="0.3">
      <c r="A225" t="s">
        <v>309</v>
      </c>
      <c r="B225" t="s">
        <v>192</v>
      </c>
      <c r="C225">
        <v>5.21</v>
      </c>
      <c r="D225">
        <v>4.1100000000000003</v>
      </c>
      <c r="E225">
        <v>4.4400000000000004</v>
      </c>
      <c r="F225">
        <v>0.23</v>
      </c>
      <c r="G225">
        <v>63.480128893662723</v>
      </c>
      <c r="H225">
        <v>26.733013040494168</v>
      </c>
      <c r="I225">
        <v>32.707299787384834</v>
      </c>
      <c r="J225">
        <v>37.069579584573212</v>
      </c>
      <c r="K225">
        <v>95.785440613026822</v>
      </c>
      <c r="L225">
        <v>19.718898028982455</v>
      </c>
      <c r="M225">
        <v>65.8458667445326</v>
      </c>
      <c r="N225">
        <v>58.942616631676458</v>
      </c>
      <c r="O225">
        <v>4.4280373831775703</v>
      </c>
      <c r="P225">
        <v>1.196261682243005E-2</v>
      </c>
      <c r="Q225">
        <v>224</v>
      </c>
      <c r="R225">
        <v>38</v>
      </c>
      <c r="S225" t="s">
        <v>24</v>
      </c>
      <c r="T225" t="s">
        <v>45</v>
      </c>
      <c r="U225">
        <v>20000</v>
      </c>
    </row>
    <row r="226" spans="1:22" x14ac:dyDescent="0.3">
      <c r="A226" t="s">
        <v>310</v>
      </c>
      <c r="B226" t="s">
        <v>148</v>
      </c>
      <c r="C226">
        <v>2.93</v>
      </c>
      <c r="D226">
        <v>17.95</v>
      </c>
      <c r="E226">
        <v>10.72</v>
      </c>
      <c r="F226">
        <v>1.84</v>
      </c>
      <c r="G226">
        <v>58.582169709989252</v>
      </c>
      <c r="H226">
        <v>50.480439258750863</v>
      </c>
      <c r="I226">
        <v>54.961020552799432</v>
      </c>
      <c r="J226">
        <v>54.341075996022823</v>
      </c>
      <c r="K226">
        <v>34.099616858237546</v>
      </c>
      <c r="L226">
        <v>4.0584554996475743</v>
      </c>
      <c r="M226">
        <v>92.970548874353071</v>
      </c>
      <c r="N226">
        <v>58.938079431159068</v>
      </c>
      <c r="O226">
        <v>10.461</v>
      </c>
      <c r="P226">
        <v>0.25900000000000034</v>
      </c>
      <c r="Q226">
        <v>225</v>
      </c>
      <c r="R226">
        <v>6</v>
      </c>
      <c r="S226" t="s">
        <v>24</v>
      </c>
      <c r="T226" t="s">
        <v>78</v>
      </c>
      <c r="U226">
        <v>5000</v>
      </c>
      <c r="V226">
        <v>1000</v>
      </c>
    </row>
    <row r="227" spans="1:22" x14ac:dyDescent="0.3">
      <c r="A227" t="s">
        <v>311</v>
      </c>
      <c r="B227" t="s">
        <v>192</v>
      </c>
      <c r="C227">
        <v>5.33</v>
      </c>
      <c r="D227">
        <v>3.96</v>
      </c>
      <c r="E227">
        <v>4.29</v>
      </c>
      <c r="F227">
        <v>0.2</v>
      </c>
      <c r="G227">
        <v>63.737916219119214</v>
      </c>
      <c r="H227">
        <v>26.475634866163354</v>
      </c>
      <c r="I227">
        <v>32.175761871013464</v>
      </c>
      <c r="J227">
        <v>36.778154639179583</v>
      </c>
      <c r="K227">
        <v>96.934865900383144</v>
      </c>
      <c r="L227">
        <v>20.071283992277436</v>
      </c>
      <c r="M227">
        <v>65.235516352231585</v>
      </c>
      <c r="N227">
        <v>58.93167288274347</v>
      </c>
      <c r="O227">
        <v>4.4280373831775703</v>
      </c>
      <c r="P227">
        <v>-0.13803738317757031</v>
      </c>
      <c r="Q227">
        <v>226</v>
      </c>
      <c r="R227">
        <v>39</v>
      </c>
      <c r="S227" t="s">
        <v>24</v>
      </c>
      <c r="T227" t="s">
        <v>45</v>
      </c>
      <c r="U227">
        <v>1000</v>
      </c>
      <c r="V227">
        <v>1000</v>
      </c>
    </row>
    <row r="228" spans="1:22" x14ac:dyDescent="0.3">
      <c r="A228" t="s">
        <v>312</v>
      </c>
      <c r="B228" t="s">
        <v>192</v>
      </c>
      <c r="C228">
        <v>5.22</v>
      </c>
      <c r="D228">
        <v>4.05</v>
      </c>
      <c r="E228">
        <v>4.38</v>
      </c>
      <c r="F228">
        <v>0.22</v>
      </c>
      <c r="G228">
        <v>63.501611170784102</v>
      </c>
      <c r="H228">
        <v>26.630061770761841</v>
      </c>
      <c r="I228">
        <v>32.494684620836281</v>
      </c>
      <c r="J228">
        <v>36.936683075803515</v>
      </c>
      <c r="K228">
        <v>96.168582375478934</v>
      </c>
      <c r="L228">
        <v>19.813019500679161</v>
      </c>
      <c r="M228">
        <v>65.682843573470748</v>
      </c>
      <c r="N228">
        <v>58.931198025139182</v>
      </c>
      <c r="O228">
        <v>4.4280373831775703</v>
      </c>
      <c r="P228">
        <v>-4.8037383177570447E-2</v>
      </c>
      <c r="Q228">
        <v>227</v>
      </c>
      <c r="R228">
        <v>40</v>
      </c>
      <c r="S228" t="s">
        <v>24</v>
      </c>
      <c r="T228" t="s">
        <v>213</v>
      </c>
      <c r="U228">
        <v>1000</v>
      </c>
      <c r="V228">
        <v>1000</v>
      </c>
    </row>
    <row r="229" spans="1:22" x14ac:dyDescent="0.3">
      <c r="A229" t="s">
        <v>313</v>
      </c>
      <c r="B229" t="s">
        <v>192</v>
      </c>
      <c r="C229">
        <v>5.21</v>
      </c>
      <c r="D229">
        <v>4.04</v>
      </c>
      <c r="E229">
        <v>4.38</v>
      </c>
      <c r="F229">
        <v>0.22</v>
      </c>
      <c r="G229">
        <v>63.480128893662723</v>
      </c>
      <c r="H229">
        <v>26.612903225806456</v>
      </c>
      <c r="I229">
        <v>32.494684620836281</v>
      </c>
      <c r="J229">
        <v>36.927239056892624</v>
      </c>
      <c r="K229">
        <v>96.168582375478934</v>
      </c>
      <c r="L229">
        <v>19.806924031795848</v>
      </c>
      <c r="M229">
        <v>65.693401235272603</v>
      </c>
      <c r="N229">
        <v>58.9291154311342</v>
      </c>
      <c r="O229">
        <v>4.4280373831775703</v>
      </c>
      <c r="P229">
        <v>-4.8037383177570447E-2</v>
      </c>
      <c r="Q229">
        <v>228</v>
      </c>
      <c r="R229">
        <v>41</v>
      </c>
      <c r="S229" t="s">
        <v>24</v>
      </c>
      <c r="T229" t="s">
        <v>213</v>
      </c>
      <c r="U229">
        <v>1000</v>
      </c>
      <c r="V229">
        <v>1000</v>
      </c>
    </row>
    <row r="230" spans="1:22" x14ac:dyDescent="0.3">
      <c r="A230" t="s">
        <v>314</v>
      </c>
      <c r="B230" t="s">
        <v>192</v>
      </c>
      <c r="C230">
        <v>5.2</v>
      </c>
      <c r="D230">
        <v>4.01</v>
      </c>
      <c r="E230">
        <v>4.3899999999999997</v>
      </c>
      <c r="F230">
        <v>0.22</v>
      </c>
      <c r="G230">
        <v>63.458646616541344</v>
      </c>
      <c r="H230">
        <v>26.561427590940291</v>
      </c>
      <c r="I230">
        <v>32.530120481927703</v>
      </c>
      <c r="J230">
        <v>36.925217841554208</v>
      </c>
      <c r="K230">
        <v>96.168582375478934</v>
      </c>
      <c r="L230">
        <v>19.805739048356578</v>
      </c>
      <c r="M230">
        <v>65.695453686795531</v>
      </c>
      <c r="N230">
        <v>58.928617936345717</v>
      </c>
      <c r="O230">
        <v>4.4280373831775703</v>
      </c>
      <c r="P230">
        <v>-3.8037383177570661E-2</v>
      </c>
      <c r="Q230">
        <v>229</v>
      </c>
      <c r="R230">
        <v>42</v>
      </c>
      <c r="S230" t="s">
        <v>24</v>
      </c>
      <c r="T230" t="s">
        <v>213</v>
      </c>
      <c r="U230">
        <v>100000</v>
      </c>
      <c r="V230">
        <v>1000</v>
      </c>
    </row>
    <row r="231" spans="1:22" x14ac:dyDescent="0.3">
      <c r="A231" t="s">
        <v>315</v>
      </c>
      <c r="B231" t="s">
        <v>192</v>
      </c>
      <c r="C231">
        <v>5.21</v>
      </c>
      <c r="D231">
        <v>4.09</v>
      </c>
      <c r="E231">
        <v>4.43</v>
      </c>
      <c r="F231">
        <v>0.23</v>
      </c>
      <c r="G231">
        <v>63.480128893662723</v>
      </c>
      <c r="H231">
        <v>26.698695950583396</v>
      </c>
      <c r="I231">
        <v>32.671863926293412</v>
      </c>
      <c r="J231">
        <v>37.041566527054272</v>
      </c>
      <c r="K231">
        <v>95.785440613026822</v>
      </c>
      <c r="L231">
        <v>19.738717179323498</v>
      </c>
      <c r="M231">
        <v>65.811538969179054</v>
      </c>
      <c r="N231">
        <v>58.920028159078605</v>
      </c>
      <c r="O231">
        <v>4.4280373831775703</v>
      </c>
      <c r="P231">
        <v>1.962616822429375E-3</v>
      </c>
      <c r="Q231">
        <v>230</v>
      </c>
      <c r="R231">
        <v>43</v>
      </c>
      <c r="S231" t="s">
        <v>24</v>
      </c>
      <c r="T231" t="s">
        <v>45</v>
      </c>
      <c r="U231">
        <v>20000</v>
      </c>
    </row>
    <row r="232" spans="1:22" x14ac:dyDescent="0.3">
      <c r="A232" t="s">
        <v>316</v>
      </c>
      <c r="B232" t="s">
        <v>262</v>
      </c>
      <c r="C232">
        <v>6.16</v>
      </c>
      <c r="D232">
        <v>5.18</v>
      </c>
      <c r="E232">
        <v>4.99</v>
      </c>
      <c r="F232">
        <v>0.33</v>
      </c>
      <c r="G232">
        <v>65.52094522019334</v>
      </c>
      <c r="H232">
        <v>28.568977350720658</v>
      </c>
      <c r="I232">
        <v>34.656272147413183</v>
      </c>
      <c r="J232">
        <v>39.003018322961452</v>
      </c>
      <c r="K232">
        <v>91.954022988505741</v>
      </c>
      <c r="L232">
        <v>19.812164324214145</v>
      </c>
      <c r="M232">
        <v>65.684324782557582</v>
      </c>
      <c r="N232">
        <v>58.91109610424656</v>
      </c>
      <c r="O232">
        <v>4.4728846153846158</v>
      </c>
      <c r="P232">
        <v>0.51711538461538442</v>
      </c>
      <c r="Q232">
        <v>231</v>
      </c>
      <c r="R232">
        <v>8</v>
      </c>
      <c r="S232" t="s">
        <v>24</v>
      </c>
      <c r="T232" t="s">
        <v>295</v>
      </c>
      <c r="U232">
        <v>1000</v>
      </c>
      <c r="V232">
        <v>1000</v>
      </c>
    </row>
    <row r="233" spans="1:22" x14ac:dyDescent="0.3">
      <c r="A233" t="s">
        <v>317</v>
      </c>
      <c r="B233" t="s">
        <v>192</v>
      </c>
      <c r="C233">
        <v>5.21</v>
      </c>
      <c r="D233">
        <v>4.17</v>
      </c>
      <c r="E233">
        <v>5.28</v>
      </c>
      <c r="F233">
        <v>0.34</v>
      </c>
      <c r="G233">
        <v>63.480128893662723</v>
      </c>
      <c r="H233">
        <v>26.835964310226494</v>
      </c>
      <c r="I233">
        <v>35.683912119064495</v>
      </c>
      <c r="J233">
        <v>38.588771131332742</v>
      </c>
      <c r="K233">
        <v>91.570881226053629</v>
      </c>
      <c r="L233">
        <v>19.121151662606252</v>
      </c>
      <c r="M233">
        <v>66.881193821135867</v>
      </c>
      <c r="N233">
        <v>58.907404327463745</v>
      </c>
      <c r="O233">
        <v>4.4280373831775703</v>
      </c>
      <c r="P233">
        <v>0.85196261682242991</v>
      </c>
      <c r="Q233">
        <v>232</v>
      </c>
      <c r="R233">
        <v>44</v>
      </c>
      <c r="S233" t="s">
        <v>24</v>
      </c>
      <c r="T233" t="s">
        <v>45</v>
      </c>
      <c r="U233">
        <v>1000</v>
      </c>
      <c r="V233">
        <v>1000</v>
      </c>
    </row>
    <row r="234" spans="1:22" x14ac:dyDescent="0.3">
      <c r="A234" t="s">
        <v>318</v>
      </c>
      <c r="B234" t="s">
        <v>262</v>
      </c>
      <c r="C234">
        <v>5.78</v>
      </c>
      <c r="D234">
        <v>4.7699999999999996</v>
      </c>
      <c r="E234">
        <v>4.66</v>
      </c>
      <c r="F234">
        <v>0.28000000000000003</v>
      </c>
      <c r="G234">
        <v>64.704618689581096</v>
      </c>
      <c r="H234">
        <v>27.865477007549767</v>
      </c>
      <c r="I234">
        <v>33.486888731396171</v>
      </c>
      <c r="J234">
        <v>38.044011205879229</v>
      </c>
      <c r="K234">
        <v>93.869731800766274</v>
      </c>
      <c r="L234">
        <v>19.846365298545781</v>
      </c>
      <c r="M234">
        <v>65.625086957346838</v>
      </c>
      <c r="N234">
        <v>58.895710292467889</v>
      </c>
      <c r="O234">
        <v>4.4728846153846158</v>
      </c>
      <c r="P234">
        <v>0.18711538461538435</v>
      </c>
      <c r="Q234">
        <v>233</v>
      </c>
      <c r="R234">
        <v>9</v>
      </c>
      <c r="S234" t="s">
        <v>24</v>
      </c>
      <c r="T234" t="s">
        <v>295</v>
      </c>
      <c r="U234">
        <v>10000</v>
      </c>
      <c r="V234">
        <v>1000</v>
      </c>
    </row>
    <row r="235" spans="1:22" x14ac:dyDescent="0.3">
      <c r="A235" t="s">
        <v>319</v>
      </c>
      <c r="B235" t="s">
        <v>192</v>
      </c>
      <c r="C235">
        <v>5.21</v>
      </c>
      <c r="D235">
        <v>4.0199999999999996</v>
      </c>
      <c r="E235">
        <v>4.3600000000000003</v>
      </c>
      <c r="F235">
        <v>0.22</v>
      </c>
      <c r="G235">
        <v>63.480128893662723</v>
      </c>
      <c r="H235">
        <v>26.578586135895677</v>
      </c>
      <c r="I235">
        <v>32.423812898653438</v>
      </c>
      <c r="J235">
        <v>36.881508068827969</v>
      </c>
      <c r="K235">
        <v>96.168582375478934</v>
      </c>
      <c r="L235">
        <v>19.834251926878238</v>
      </c>
      <c r="M235">
        <v>65.646067932525995</v>
      </c>
      <c r="N235">
        <v>58.894416611415217</v>
      </c>
      <c r="O235">
        <v>4.4280373831775703</v>
      </c>
      <c r="P235">
        <v>-6.8037383177570021E-2</v>
      </c>
      <c r="Q235">
        <v>234</v>
      </c>
      <c r="R235">
        <v>45</v>
      </c>
      <c r="S235" t="s">
        <v>24</v>
      </c>
      <c r="T235" t="s">
        <v>213</v>
      </c>
      <c r="U235">
        <v>1000</v>
      </c>
      <c r="V235">
        <v>1000</v>
      </c>
    </row>
    <row r="236" spans="1:22" x14ac:dyDescent="0.3">
      <c r="A236" t="s">
        <v>320</v>
      </c>
      <c r="B236" t="s">
        <v>272</v>
      </c>
      <c r="C236">
        <v>2.14</v>
      </c>
      <c r="D236">
        <v>13.78</v>
      </c>
      <c r="E236">
        <v>10.96</v>
      </c>
      <c r="F236">
        <v>1.58</v>
      </c>
      <c r="G236">
        <v>56.885069817400648</v>
      </c>
      <c r="H236">
        <v>43.325326012354161</v>
      </c>
      <c r="I236">
        <v>55.81148121899362</v>
      </c>
      <c r="J236">
        <v>52.28035237668319</v>
      </c>
      <c r="K236">
        <v>44.061302681992331</v>
      </c>
      <c r="L236">
        <v>7.5379408813173887</v>
      </c>
      <c r="M236">
        <v>86.943903409107762</v>
      </c>
      <c r="N236">
        <v>58.891477711116622</v>
      </c>
      <c r="O236">
        <v>10.044583333333334</v>
      </c>
      <c r="P236">
        <v>0.91541666666666721</v>
      </c>
      <c r="Q236">
        <v>235</v>
      </c>
      <c r="R236">
        <v>5</v>
      </c>
      <c r="S236" t="s">
        <v>24</v>
      </c>
      <c r="T236" t="s">
        <v>273</v>
      </c>
      <c r="U236">
        <v>5000</v>
      </c>
      <c r="V236">
        <v>1000</v>
      </c>
    </row>
    <row r="237" spans="1:22" x14ac:dyDescent="0.3">
      <c r="A237" t="s">
        <v>321</v>
      </c>
      <c r="B237" t="s">
        <v>192</v>
      </c>
      <c r="C237">
        <v>5.14</v>
      </c>
      <c r="D237">
        <v>4.13</v>
      </c>
      <c r="E237">
        <v>5.26</v>
      </c>
      <c r="F237">
        <v>0.34</v>
      </c>
      <c r="G237">
        <v>63.329752953813099</v>
      </c>
      <c r="H237">
        <v>26.767330130404943</v>
      </c>
      <c r="I237">
        <v>35.613040396881637</v>
      </c>
      <c r="J237">
        <v>38.502669828324926</v>
      </c>
      <c r="K237">
        <v>91.570881226053629</v>
      </c>
      <c r="L237">
        <v>19.075610552918487</v>
      </c>
      <c r="M237">
        <v>66.960073336948142</v>
      </c>
      <c r="N237">
        <v>58.884073554912902</v>
      </c>
      <c r="O237">
        <v>4.4280373831775703</v>
      </c>
      <c r="P237">
        <v>0.83196261682242945</v>
      </c>
      <c r="Q237">
        <v>236</v>
      </c>
      <c r="R237">
        <v>46</v>
      </c>
      <c r="S237" t="s">
        <v>24</v>
      </c>
      <c r="T237" t="s">
        <v>213</v>
      </c>
      <c r="U237">
        <v>1000</v>
      </c>
      <c r="V237">
        <v>1000</v>
      </c>
    </row>
    <row r="238" spans="1:22" x14ac:dyDescent="0.3">
      <c r="A238" t="s">
        <v>322</v>
      </c>
      <c r="B238" t="s">
        <v>262</v>
      </c>
      <c r="C238">
        <v>6.08</v>
      </c>
      <c r="D238">
        <v>5.0999999999999996</v>
      </c>
      <c r="E238">
        <v>4.82</v>
      </c>
      <c r="F238">
        <v>0.31</v>
      </c>
      <c r="G238">
        <v>65.349087003222337</v>
      </c>
      <c r="H238">
        <v>28.43170899107756</v>
      </c>
      <c r="I238">
        <v>34.05386250885897</v>
      </c>
      <c r="J238">
        <v>38.626261352397222</v>
      </c>
      <c r="K238">
        <v>92.720306513409966</v>
      </c>
      <c r="L238">
        <v>19.890921235669694</v>
      </c>
      <c r="M238">
        <v>65.547913810469367</v>
      </c>
      <c r="N238">
        <v>58.880185757168448</v>
      </c>
      <c r="O238">
        <v>4.4728846153846158</v>
      </c>
      <c r="P238">
        <v>0.34711538461538449</v>
      </c>
      <c r="Q238">
        <v>237</v>
      </c>
      <c r="R238">
        <v>10</v>
      </c>
      <c r="S238" t="s">
        <v>24</v>
      </c>
      <c r="T238" t="s">
        <v>263</v>
      </c>
      <c r="U238">
        <v>1000</v>
      </c>
      <c r="V238">
        <v>1000</v>
      </c>
    </row>
    <row r="239" spans="1:22" x14ac:dyDescent="0.3">
      <c r="A239" t="s">
        <v>323</v>
      </c>
      <c r="B239" t="s">
        <v>262</v>
      </c>
      <c r="C239">
        <v>6.09</v>
      </c>
      <c r="D239">
        <v>5.0999999999999996</v>
      </c>
      <c r="E239">
        <v>4.82</v>
      </c>
      <c r="F239">
        <v>0.31</v>
      </c>
      <c r="G239">
        <v>65.370569280343716</v>
      </c>
      <c r="H239">
        <v>28.43170899107756</v>
      </c>
      <c r="I239">
        <v>34.05386250885897</v>
      </c>
      <c r="J239">
        <v>38.630557807821496</v>
      </c>
      <c r="K239">
        <v>92.720306513409966</v>
      </c>
      <c r="L239">
        <v>19.903199628278298</v>
      </c>
      <c r="M239">
        <v>65.526647010635998</v>
      </c>
      <c r="N239">
        <v>58.877017284922239</v>
      </c>
      <c r="O239">
        <v>4.4728846153846158</v>
      </c>
      <c r="P239">
        <v>0.34711538461538449</v>
      </c>
      <c r="Q239">
        <v>238</v>
      </c>
      <c r="R239">
        <v>11</v>
      </c>
      <c r="S239" t="s">
        <v>24</v>
      </c>
      <c r="T239" t="s">
        <v>263</v>
      </c>
      <c r="U239">
        <v>1000</v>
      </c>
      <c r="V239">
        <v>1000</v>
      </c>
    </row>
    <row r="240" spans="1:22" x14ac:dyDescent="0.3">
      <c r="A240" t="s">
        <v>324</v>
      </c>
      <c r="B240" t="s">
        <v>192</v>
      </c>
      <c r="C240">
        <v>4.9800000000000004</v>
      </c>
      <c r="D240">
        <v>3.9</v>
      </c>
      <c r="E240">
        <v>5.07</v>
      </c>
      <c r="F240">
        <v>0.31</v>
      </c>
      <c r="G240">
        <v>62.986036519871099</v>
      </c>
      <c r="H240">
        <v>26.372683596431024</v>
      </c>
      <c r="I240">
        <v>34.939759036144579</v>
      </c>
      <c r="J240">
        <v>37.978891900975817</v>
      </c>
      <c r="K240">
        <v>92.720306513409966</v>
      </c>
      <c r="L240">
        <v>19.150831464022243</v>
      </c>
      <c r="M240">
        <v>66.829786897124819</v>
      </c>
      <c r="N240">
        <v>58.876969303121605</v>
      </c>
      <c r="O240">
        <v>4.4280373831775703</v>
      </c>
      <c r="P240">
        <v>0.64196261682242994</v>
      </c>
      <c r="Q240">
        <v>239</v>
      </c>
      <c r="R240">
        <v>47</v>
      </c>
      <c r="S240" t="s">
        <v>24</v>
      </c>
      <c r="T240" t="s">
        <v>45</v>
      </c>
      <c r="U240">
        <v>1000</v>
      </c>
      <c r="V240">
        <v>1000</v>
      </c>
    </row>
    <row r="241" spans="1:22" x14ac:dyDescent="0.3">
      <c r="A241" t="s">
        <v>325</v>
      </c>
      <c r="B241" t="s">
        <v>192</v>
      </c>
      <c r="C241">
        <v>5.21</v>
      </c>
      <c r="D241">
        <v>4.05</v>
      </c>
      <c r="E241">
        <v>4.41</v>
      </c>
      <c r="F241">
        <v>0.23</v>
      </c>
      <c r="G241">
        <v>63.480128893662723</v>
      </c>
      <c r="H241">
        <v>26.630061770761841</v>
      </c>
      <c r="I241">
        <v>32.600992204110554</v>
      </c>
      <c r="J241">
        <v>36.985540412016377</v>
      </c>
      <c r="K241">
        <v>95.785440613026822</v>
      </c>
      <c r="L241">
        <v>19.778357447364183</v>
      </c>
      <c r="M241">
        <v>65.742880010906944</v>
      </c>
      <c r="N241">
        <v>58.874850361991633</v>
      </c>
      <c r="O241">
        <v>4.4280373831775703</v>
      </c>
      <c r="P241">
        <v>-1.8037383177570199E-2</v>
      </c>
      <c r="Q241">
        <v>240</v>
      </c>
      <c r="R241">
        <v>48</v>
      </c>
      <c r="S241" t="s">
        <v>24</v>
      </c>
      <c r="T241" t="s">
        <v>45</v>
      </c>
      <c r="U241">
        <v>20000</v>
      </c>
    </row>
    <row r="242" spans="1:22" x14ac:dyDescent="0.3">
      <c r="A242" t="s">
        <v>326</v>
      </c>
      <c r="B242" t="s">
        <v>192</v>
      </c>
      <c r="C242">
        <v>5.16</v>
      </c>
      <c r="D242">
        <v>3.94</v>
      </c>
      <c r="E242">
        <v>4.3499999999999996</v>
      </c>
      <c r="F242">
        <v>0.22</v>
      </c>
      <c r="G242">
        <v>63.372717508055857</v>
      </c>
      <c r="H242">
        <v>26.441317776252575</v>
      </c>
      <c r="I242">
        <v>32.388377037562009</v>
      </c>
      <c r="J242">
        <v>36.801127353267944</v>
      </c>
      <c r="K242">
        <v>96.168582375478934</v>
      </c>
      <c r="L242">
        <v>19.829797252280255</v>
      </c>
      <c r="M242">
        <v>65.653783655260881</v>
      </c>
      <c r="N242">
        <v>58.856155184318922</v>
      </c>
      <c r="O242">
        <v>4.4280373831775703</v>
      </c>
      <c r="P242">
        <v>-7.8037383177570696E-2</v>
      </c>
      <c r="Q242">
        <v>241</v>
      </c>
      <c r="R242">
        <v>49</v>
      </c>
      <c r="S242" t="s">
        <v>24</v>
      </c>
      <c r="T242" t="s">
        <v>213</v>
      </c>
      <c r="U242">
        <v>100000</v>
      </c>
      <c r="V242">
        <v>1000</v>
      </c>
    </row>
    <row r="243" spans="1:22" x14ac:dyDescent="0.3">
      <c r="A243" t="s">
        <v>327</v>
      </c>
      <c r="B243" t="s">
        <v>328</v>
      </c>
      <c r="C243">
        <v>7.38</v>
      </c>
      <c r="D243">
        <v>23.58</v>
      </c>
      <c r="E243">
        <v>12.98</v>
      </c>
      <c r="F243">
        <v>2.31</v>
      </c>
      <c r="G243">
        <v>68.141783029001061</v>
      </c>
      <c r="H243">
        <v>60.140700068634189</v>
      </c>
      <c r="I243">
        <v>62.969525159461369</v>
      </c>
      <c r="J243">
        <v>63.155329206121152</v>
      </c>
      <c r="K243">
        <v>16.09195402298851</v>
      </c>
      <c r="L243">
        <v>4.0573355666451389</v>
      </c>
      <c r="M243">
        <v>92.972488655214363</v>
      </c>
      <c r="N243">
        <v>58.843775272611296</v>
      </c>
      <c r="O243">
        <v>10.248999999999999</v>
      </c>
      <c r="P243">
        <v>2.7310000000000016</v>
      </c>
      <c r="Q243">
        <v>242</v>
      </c>
      <c r="R243">
        <v>1</v>
      </c>
      <c r="S243" t="s">
        <v>24</v>
      </c>
      <c r="T243" t="s">
        <v>329</v>
      </c>
      <c r="U243">
        <v>5000</v>
      </c>
      <c r="V243">
        <v>1000</v>
      </c>
    </row>
    <row r="244" spans="1:22" x14ac:dyDescent="0.3">
      <c r="A244" t="s">
        <v>330</v>
      </c>
      <c r="B244" t="s">
        <v>44</v>
      </c>
      <c r="C244">
        <v>3.3</v>
      </c>
      <c r="D244">
        <v>4.76</v>
      </c>
      <c r="E244">
        <v>5.86</v>
      </c>
      <c r="F244">
        <v>0.51</v>
      </c>
      <c r="G244">
        <v>59.377013963480131</v>
      </c>
      <c r="H244">
        <v>27.848318462594374</v>
      </c>
      <c r="I244">
        <v>37.73919206236711</v>
      </c>
      <c r="J244">
        <v>39.099494362657893</v>
      </c>
      <c r="K244">
        <v>85.057471264367805</v>
      </c>
      <c r="L244">
        <v>16.124946290238928</v>
      </c>
      <c r="M244">
        <v>72.070773755986892</v>
      </c>
      <c r="N244">
        <v>58.831808436417624</v>
      </c>
      <c r="O244">
        <v>7.5967647058823538</v>
      </c>
      <c r="P244">
        <v>-1.7367647058823534</v>
      </c>
      <c r="Q244">
        <v>243</v>
      </c>
      <c r="R244">
        <v>13</v>
      </c>
      <c r="S244" t="s">
        <v>24</v>
      </c>
      <c r="T244" t="s">
        <v>221</v>
      </c>
      <c r="U244">
        <v>1000</v>
      </c>
      <c r="V244">
        <v>1000</v>
      </c>
    </row>
    <row r="245" spans="1:22" x14ac:dyDescent="0.3">
      <c r="A245" t="s">
        <v>331</v>
      </c>
      <c r="B245" t="s">
        <v>192</v>
      </c>
      <c r="C245">
        <v>5.23</v>
      </c>
      <c r="D245">
        <v>4.1100000000000003</v>
      </c>
      <c r="E245">
        <v>3.87</v>
      </c>
      <c r="F245">
        <v>0.17</v>
      </c>
      <c r="G245">
        <v>63.523093447905474</v>
      </c>
      <c r="H245">
        <v>26.733013040494168</v>
      </c>
      <c r="I245">
        <v>30.687455705173633</v>
      </c>
      <c r="J245">
        <v>36.068250454316164</v>
      </c>
      <c r="K245">
        <v>98.084291187739453</v>
      </c>
      <c r="L245">
        <v>20.196232070792902</v>
      </c>
      <c r="M245">
        <v>65.01909993193469</v>
      </c>
      <c r="N245">
        <v>58.809973007076621</v>
      </c>
      <c r="O245">
        <v>4.4280373831775703</v>
      </c>
      <c r="P245">
        <v>-0.55803738317757023</v>
      </c>
      <c r="Q245">
        <v>244</v>
      </c>
      <c r="R245">
        <v>50</v>
      </c>
      <c r="S245" t="s">
        <v>24</v>
      </c>
      <c r="T245" t="s">
        <v>45</v>
      </c>
      <c r="U245">
        <v>5000</v>
      </c>
      <c r="V245">
        <v>1000</v>
      </c>
    </row>
    <row r="246" spans="1:22" x14ac:dyDescent="0.3">
      <c r="A246" t="s">
        <v>332</v>
      </c>
      <c r="B246" t="s">
        <v>192</v>
      </c>
      <c r="C246">
        <v>5.23</v>
      </c>
      <c r="D246">
        <v>4.1100000000000003</v>
      </c>
      <c r="E246">
        <v>3.87</v>
      </c>
      <c r="F246">
        <v>0.17</v>
      </c>
      <c r="G246">
        <v>63.523093447905474</v>
      </c>
      <c r="H246">
        <v>26.733013040494168</v>
      </c>
      <c r="I246">
        <v>30.687455705173633</v>
      </c>
      <c r="J246">
        <v>36.068250454316164</v>
      </c>
      <c r="K246">
        <v>98.084291187739453</v>
      </c>
      <c r="L246">
        <v>20.196232070792902</v>
      </c>
      <c r="M246">
        <v>65.01909993193469</v>
      </c>
      <c r="N246">
        <v>58.809973007076621</v>
      </c>
      <c r="O246">
        <v>4.4280373831775703</v>
      </c>
      <c r="P246">
        <v>-0.55803738317757023</v>
      </c>
      <c r="Q246">
        <v>244</v>
      </c>
      <c r="R246">
        <v>50</v>
      </c>
      <c r="S246" t="s">
        <v>24</v>
      </c>
      <c r="T246" t="s">
        <v>45</v>
      </c>
      <c r="U246">
        <v>5000</v>
      </c>
      <c r="V246">
        <v>1000</v>
      </c>
    </row>
    <row r="247" spans="1:22" x14ac:dyDescent="0.3">
      <c r="A247" t="s">
        <v>333</v>
      </c>
      <c r="B247" t="s">
        <v>192</v>
      </c>
      <c r="C247">
        <v>4.93</v>
      </c>
      <c r="D247">
        <v>4.03</v>
      </c>
      <c r="E247">
        <v>3.82</v>
      </c>
      <c r="F247">
        <v>0.17</v>
      </c>
      <c r="G247">
        <v>62.878625134264233</v>
      </c>
      <c r="H247">
        <v>26.59574468085107</v>
      </c>
      <c r="I247">
        <v>30.510276399716506</v>
      </c>
      <c r="J247">
        <v>35.809586630966422</v>
      </c>
      <c r="K247">
        <v>98.084291187739453</v>
      </c>
      <c r="L247">
        <v>19.914320527265346</v>
      </c>
      <c r="M247">
        <v>65.507385048564586</v>
      </c>
      <c r="N247">
        <v>58.802712374559221</v>
      </c>
      <c r="O247">
        <v>4.4280373831775703</v>
      </c>
      <c r="P247">
        <v>-0.6080373831775705</v>
      </c>
      <c r="Q247">
        <v>246</v>
      </c>
      <c r="R247">
        <v>52</v>
      </c>
      <c r="S247" t="s">
        <v>24</v>
      </c>
      <c r="T247" t="s">
        <v>45</v>
      </c>
      <c r="U247">
        <v>5000</v>
      </c>
      <c r="V247">
        <v>1000</v>
      </c>
    </row>
    <row r="248" spans="1:22" x14ac:dyDescent="0.3">
      <c r="A248" t="s">
        <v>334</v>
      </c>
      <c r="B248" t="s">
        <v>192</v>
      </c>
      <c r="C248">
        <v>4.93</v>
      </c>
      <c r="D248">
        <v>4.03</v>
      </c>
      <c r="E248">
        <v>3.82</v>
      </c>
      <c r="F248">
        <v>0.17</v>
      </c>
      <c r="G248">
        <v>62.878625134264233</v>
      </c>
      <c r="H248">
        <v>26.59574468085107</v>
      </c>
      <c r="I248">
        <v>30.510276399716506</v>
      </c>
      <c r="J248">
        <v>35.809586630966422</v>
      </c>
      <c r="K248">
        <v>98.084291187739453</v>
      </c>
      <c r="L248">
        <v>19.914320527265346</v>
      </c>
      <c r="M248">
        <v>65.507385048564586</v>
      </c>
      <c r="N248">
        <v>58.802712374559221</v>
      </c>
      <c r="O248">
        <v>4.4280373831775703</v>
      </c>
      <c r="P248">
        <v>-0.6080373831775705</v>
      </c>
      <c r="Q248">
        <v>246</v>
      </c>
      <c r="R248">
        <v>52</v>
      </c>
      <c r="S248" t="s">
        <v>24</v>
      </c>
      <c r="T248" t="s">
        <v>45</v>
      </c>
      <c r="U248">
        <v>5000</v>
      </c>
      <c r="V248">
        <v>1000</v>
      </c>
    </row>
    <row r="249" spans="1:22" x14ac:dyDescent="0.3">
      <c r="A249" t="s">
        <v>335</v>
      </c>
      <c r="B249" t="s">
        <v>262</v>
      </c>
      <c r="C249">
        <v>6.2</v>
      </c>
      <c r="D249">
        <v>5.31</v>
      </c>
      <c r="E249">
        <v>4.92</v>
      </c>
      <c r="F249">
        <v>0.34</v>
      </c>
      <c r="G249">
        <v>65.606874328678842</v>
      </c>
      <c r="H249">
        <v>28.792038435140704</v>
      </c>
      <c r="I249">
        <v>34.408221119773209</v>
      </c>
      <c r="J249">
        <v>38.963096956164584</v>
      </c>
      <c r="K249">
        <v>91.570881226053629</v>
      </c>
      <c r="L249">
        <v>19.833597807192675</v>
      </c>
      <c r="M249">
        <v>65.647200901055612</v>
      </c>
      <c r="N249">
        <v>58.786069009859602</v>
      </c>
      <c r="O249">
        <v>4.4728846153846158</v>
      </c>
      <c r="P249">
        <v>0.44711538461538414</v>
      </c>
      <c r="Q249">
        <v>248</v>
      </c>
      <c r="R249">
        <v>12</v>
      </c>
      <c r="S249" t="s">
        <v>24</v>
      </c>
      <c r="T249" t="s">
        <v>263</v>
      </c>
      <c r="U249">
        <v>1000</v>
      </c>
      <c r="V249">
        <v>1000</v>
      </c>
    </row>
    <row r="250" spans="1:22" x14ac:dyDescent="0.3">
      <c r="A250" t="s">
        <v>336</v>
      </c>
      <c r="B250" t="s">
        <v>199</v>
      </c>
      <c r="C250">
        <v>2.69</v>
      </c>
      <c r="D250">
        <v>16.79</v>
      </c>
      <c r="E250">
        <v>15.98</v>
      </c>
      <c r="F250">
        <v>1.92</v>
      </c>
      <c r="G250">
        <v>58.066595059076256</v>
      </c>
      <c r="H250">
        <v>48.490048043925874</v>
      </c>
      <c r="I250">
        <v>73.600283486888713</v>
      </c>
      <c r="J250">
        <v>62.96047516843737</v>
      </c>
      <c r="K250">
        <v>31.034482758620683</v>
      </c>
      <c r="L250">
        <v>12.672342935876587</v>
      </c>
      <c r="M250">
        <v>78.050858184125204</v>
      </c>
      <c r="N250">
        <v>58.751572819905164</v>
      </c>
      <c r="O250">
        <v>9.83</v>
      </c>
      <c r="P250">
        <v>6.15</v>
      </c>
      <c r="Q250">
        <v>249</v>
      </c>
      <c r="R250">
        <v>5</v>
      </c>
      <c r="S250" t="s">
        <v>24</v>
      </c>
      <c r="T250" t="s">
        <v>107</v>
      </c>
      <c r="U250">
        <v>1000</v>
      </c>
      <c r="V250">
        <v>1000</v>
      </c>
    </row>
    <row r="251" spans="1:22" x14ac:dyDescent="0.3">
      <c r="A251" t="s">
        <v>337</v>
      </c>
      <c r="B251" t="s">
        <v>199</v>
      </c>
      <c r="C251">
        <v>2.69</v>
      </c>
      <c r="D251">
        <v>16.79</v>
      </c>
      <c r="E251">
        <v>15.97</v>
      </c>
      <c r="F251">
        <v>1.92</v>
      </c>
      <c r="G251">
        <v>58.066595059076256</v>
      </c>
      <c r="H251">
        <v>48.490048043925874</v>
      </c>
      <c r="I251">
        <v>73.564847625797313</v>
      </c>
      <c r="J251">
        <v>62.942757237891669</v>
      </c>
      <c r="K251">
        <v>31.034482758620683</v>
      </c>
      <c r="L251">
        <v>12.653403095783373</v>
      </c>
      <c r="M251">
        <v>78.083662949453867</v>
      </c>
      <c r="N251">
        <v>58.750915045964476</v>
      </c>
      <c r="O251">
        <v>9.83</v>
      </c>
      <c r="P251">
        <v>6.1400000000000006</v>
      </c>
      <c r="Q251">
        <v>250</v>
      </c>
      <c r="R251">
        <v>6</v>
      </c>
      <c r="S251" t="s">
        <v>24</v>
      </c>
      <c r="T251" t="s">
        <v>107</v>
      </c>
      <c r="U251">
        <v>1000</v>
      </c>
      <c r="V251">
        <v>1000</v>
      </c>
    </row>
    <row r="252" spans="1:22" x14ac:dyDescent="0.3">
      <c r="A252" t="s">
        <v>338</v>
      </c>
      <c r="B252" t="s">
        <v>44</v>
      </c>
      <c r="C252">
        <v>3.3</v>
      </c>
      <c r="D252">
        <v>4.8</v>
      </c>
      <c r="E252">
        <v>5.76</v>
      </c>
      <c r="F252">
        <v>0.51</v>
      </c>
      <c r="G252">
        <v>59.377013963480131</v>
      </c>
      <c r="H252">
        <v>27.916952642415925</v>
      </c>
      <c r="I252">
        <v>37.38483345145287</v>
      </c>
      <c r="J252">
        <v>38.942905311147243</v>
      </c>
      <c r="K252">
        <v>85.057471264367805</v>
      </c>
      <c r="L252">
        <v>16.140178793995446</v>
      </c>
      <c r="M252">
        <v>72.04439028555413</v>
      </c>
      <c r="N252">
        <v>58.746918043054109</v>
      </c>
      <c r="O252">
        <v>7.5967647058823538</v>
      </c>
      <c r="P252">
        <v>-1.836764705882354</v>
      </c>
      <c r="Q252">
        <v>251</v>
      </c>
      <c r="R252">
        <v>14</v>
      </c>
      <c r="S252" t="s">
        <v>24</v>
      </c>
      <c r="T252" t="s">
        <v>221</v>
      </c>
      <c r="U252">
        <v>1000</v>
      </c>
      <c r="V252">
        <v>1000</v>
      </c>
    </row>
    <row r="253" spans="1:22" x14ac:dyDescent="0.3">
      <c r="A253" t="s">
        <v>339</v>
      </c>
      <c r="B253" t="s">
        <v>126</v>
      </c>
      <c r="C253">
        <v>0.03</v>
      </c>
      <c r="D253">
        <v>16.010000000000002</v>
      </c>
      <c r="E253">
        <v>14.98</v>
      </c>
      <c r="F253">
        <v>1.78</v>
      </c>
      <c r="G253">
        <v>52.352309344790548</v>
      </c>
      <c r="H253">
        <v>47.151681537405636</v>
      </c>
      <c r="I253">
        <v>70.056697377746275</v>
      </c>
      <c r="J253">
        <v>59.644315019052939</v>
      </c>
      <c r="K253">
        <v>36.398467432950184</v>
      </c>
      <c r="L253">
        <v>12.007856010814105</v>
      </c>
      <c r="M253">
        <v>79.201783299298626</v>
      </c>
      <c r="N253">
        <v>58.722220192588672</v>
      </c>
      <c r="O253">
        <v>11.362272727272726</v>
      </c>
      <c r="P253">
        <v>3.617727272727274</v>
      </c>
      <c r="Q253">
        <v>252</v>
      </c>
      <c r="R253">
        <v>15</v>
      </c>
      <c r="S253" t="s">
        <v>24</v>
      </c>
      <c r="T253" t="s">
        <v>340</v>
      </c>
      <c r="U253">
        <v>1000</v>
      </c>
      <c r="V253">
        <v>1000</v>
      </c>
    </row>
    <row r="254" spans="1:22" x14ac:dyDescent="0.3">
      <c r="A254" t="s">
        <v>341</v>
      </c>
      <c r="B254" t="s">
        <v>262</v>
      </c>
      <c r="C254">
        <v>6.21</v>
      </c>
      <c r="D254">
        <v>5.31</v>
      </c>
      <c r="E254">
        <v>4.87</v>
      </c>
      <c r="F254">
        <v>0.34</v>
      </c>
      <c r="G254">
        <v>65.628356605800207</v>
      </c>
      <c r="H254">
        <v>28.792038435140704</v>
      </c>
      <c r="I254">
        <v>34.231041814316086</v>
      </c>
      <c r="J254">
        <v>38.878803758860293</v>
      </c>
      <c r="K254">
        <v>91.570881226053629</v>
      </c>
      <c r="L254">
        <v>19.88420005198553</v>
      </c>
      <c r="M254">
        <v>65.55955524209736</v>
      </c>
      <c r="N254">
        <v>58.722010996467894</v>
      </c>
      <c r="O254">
        <v>4.4728846153846158</v>
      </c>
      <c r="P254">
        <v>0.39711538461538431</v>
      </c>
      <c r="Q254">
        <v>253</v>
      </c>
      <c r="R254">
        <v>13</v>
      </c>
      <c r="S254" t="s">
        <v>24</v>
      </c>
      <c r="T254" t="s">
        <v>263</v>
      </c>
      <c r="U254">
        <v>1000</v>
      </c>
      <c r="V254">
        <v>1000</v>
      </c>
    </row>
    <row r="255" spans="1:22" x14ac:dyDescent="0.3">
      <c r="A255" t="s">
        <v>342</v>
      </c>
      <c r="B255" t="s">
        <v>262</v>
      </c>
      <c r="C255">
        <v>6.21</v>
      </c>
      <c r="D255">
        <v>5.31</v>
      </c>
      <c r="E255">
        <v>4.8600000000000003</v>
      </c>
      <c r="F255">
        <v>0.34</v>
      </c>
      <c r="G255">
        <v>65.628356605800207</v>
      </c>
      <c r="H255">
        <v>28.792038435140704</v>
      </c>
      <c r="I255">
        <v>34.195605953224664</v>
      </c>
      <c r="J255">
        <v>38.861085828314586</v>
      </c>
      <c r="K255">
        <v>91.570881226053629</v>
      </c>
      <c r="L255">
        <v>19.891919179571136</v>
      </c>
      <c r="M255">
        <v>65.54618532092897</v>
      </c>
      <c r="N255">
        <v>58.709809550902939</v>
      </c>
      <c r="O255">
        <v>4.4728846153846158</v>
      </c>
      <c r="P255">
        <v>0.38711538461538453</v>
      </c>
      <c r="Q255">
        <v>254</v>
      </c>
      <c r="R255">
        <v>14</v>
      </c>
      <c r="S255" t="s">
        <v>24</v>
      </c>
      <c r="T255" t="s">
        <v>263</v>
      </c>
      <c r="U255">
        <v>1000</v>
      </c>
      <c r="V255">
        <v>1000</v>
      </c>
    </row>
    <row r="256" spans="1:22" x14ac:dyDescent="0.3">
      <c r="A256" t="s">
        <v>343</v>
      </c>
      <c r="B256" t="s">
        <v>192</v>
      </c>
      <c r="C256">
        <v>5.36</v>
      </c>
      <c r="D256">
        <v>3.79</v>
      </c>
      <c r="E256">
        <v>4.18</v>
      </c>
      <c r="F256">
        <v>0.2</v>
      </c>
      <c r="G256">
        <v>63.802363050483343</v>
      </c>
      <c r="H256">
        <v>26.183939601921765</v>
      </c>
      <c r="I256">
        <v>31.785967399007792</v>
      </c>
      <c r="J256">
        <v>36.508638190177095</v>
      </c>
      <c r="K256">
        <v>96.934865900383144</v>
      </c>
      <c r="L256">
        <v>20.296050883141589</v>
      </c>
      <c r="M256">
        <v>64.84620867739558</v>
      </c>
      <c r="N256">
        <v>58.699587739533229</v>
      </c>
      <c r="O256">
        <v>4.4280373831775703</v>
      </c>
      <c r="P256">
        <v>-0.24803738317757063</v>
      </c>
      <c r="Q256">
        <v>255</v>
      </c>
      <c r="R256">
        <v>54</v>
      </c>
      <c r="S256" t="s">
        <v>24</v>
      </c>
      <c r="T256" t="s">
        <v>45</v>
      </c>
      <c r="U256">
        <v>1000</v>
      </c>
      <c r="V256">
        <v>1000</v>
      </c>
    </row>
    <row r="257" spans="1:22" x14ac:dyDescent="0.3">
      <c r="A257" t="s">
        <v>344</v>
      </c>
      <c r="B257" t="s">
        <v>195</v>
      </c>
      <c r="C257">
        <v>-0.28000000000000003</v>
      </c>
      <c r="D257">
        <v>15.38</v>
      </c>
      <c r="E257">
        <v>11.05</v>
      </c>
      <c r="F257">
        <v>1.71</v>
      </c>
      <c r="G257">
        <v>51.686358754027928</v>
      </c>
      <c r="H257">
        <v>46.070693205216209</v>
      </c>
      <c r="I257">
        <v>56.130403968816431</v>
      </c>
      <c r="J257">
        <v>52.223681696778669</v>
      </c>
      <c r="K257">
        <v>39.080459770114942</v>
      </c>
      <c r="L257">
        <v>5.0412137770330929</v>
      </c>
      <c r="M257">
        <v>91.268361606362475</v>
      </c>
      <c r="N257">
        <v>58.699046192508689</v>
      </c>
      <c r="O257">
        <v>10.412619047619048</v>
      </c>
      <c r="P257">
        <v>0.63738095238095305</v>
      </c>
      <c r="Q257">
        <v>256</v>
      </c>
      <c r="R257">
        <v>9</v>
      </c>
      <c r="S257" t="s">
        <v>24</v>
      </c>
      <c r="T257" t="s">
        <v>196</v>
      </c>
      <c r="U257">
        <v>5000</v>
      </c>
      <c r="V257">
        <v>1000</v>
      </c>
    </row>
    <row r="258" spans="1:22" x14ac:dyDescent="0.3">
      <c r="A258" t="s">
        <v>345</v>
      </c>
      <c r="B258" t="s">
        <v>262</v>
      </c>
      <c r="C258">
        <v>6.21</v>
      </c>
      <c r="D258">
        <v>5.31</v>
      </c>
      <c r="E258">
        <v>4.8499999999999996</v>
      </c>
      <c r="F258">
        <v>0.34</v>
      </c>
      <c r="G258">
        <v>65.628356605800207</v>
      </c>
      <c r="H258">
        <v>28.792038435140704</v>
      </c>
      <c r="I258">
        <v>34.160170092133235</v>
      </c>
      <c r="J258">
        <v>38.843367897768871</v>
      </c>
      <c r="K258">
        <v>91.570881226053629</v>
      </c>
      <c r="L258">
        <v>19.899656346763866</v>
      </c>
      <c r="M258">
        <v>65.53278415424451</v>
      </c>
      <c r="N258">
        <v>58.69760029395897</v>
      </c>
      <c r="O258">
        <v>4.4728846153846158</v>
      </c>
      <c r="P258">
        <v>0.37711538461538385</v>
      </c>
      <c r="Q258">
        <v>257</v>
      </c>
      <c r="R258">
        <v>15</v>
      </c>
      <c r="S258" t="s">
        <v>24</v>
      </c>
      <c r="T258" t="s">
        <v>263</v>
      </c>
      <c r="U258">
        <v>10000</v>
      </c>
      <c r="V258">
        <v>10000</v>
      </c>
    </row>
    <row r="259" spans="1:22" x14ac:dyDescent="0.3">
      <c r="A259" t="s">
        <v>346</v>
      </c>
      <c r="B259" t="s">
        <v>192</v>
      </c>
      <c r="C259">
        <v>5.19</v>
      </c>
      <c r="D259">
        <v>4.05</v>
      </c>
      <c r="E259">
        <v>4.57</v>
      </c>
      <c r="F259">
        <v>0.27</v>
      </c>
      <c r="G259">
        <v>63.437164339419972</v>
      </c>
      <c r="H259">
        <v>26.630061770761841</v>
      </c>
      <c r="I259">
        <v>33.167965981573353</v>
      </c>
      <c r="J259">
        <v>37.260434389899224</v>
      </c>
      <c r="K259">
        <v>94.252873563218387</v>
      </c>
      <c r="L259">
        <v>19.637257786310741</v>
      </c>
      <c r="M259">
        <v>65.987271792782252</v>
      </c>
      <c r="N259">
        <v>58.690253533949772</v>
      </c>
      <c r="O259">
        <v>4.4280373831775703</v>
      </c>
      <c r="P259">
        <v>0.14196261682242994</v>
      </c>
      <c r="Q259">
        <v>258</v>
      </c>
      <c r="R259">
        <v>55</v>
      </c>
      <c r="S259" t="s">
        <v>24</v>
      </c>
      <c r="T259" t="s">
        <v>45</v>
      </c>
      <c r="U259">
        <v>5000</v>
      </c>
      <c r="V259">
        <v>1000</v>
      </c>
    </row>
    <row r="260" spans="1:22" x14ac:dyDescent="0.3">
      <c r="A260" t="s">
        <v>347</v>
      </c>
      <c r="B260" t="s">
        <v>195</v>
      </c>
      <c r="C260">
        <v>7.25</v>
      </c>
      <c r="D260">
        <v>15.92</v>
      </c>
      <c r="E260">
        <v>12.44</v>
      </c>
      <c r="F260">
        <v>1.77</v>
      </c>
      <c r="G260">
        <v>67.862513426423192</v>
      </c>
      <c r="H260">
        <v>46.997254632807142</v>
      </c>
      <c r="I260">
        <v>61.055988660524442</v>
      </c>
      <c r="J260">
        <v>58.199673405389007</v>
      </c>
      <c r="K260">
        <v>36.781609195402297</v>
      </c>
      <c r="L260">
        <v>10.640612500975223</v>
      </c>
      <c r="M260">
        <v>81.569918524658377</v>
      </c>
      <c r="N260">
        <v>58.687718632709675</v>
      </c>
      <c r="O260">
        <v>10.412619047619048</v>
      </c>
      <c r="P260">
        <v>2.0273809523809518</v>
      </c>
      <c r="Q260">
        <v>259</v>
      </c>
      <c r="R260">
        <v>10</v>
      </c>
      <c r="S260" t="s">
        <v>24</v>
      </c>
      <c r="T260" t="s">
        <v>196</v>
      </c>
      <c r="U260">
        <v>1000</v>
      </c>
      <c r="V260">
        <v>1000</v>
      </c>
    </row>
    <row r="261" spans="1:22" x14ac:dyDescent="0.3">
      <c r="A261" t="s">
        <v>348</v>
      </c>
      <c r="B261" t="s">
        <v>192</v>
      </c>
      <c r="C261">
        <v>5.25</v>
      </c>
      <c r="D261">
        <v>4.12</v>
      </c>
      <c r="E261">
        <v>4.47</v>
      </c>
      <c r="F261">
        <v>0.26</v>
      </c>
      <c r="G261">
        <v>63.566058002148232</v>
      </c>
      <c r="H261">
        <v>26.750171585449557</v>
      </c>
      <c r="I261">
        <v>32.813607370659106</v>
      </c>
      <c r="J261">
        <v>37.145066761394062</v>
      </c>
      <c r="K261">
        <v>94.636015325670499</v>
      </c>
      <c r="L261">
        <v>19.739503396365681</v>
      </c>
      <c r="M261">
        <v>65.810177201316236</v>
      </c>
      <c r="N261">
        <v>58.684081512443719</v>
      </c>
      <c r="O261">
        <v>4.4280373831775703</v>
      </c>
      <c r="P261">
        <v>4.196261682242941E-2</v>
      </c>
      <c r="Q261">
        <v>260</v>
      </c>
      <c r="R261">
        <v>56</v>
      </c>
      <c r="S261" t="s">
        <v>24</v>
      </c>
      <c r="T261" t="s">
        <v>45</v>
      </c>
      <c r="U261">
        <v>1000</v>
      </c>
    </row>
    <row r="262" spans="1:22" x14ac:dyDescent="0.3">
      <c r="A262" t="s">
        <v>349</v>
      </c>
      <c r="B262" t="s">
        <v>192</v>
      </c>
      <c r="C262">
        <v>5.25</v>
      </c>
      <c r="D262">
        <v>4.13</v>
      </c>
      <c r="E262">
        <v>4.46</v>
      </c>
      <c r="F262">
        <v>0.26</v>
      </c>
      <c r="G262">
        <v>63.566058002148232</v>
      </c>
      <c r="H262">
        <v>26.767330130404943</v>
      </c>
      <c r="I262">
        <v>32.778171509567677</v>
      </c>
      <c r="J262">
        <v>37.132496394334964</v>
      </c>
      <c r="K262">
        <v>94.636015325670499</v>
      </c>
      <c r="L262">
        <v>19.740696297007421</v>
      </c>
      <c r="M262">
        <v>65.808111036796362</v>
      </c>
      <c r="N262">
        <v>58.677279787784194</v>
      </c>
      <c r="O262">
        <v>4.4280373831775703</v>
      </c>
      <c r="P262">
        <v>3.1962616822429624E-2</v>
      </c>
      <c r="Q262">
        <v>261</v>
      </c>
      <c r="R262">
        <v>57</v>
      </c>
      <c r="S262" t="s">
        <v>24</v>
      </c>
      <c r="T262" t="s">
        <v>45</v>
      </c>
      <c r="U262">
        <v>1000</v>
      </c>
    </row>
    <row r="263" spans="1:22" x14ac:dyDescent="0.3">
      <c r="A263" t="s">
        <v>350</v>
      </c>
      <c r="B263" t="s">
        <v>192</v>
      </c>
      <c r="C263">
        <v>5.23</v>
      </c>
      <c r="D263">
        <v>4.01</v>
      </c>
      <c r="E263">
        <v>3.8</v>
      </c>
      <c r="F263">
        <v>0.17</v>
      </c>
      <c r="G263">
        <v>63.523093447905474</v>
      </c>
      <c r="H263">
        <v>26.561427590940291</v>
      </c>
      <c r="I263">
        <v>30.439404677533659</v>
      </c>
      <c r="J263">
        <v>35.892749305630012</v>
      </c>
      <c r="K263">
        <v>98.084291187739453</v>
      </c>
      <c r="L263">
        <v>20.313107065229726</v>
      </c>
      <c r="M263">
        <v>64.816666503435783</v>
      </c>
      <c r="N263">
        <v>58.671614075608815</v>
      </c>
      <c r="O263">
        <v>4.4280373831775703</v>
      </c>
      <c r="P263">
        <v>-0.62803738317757052</v>
      </c>
      <c r="Q263">
        <v>262</v>
      </c>
      <c r="R263">
        <v>58</v>
      </c>
      <c r="S263" t="s">
        <v>24</v>
      </c>
      <c r="T263" t="s">
        <v>45</v>
      </c>
      <c r="U263">
        <v>5000</v>
      </c>
      <c r="V263">
        <v>1000</v>
      </c>
    </row>
    <row r="264" spans="1:22" x14ac:dyDescent="0.3">
      <c r="A264" t="s">
        <v>351</v>
      </c>
      <c r="B264" t="s">
        <v>192</v>
      </c>
      <c r="C264">
        <v>5.23</v>
      </c>
      <c r="D264">
        <v>4.01</v>
      </c>
      <c r="E264">
        <v>3.8</v>
      </c>
      <c r="F264">
        <v>0.17</v>
      </c>
      <c r="G264">
        <v>63.523093447905474</v>
      </c>
      <c r="H264">
        <v>26.561427590940291</v>
      </c>
      <c r="I264">
        <v>30.439404677533659</v>
      </c>
      <c r="J264">
        <v>35.892749305630012</v>
      </c>
      <c r="K264">
        <v>98.084291187739453</v>
      </c>
      <c r="L264">
        <v>20.313107065229726</v>
      </c>
      <c r="M264">
        <v>64.816666503435783</v>
      </c>
      <c r="N264">
        <v>58.671614075608815</v>
      </c>
      <c r="O264">
        <v>4.4280373831775703</v>
      </c>
      <c r="P264">
        <v>-0.62803738317757052</v>
      </c>
      <c r="Q264">
        <v>262</v>
      </c>
      <c r="R264">
        <v>58</v>
      </c>
      <c r="S264" t="s">
        <v>24</v>
      </c>
      <c r="T264" t="s">
        <v>45</v>
      </c>
      <c r="U264">
        <v>5000</v>
      </c>
      <c r="V264">
        <v>1000</v>
      </c>
    </row>
    <row r="265" spans="1:22" x14ac:dyDescent="0.3">
      <c r="A265" t="s">
        <v>352</v>
      </c>
      <c r="B265" t="s">
        <v>272</v>
      </c>
      <c r="C265">
        <v>2.14</v>
      </c>
      <c r="D265">
        <v>13.78</v>
      </c>
      <c r="E265">
        <v>10.54</v>
      </c>
      <c r="F265">
        <v>1.58</v>
      </c>
      <c r="G265">
        <v>56.885069817400648</v>
      </c>
      <c r="H265">
        <v>43.325326012354161</v>
      </c>
      <c r="I265">
        <v>54.323175053153783</v>
      </c>
      <c r="J265">
        <v>51.536199293763275</v>
      </c>
      <c r="K265">
        <v>44.061302681992331</v>
      </c>
      <c r="L265">
        <v>7.2039646534135313</v>
      </c>
      <c r="M265">
        <v>87.522367204357451</v>
      </c>
      <c r="N265">
        <v>58.66401711846909</v>
      </c>
      <c r="O265">
        <v>10.044583333333334</v>
      </c>
      <c r="P265">
        <v>0.49541666666666551</v>
      </c>
      <c r="Q265">
        <v>264</v>
      </c>
      <c r="R265">
        <v>6</v>
      </c>
      <c r="S265" t="s">
        <v>24</v>
      </c>
      <c r="T265" t="s">
        <v>273</v>
      </c>
      <c r="U265">
        <v>5000</v>
      </c>
      <c r="V265">
        <v>1000</v>
      </c>
    </row>
    <row r="266" spans="1:22" x14ac:dyDescent="0.3">
      <c r="A266" t="s">
        <v>353</v>
      </c>
      <c r="B266" t="s">
        <v>262</v>
      </c>
      <c r="C266">
        <v>6.2</v>
      </c>
      <c r="D266">
        <v>5.31</v>
      </c>
      <c r="E266">
        <v>4.8099999999999996</v>
      </c>
      <c r="F266">
        <v>0.34</v>
      </c>
      <c r="G266">
        <v>65.606874328678842</v>
      </c>
      <c r="H266">
        <v>28.792038435140704</v>
      </c>
      <c r="I266">
        <v>34.018426647767534</v>
      </c>
      <c r="J266">
        <v>38.768199720161746</v>
      </c>
      <c r="K266">
        <v>91.570881226053629</v>
      </c>
      <c r="L266">
        <v>19.91848932736826</v>
      </c>
      <c r="M266">
        <v>65.500164474979741</v>
      </c>
      <c r="N266">
        <v>58.651861285339209</v>
      </c>
      <c r="O266">
        <v>4.4728846153846158</v>
      </c>
      <c r="P266">
        <v>0.33711538461538382</v>
      </c>
      <c r="Q266">
        <v>265</v>
      </c>
      <c r="R266">
        <v>16</v>
      </c>
      <c r="S266" t="s">
        <v>24</v>
      </c>
      <c r="T266" t="s">
        <v>263</v>
      </c>
      <c r="U266">
        <v>1000</v>
      </c>
      <c r="V266">
        <v>1000</v>
      </c>
    </row>
    <row r="267" spans="1:22" x14ac:dyDescent="0.3">
      <c r="A267" t="s">
        <v>354</v>
      </c>
      <c r="B267" t="s">
        <v>192</v>
      </c>
      <c r="C267">
        <v>5.19</v>
      </c>
      <c r="D267">
        <v>4.0199999999999996</v>
      </c>
      <c r="E267">
        <v>4.38</v>
      </c>
      <c r="F267">
        <v>0.25</v>
      </c>
      <c r="G267">
        <v>63.437164339419972</v>
      </c>
      <c r="H267">
        <v>26.578586135895677</v>
      </c>
      <c r="I267">
        <v>32.494684620836281</v>
      </c>
      <c r="J267">
        <v>36.908351019070835</v>
      </c>
      <c r="K267">
        <v>95.019157088122611</v>
      </c>
      <c r="L267">
        <v>19.794747028794433</v>
      </c>
      <c r="M267">
        <v>65.714492423154965</v>
      </c>
      <c r="N267">
        <v>58.637587887354812</v>
      </c>
      <c r="O267">
        <v>4.4280373831775703</v>
      </c>
      <c r="P267">
        <v>-4.8037383177570447E-2</v>
      </c>
      <c r="Q267">
        <v>266</v>
      </c>
      <c r="R267">
        <v>60</v>
      </c>
      <c r="S267" t="s">
        <v>24</v>
      </c>
      <c r="T267" t="s">
        <v>45</v>
      </c>
      <c r="U267">
        <v>5000</v>
      </c>
      <c r="V267">
        <v>1000</v>
      </c>
    </row>
    <row r="268" spans="1:22" x14ac:dyDescent="0.3">
      <c r="A268" t="s">
        <v>355</v>
      </c>
      <c r="B268" t="s">
        <v>195</v>
      </c>
      <c r="C268">
        <v>-0.31</v>
      </c>
      <c r="D268">
        <v>15.37</v>
      </c>
      <c r="E268">
        <v>10.74</v>
      </c>
      <c r="F268">
        <v>1.71</v>
      </c>
      <c r="G268">
        <v>51.621911922663799</v>
      </c>
      <c r="H268">
        <v>46.053534660260816</v>
      </c>
      <c r="I268">
        <v>55.031892274982283</v>
      </c>
      <c r="J268">
        <v>51.656388920102145</v>
      </c>
      <c r="K268">
        <v>39.080459770114942</v>
      </c>
      <c r="L268">
        <v>4.5322124251015934</v>
      </c>
      <c r="M268">
        <v>92.149977809029082</v>
      </c>
      <c r="N268">
        <v>58.635803854837079</v>
      </c>
      <c r="O268">
        <v>10.412619047619048</v>
      </c>
      <c r="P268">
        <v>0.32738095238095255</v>
      </c>
      <c r="Q268">
        <v>267</v>
      </c>
      <c r="R268">
        <v>11</v>
      </c>
      <c r="S268" t="s">
        <v>24</v>
      </c>
      <c r="T268" t="s">
        <v>196</v>
      </c>
      <c r="U268">
        <v>5000</v>
      </c>
      <c r="V268">
        <v>1000</v>
      </c>
    </row>
    <row r="269" spans="1:22" x14ac:dyDescent="0.3">
      <c r="A269" t="s">
        <v>356</v>
      </c>
      <c r="B269" t="s">
        <v>192</v>
      </c>
      <c r="C269">
        <v>5.2</v>
      </c>
      <c r="D269">
        <v>4.01</v>
      </c>
      <c r="E269">
        <v>4.38</v>
      </c>
      <c r="F269">
        <v>0.25</v>
      </c>
      <c r="G269">
        <v>63.458646616541344</v>
      </c>
      <c r="H269">
        <v>26.561427590940291</v>
      </c>
      <c r="I269">
        <v>32.494684620836281</v>
      </c>
      <c r="J269">
        <v>36.9074999110085</v>
      </c>
      <c r="K269">
        <v>95.019157088122611</v>
      </c>
      <c r="L269">
        <v>19.813191116347436</v>
      </c>
      <c r="M269">
        <v>65.682546326413913</v>
      </c>
      <c r="N269">
        <v>58.629175809138374</v>
      </c>
      <c r="O269">
        <v>4.4280373831775703</v>
      </c>
      <c r="P269">
        <v>-4.8037383177570447E-2</v>
      </c>
      <c r="Q269">
        <v>268</v>
      </c>
      <c r="R269">
        <v>61</v>
      </c>
      <c r="S269" t="s">
        <v>24</v>
      </c>
      <c r="T269" t="s">
        <v>45</v>
      </c>
      <c r="U269">
        <v>5000</v>
      </c>
      <c r="V269">
        <v>1000</v>
      </c>
    </row>
    <row r="270" spans="1:22" x14ac:dyDescent="0.3">
      <c r="A270" t="s">
        <v>357</v>
      </c>
      <c r="B270" t="s">
        <v>358</v>
      </c>
      <c r="C270">
        <v>5.76</v>
      </c>
      <c r="D270">
        <v>4.2699999999999996</v>
      </c>
      <c r="E270">
        <v>6.25</v>
      </c>
      <c r="F270">
        <v>0.47</v>
      </c>
      <c r="G270">
        <v>64.661654135338338</v>
      </c>
      <c r="H270">
        <v>27.007549759780375</v>
      </c>
      <c r="I270">
        <v>39.121190644932668</v>
      </c>
      <c r="J270">
        <v>40.595191077468115</v>
      </c>
      <c r="K270">
        <v>86.59003831417624</v>
      </c>
      <c r="L270">
        <v>19.221893538031885</v>
      </c>
      <c r="M270">
        <v>66.706703774448897</v>
      </c>
      <c r="N270">
        <v>58.621781060890342</v>
      </c>
      <c r="O270">
        <v>5.0554237288135591</v>
      </c>
      <c r="P270">
        <v>1.1945762711864409</v>
      </c>
      <c r="Q270">
        <v>269</v>
      </c>
      <c r="R270">
        <v>1</v>
      </c>
      <c r="S270" t="s">
        <v>24</v>
      </c>
      <c r="T270" t="s">
        <v>359</v>
      </c>
      <c r="U270">
        <v>1000</v>
      </c>
      <c r="V270">
        <v>1000</v>
      </c>
    </row>
    <row r="271" spans="1:22" x14ac:dyDescent="0.3">
      <c r="A271" t="s">
        <v>360</v>
      </c>
      <c r="B271" t="s">
        <v>192</v>
      </c>
      <c r="C271">
        <v>5.21</v>
      </c>
      <c r="D271">
        <v>4.04</v>
      </c>
      <c r="E271">
        <v>4.34</v>
      </c>
      <c r="F271">
        <v>0.25</v>
      </c>
      <c r="G271">
        <v>63.480128893662723</v>
      </c>
      <c r="H271">
        <v>26.612903225806456</v>
      </c>
      <c r="I271">
        <v>32.352941176470587</v>
      </c>
      <c r="J271">
        <v>36.856367334709773</v>
      </c>
      <c r="K271">
        <v>95.019157088122611</v>
      </c>
      <c r="L271">
        <v>19.837011616760819</v>
      </c>
      <c r="M271">
        <v>65.641288009436224</v>
      </c>
      <c r="N271">
        <v>58.593294941744588</v>
      </c>
      <c r="O271">
        <v>4.4280373831775703</v>
      </c>
      <c r="P271">
        <v>-8.8037383177570483E-2</v>
      </c>
      <c r="Q271">
        <v>270</v>
      </c>
      <c r="R271">
        <v>62</v>
      </c>
      <c r="S271" t="s">
        <v>24</v>
      </c>
      <c r="T271" t="s">
        <v>213</v>
      </c>
      <c r="U271">
        <v>1000</v>
      </c>
      <c r="V271">
        <v>1000</v>
      </c>
    </row>
    <row r="272" spans="1:22" x14ac:dyDescent="0.3">
      <c r="A272" t="s">
        <v>361</v>
      </c>
      <c r="B272" t="s">
        <v>202</v>
      </c>
      <c r="C272">
        <v>3.1</v>
      </c>
      <c r="D272">
        <v>16.3</v>
      </c>
      <c r="E272">
        <v>12.09</v>
      </c>
      <c r="F272">
        <v>1.84</v>
      </c>
      <c r="G272">
        <v>58.947368421052623</v>
      </c>
      <c r="H272">
        <v>47.649279341111878</v>
      </c>
      <c r="I272">
        <v>59.815733522324585</v>
      </c>
      <c r="J272">
        <v>55.992124247706386</v>
      </c>
      <c r="K272">
        <v>34.099616858237546</v>
      </c>
      <c r="L272">
        <v>6.7875312418057119</v>
      </c>
      <c r="M272">
        <v>88.243651031231437</v>
      </c>
      <c r="N272">
        <v>58.581879096220433</v>
      </c>
      <c r="O272">
        <v>10.023387096774194</v>
      </c>
      <c r="P272">
        <v>2.0666129032258063</v>
      </c>
      <c r="Q272">
        <v>271</v>
      </c>
      <c r="R272">
        <v>7</v>
      </c>
      <c r="S272" t="s">
        <v>24</v>
      </c>
      <c r="T272" t="s">
        <v>78</v>
      </c>
      <c r="U272">
        <v>1000</v>
      </c>
      <c r="V272">
        <v>1000</v>
      </c>
    </row>
    <row r="273" spans="1:22" x14ac:dyDescent="0.3">
      <c r="A273" t="s">
        <v>362</v>
      </c>
      <c r="B273" t="s">
        <v>192</v>
      </c>
      <c r="C273">
        <v>5.19</v>
      </c>
      <c r="D273">
        <v>4.07</v>
      </c>
      <c r="E273">
        <v>4.47</v>
      </c>
      <c r="F273">
        <v>0.27</v>
      </c>
      <c r="G273">
        <v>63.437164339419972</v>
      </c>
      <c r="H273">
        <v>26.66437886067262</v>
      </c>
      <c r="I273">
        <v>32.813607370659106</v>
      </c>
      <c r="J273">
        <v>37.093550211415334</v>
      </c>
      <c r="K273">
        <v>94.252873563218387</v>
      </c>
      <c r="L273">
        <v>19.697093713510736</v>
      </c>
      <c r="M273">
        <v>65.883632926753876</v>
      </c>
      <c r="N273">
        <v>58.580901728200729</v>
      </c>
      <c r="O273">
        <v>4.4280373831775703</v>
      </c>
      <c r="P273">
        <v>4.196261682242941E-2</v>
      </c>
      <c r="Q273">
        <v>272</v>
      </c>
      <c r="R273">
        <v>63</v>
      </c>
      <c r="S273" t="s">
        <v>24</v>
      </c>
      <c r="T273" t="s">
        <v>45</v>
      </c>
      <c r="U273">
        <v>5000</v>
      </c>
      <c r="V273">
        <v>1000</v>
      </c>
    </row>
    <row r="274" spans="1:22" x14ac:dyDescent="0.3">
      <c r="A274" t="s">
        <v>363</v>
      </c>
      <c r="B274" t="s">
        <v>192</v>
      </c>
      <c r="C274">
        <v>5.18</v>
      </c>
      <c r="D274">
        <v>4.0199999999999996</v>
      </c>
      <c r="E274">
        <v>4.33</v>
      </c>
      <c r="F274">
        <v>0.25</v>
      </c>
      <c r="G274">
        <v>63.415682062298593</v>
      </c>
      <c r="H274">
        <v>26.578586135895677</v>
      </c>
      <c r="I274">
        <v>32.317505315379158</v>
      </c>
      <c r="J274">
        <v>36.815464910917996</v>
      </c>
      <c r="K274">
        <v>95.019157088122611</v>
      </c>
      <c r="L274">
        <v>19.820037952462378</v>
      </c>
      <c r="M274">
        <v>65.670687258391752</v>
      </c>
      <c r="N274">
        <v>58.580193542087585</v>
      </c>
      <c r="O274">
        <v>4.4280373831775703</v>
      </c>
      <c r="P274">
        <v>-9.803738317757027E-2</v>
      </c>
      <c r="Q274">
        <v>273</v>
      </c>
      <c r="R274">
        <v>64</v>
      </c>
      <c r="S274" t="s">
        <v>24</v>
      </c>
      <c r="T274" t="s">
        <v>213</v>
      </c>
      <c r="U274">
        <v>1000</v>
      </c>
      <c r="V274">
        <v>1000</v>
      </c>
    </row>
    <row r="275" spans="1:22" x14ac:dyDescent="0.3">
      <c r="A275" t="s">
        <v>364</v>
      </c>
      <c r="B275" t="s">
        <v>192</v>
      </c>
      <c r="C275">
        <v>5.19</v>
      </c>
      <c r="D275">
        <v>4.09</v>
      </c>
      <c r="E275">
        <v>4.45</v>
      </c>
      <c r="F275">
        <v>0.27</v>
      </c>
      <c r="G275">
        <v>63.437164339419972</v>
      </c>
      <c r="H275">
        <v>26.698695950583396</v>
      </c>
      <c r="I275">
        <v>32.742735648476256</v>
      </c>
      <c r="J275">
        <v>37.068409477297138</v>
      </c>
      <c r="K275">
        <v>94.252873563218387</v>
      </c>
      <c r="L275">
        <v>19.699379973705931</v>
      </c>
      <c r="M275">
        <v>65.879673007936475</v>
      </c>
      <c r="N275">
        <v>58.567341381437281</v>
      </c>
      <c r="O275">
        <v>4.4280373831775703</v>
      </c>
      <c r="P275">
        <v>2.1962616822429837E-2</v>
      </c>
      <c r="Q275">
        <v>274</v>
      </c>
      <c r="R275">
        <v>65</v>
      </c>
      <c r="S275" t="s">
        <v>24</v>
      </c>
      <c r="T275" t="s">
        <v>45</v>
      </c>
      <c r="U275">
        <v>5000</v>
      </c>
      <c r="V275">
        <v>1000</v>
      </c>
    </row>
    <row r="276" spans="1:22" x14ac:dyDescent="0.3">
      <c r="A276" t="s">
        <v>365</v>
      </c>
      <c r="B276" t="s">
        <v>126</v>
      </c>
      <c r="C276">
        <v>5.79</v>
      </c>
      <c r="D276">
        <v>21.16</v>
      </c>
      <c r="E276">
        <v>11.88</v>
      </c>
      <c r="F276">
        <v>2.12</v>
      </c>
      <c r="G276">
        <v>64.726100966702475</v>
      </c>
      <c r="H276">
        <v>55.988332189430338</v>
      </c>
      <c r="I276">
        <v>59.071580439404684</v>
      </c>
      <c r="J276">
        <v>59.277510069871937</v>
      </c>
      <c r="K276">
        <v>23.371647509578541</v>
      </c>
      <c r="L276">
        <v>4.4314900686201435</v>
      </c>
      <c r="M276">
        <v>92.324434047913016</v>
      </c>
      <c r="N276">
        <v>58.562775424308853</v>
      </c>
      <c r="O276">
        <v>11.362272727272726</v>
      </c>
      <c r="P276">
        <v>0.51772727272727437</v>
      </c>
      <c r="Q276">
        <v>275</v>
      </c>
      <c r="R276">
        <v>16</v>
      </c>
      <c r="S276" t="s">
        <v>24</v>
      </c>
      <c r="T276" t="s">
        <v>127</v>
      </c>
      <c r="U276">
        <v>5000</v>
      </c>
      <c r="V276">
        <v>1000</v>
      </c>
    </row>
    <row r="277" spans="1:22" x14ac:dyDescent="0.3">
      <c r="A277" t="s">
        <v>366</v>
      </c>
      <c r="B277" t="s">
        <v>192</v>
      </c>
      <c r="C277">
        <v>5.18</v>
      </c>
      <c r="D277">
        <v>4</v>
      </c>
      <c r="E277">
        <v>4.32</v>
      </c>
      <c r="F277">
        <v>0.25</v>
      </c>
      <c r="G277">
        <v>63.415682062298593</v>
      </c>
      <c r="H277">
        <v>26.544269045984905</v>
      </c>
      <c r="I277">
        <v>32.282069454287736</v>
      </c>
      <c r="J277">
        <v>36.787451853399062</v>
      </c>
      <c r="K277">
        <v>95.019157088122611</v>
      </c>
      <c r="L277">
        <v>19.839881070589442</v>
      </c>
      <c r="M277">
        <v>65.636317969615078</v>
      </c>
      <c r="N277">
        <v>58.55759469113395</v>
      </c>
      <c r="O277">
        <v>4.4280373831775703</v>
      </c>
      <c r="P277">
        <v>-0.10803738317757006</v>
      </c>
      <c r="Q277">
        <v>276</v>
      </c>
      <c r="R277">
        <v>66</v>
      </c>
      <c r="S277" t="s">
        <v>24</v>
      </c>
      <c r="T277" t="s">
        <v>213</v>
      </c>
      <c r="U277">
        <v>1000</v>
      </c>
      <c r="V277">
        <v>1000</v>
      </c>
    </row>
    <row r="278" spans="1:22" x14ac:dyDescent="0.3">
      <c r="A278" t="s">
        <v>367</v>
      </c>
      <c r="B278" t="s">
        <v>262</v>
      </c>
      <c r="C278">
        <v>5.78</v>
      </c>
      <c r="D278">
        <v>4.7699999999999996</v>
      </c>
      <c r="E278">
        <v>4.38</v>
      </c>
      <c r="F278">
        <v>0.28000000000000003</v>
      </c>
      <c r="G278">
        <v>64.704618689581096</v>
      </c>
      <c r="H278">
        <v>27.865477007549767</v>
      </c>
      <c r="I278">
        <v>32.494684620836281</v>
      </c>
      <c r="J278">
        <v>37.547909150599288</v>
      </c>
      <c r="K278">
        <v>93.869731800766274</v>
      </c>
      <c r="L278">
        <v>20.0666878836069</v>
      </c>
      <c r="M278">
        <v>65.243477045966074</v>
      </c>
      <c r="N278">
        <v>58.552256786982731</v>
      </c>
      <c r="O278">
        <v>4.4728846153846158</v>
      </c>
      <c r="P278">
        <v>-9.2884615384615898E-2</v>
      </c>
      <c r="Q278">
        <v>277</v>
      </c>
      <c r="R278">
        <v>17</v>
      </c>
      <c r="S278" t="s">
        <v>24</v>
      </c>
      <c r="T278" t="s">
        <v>295</v>
      </c>
      <c r="U278">
        <v>10000</v>
      </c>
      <c r="V278">
        <v>1000</v>
      </c>
    </row>
    <row r="279" spans="1:22" x14ac:dyDescent="0.3">
      <c r="A279" t="s">
        <v>368</v>
      </c>
      <c r="B279" t="s">
        <v>192</v>
      </c>
      <c r="C279">
        <v>5.22</v>
      </c>
      <c r="D279">
        <v>4.1100000000000003</v>
      </c>
      <c r="E279">
        <v>4.43</v>
      </c>
      <c r="F279">
        <v>0.27</v>
      </c>
      <c r="G279">
        <v>63.501611170784102</v>
      </c>
      <c r="H279">
        <v>26.733013040494168</v>
      </c>
      <c r="I279">
        <v>32.671863926293412</v>
      </c>
      <c r="J279">
        <v>37.056158109451779</v>
      </c>
      <c r="K279">
        <v>94.252873563218387</v>
      </c>
      <c r="L279">
        <v>19.738596173781374</v>
      </c>
      <c r="M279">
        <v>65.81174855692602</v>
      </c>
      <c r="N279">
        <v>58.544234584761995</v>
      </c>
      <c r="O279">
        <v>4.4280373831775703</v>
      </c>
      <c r="P279">
        <v>1.962616822429375E-3</v>
      </c>
      <c r="Q279">
        <v>278</v>
      </c>
      <c r="R279">
        <v>67</v>
      </c>
      <c r="S279" t="s">
        <v>24</v>
      </c>
      <c r="T279" t="s">
        <v>45</v>
      </c>
      <c r="U279">
        <v>5000</v>
      </c>
      <c r="V279">
        <v>1000</v>
      </c>
    </row>
    <row r="280" spans="1:22" x14ac:dyDescent="0.3">
      <c r="A280" t="s">
        <v>369</v>
      </c>
      <c r="B280" t="s">
        <v>262</v>
      </c>
      <c r="C280">
        <v>6.05</v>
      </c>
      <c r="D280">
        <v>5.12</v>
      </c>
      <c r="E280">
        <v>4.92</v>
      </c>
      <c r="F280">
        <v>0.36</v>
      </c>
      <c r="G280">
        <v>65.284640171858214</v>
      </c>
      <c r="H280">
        <v>28.466026080988339</v>
      </c>
      <c r="I280">
        <v>34.408221119773209</v>
      </c>
      <c r="J280">
        <v>38.800846418554755</v>
      </c>
      <c r="K280">
        <v>90.804597701149419</v>
      </c>
      <c r="L280">
        <v>19.766441590615642</v>
      </c>
      <c r="M280">
        <v>65.763518880211137</v>
      </c>
      <c r="N280">
        <v>58.542452354617517</v>
      </c>
      <c r="O280">
        <v>4.4728846153846158</v>
      </c>
      <c r="P280">
        <v>0.44711538461538414</v>
      </c>
      <c r="Q280">
        <v>279</v>
      </c>
      <c r="R280">
        <v>18</v>
      </c>
      <c r="S280" t="s">
        <v>24</v>
      </c>
      <c r="T280" t="s">
        <v>295</v>
      </c>
      <c r="U280">
        <v>5000</v>
      </c>
      <c r="V280">
        <v>1000</v>
      </c>
    </row>
    <row r="281" spans="1:22" x14ac:dyDescent="0.3">
      <c r="A281" t="s">
        <v>370</v>
      </c>
      <c r="B281" t="s">
        <v>262</v>
      </c>
      <c r="C281">
        <v>6.05</v>
      </c>
      <c r="D281">
        <v>5.12</v>
      </c>
      <c r="E281">
        <v>4.92</v>
      </c>
      <c r="F281">
        <v>0.36</v>
      </c>
      <c r="G281">
        <v>65.284640171858214</v>
      </c>
      <c r="H281">
        <v>28.466026080988339</v>
      </c>
      <c r="I281">
        <v>34.408221119773209</v>
      </c>
      <c r="J281">
        <v>38.800846418554755</v>
      </c>
      <c r="K281">
        <v>90.804597701149419</v>
      </c>
      <c r="L281">
        <v>19.766441590615642</v>
      </c>
      <c r="M281">
        <v>65.763518880211137</v>
      </c>
      <c r="N281">
        <v>58.542452354617517</v>
      </c>
      <c r="O281">
        <v>4.4728846153846158</v>
      </c>
      <c r="P281">
        <v>0.44711538461538414</v>
      </c>
      <c r="Q281">
        <v>279</v>
      </c>
      <c r="R281">
        <v>18</v>
      </c>
      <c r="S281" t="s">
        <v>24</v>
      </c>
      <c r="T281" t="s">
        <v>295</v>
      </c>
      <c r="U281">
        <v>5000</v>
      </c>
      <c r="V281">
        <v>1000</v>
      </c>
    </row>
    <row r="282" spans="1:22" x14ac:dyDescent="0.3">
      <c r="A282" t="s">
        <v>371</v>
      </c>
      <c r="B282" t="s">
        <v>44</v>
      </c>
      <c r="C282">
        <v>3.16</v>
      </c>
      <c r="D282">
        <v>5.0599999999999996</v>
      </c>
      <c r="E282">
        <v>6.37</v>
      </c>
      <c r="F282">
        <v>0.62</v>
      </c>
      <c r="G282">
        <v>59.076262083780875</v>
      </c>
      <c r="H282">
        <v>28.363074811256006</v>
      </c>
      <c r="I282">
        <v>39.546420978029758</v>
      </c>
      <c r="J282">
        <v>40.097385349147856</v>
      </c>
      <c r="K282">
        <v>80.842911877394627</v>
      </c>
      <c r="L282">
        <v>15.544462023171697</v>
      </c>
      <c r="M282">
        <v>73.076201999541723</v>
      </c>
      <c r="N282">
        <v>58.528471143808012</v>
      </c>
      <c r="O282">
        <v>7.5967647058823538</v>
      </c>
      <c r="P282">
        <v>-1.2267647058823536</v>
      </c>
      <c r="Q282">
        <v>281</v>
      </c>
      <c r="R282">
        <v>15</v>
      </c>
      <c r="S282" t="s">
        <v>24</v>
      </c>
      <c r="T282" t="s">
        <v>45</v>
      </c>
      <c r="U282">
        <v>1000</v>
      </c>
      <c r="V282">
        <v>1000</v>
      </c>
    </row>
    <row r="283" spans="1:22" x14ac:dyDescent="0.3">
      <c r="A283" t="s">
        <v>372</v>
      </c>
      <c r="B283" t="s">
        <v>44</v>
      </c>
      <c r="C283">
        <v>3.16</v>
      </c>
      <c r="D283">
        <v>5.0599999999999996</v>
      </c>
      <c r="E283">
        <v>6.37</v>
      </c>
      <c r="F283">
        <v>0.62</v>
      </c>
      <c r="G283">
        <v>59.076262083780875</v>
      </c>
      <c r="H283">
        <v>28.363074811256006</v>
      </c>
      <c r="I283">
        <v>39.546420978029758</v>
      </c>
      <c r="J283">
        <v>40.097385349147856</v>
      </c>
      <c r="K283">
        <v>80.842911877394627</v>
      </c>
      <c r="L283">
        <v>15.544462023171697</v>
      </c>
      <c r="M283">
        <v>73.076201999541723</v>
      </c>
      <c r="N283">
        <v>58.528471143808012</v>
      </c>
      <c r="O283">
        <v>7.5967647058823538</v>
      </c>
      <c r="P283">
        <v>-1.2267647058823536</v>
      </c>
      <c r="Q283">
        <v>281</v>
      </c>
      <c r="R283">
        <v>15</v>
      </c>
      <c r="S283" t="s">
        <v>24</v>
      </c>
      <c r="T283" t="s">
        <v>45</v>
      </c>
      <c r="U283">
        <v>1000</v>
      </c>
      <c r="V283">
        <v>1000</v>
      </c>
    </row>
    <row r="284" spans="1:22" x14ac:dyDescent="0.3">
      <c r="A284" t="s">
        <v>373</v>
      </c>
      <c r="B284" t="s">
        <v>44</v>
      </c>
      <c r="C284">
        <v>3.16</v>
      </c>
      <c r="D284">
        <v>5.05</v>
      </c>
      <c r="E284">
        <v>6.37</v>
      </c>
      <c r="F284">
        <v>0.62</v>
      </c>
      <c r="G284">
        <v>59.076262083780875</v>
      </c>
      <c r="H284">
        <v>28.34591626630062</v>
      </c>
      <c r="I284">
        <v>39.546420978029758</v>
      </c>
      <c r="J284">
        <v>40.09223778566124</v>
      </c>
      <c r="K284">
        <v>80.842911877394627</v>
      </c>
      <c r="L284">
        <v>15.552171088925595</v>
      </c>
      <c r="M284">
        <v>73.062849505977084</v>
      </c>
      <c r="N284">
        <v>58.522559238673544</v>
      </c>
      <c r="O284">
        <v>7.5967647058823538</v>
      </c>
      <c r="P284">
        <v>-1.2267647058823536</v>
      </c>
      <c r="Q284">
        <v>283</v>
      </c>
      <c r="R284">
        <v>17</v>
      </c>
      <c r="S284" t="s">
        <v>24</v>
      </c>
      <c r="T284" t="s">
        <v>45</v>
      </c>
      <c r="U284">
        <v>1000</v>
      </c>
      <c r="V284">
        <v>1000</v>
      </c>
    </row>
    <row r="285" spans="1:22" x14ac:dyDescent="0.3">
      <c r="A285" t="s">
        <v>374</v>
      </c>
      <c r="B285" t="s">
        <v>358</v>
      </c>
      <c r="C285">
        <v>5.76</v>
      </c>
      <c r="D285">
        <v>4.2699999999999996</v>
      </c>
      <c r="E285">
        <v>6.15</v>
      </c>
      <c r="F285">
        <v>0.47</v>
      </c>
      <c r="G285">
        <v>64.661654135338338</v>
      </c>
      <c r="H285">
        <v>27.007549759780375</v>
      </c>
      <c r="I285">
        <v>38.766832034018428</v>
      </c>
      <c r="J285">
        <v>40.418011772010999</v>
      </c>
      <c r="K285">
        <v>86.59003831417624</v>
      </c>
      <c r="L285">
        <v>19.264190040892061</v>
      </c>
      <c r="M285">
        <v>66.633444082512582</v>
      </c>
      <c r="N285">
        <v>58.514876485177709</v>
      </c>
      <c r="O285">
        <v>5.0554237288135591</v>
      </c>
      <c r="P285">
        <v>1.0945762711864413</v>
      </c>
      <c r="Q285">
        <v>284</v>
      </c>
      <c r="R285">
        <v>2</v>
      </c>
      <c r="S285" t="s">
        <v>24</v>
      </c>
      <c r="T285" t="s">
        <v>359</v>
      </c>
      <c r="U285">
        <v>1000</v>
      </c>
      <c r="V285">
        <v>1000</v>
      </c>
    </row>
    <row r="286" spans="1:22" x14ac:dyDescent="0.3">
      <c r="A286" t="s">
        <v>375</v>
      </c>
      <c r="B286" t="s">
        <v>192</v>
      </c>
      <c r="C286">
        <v>5.22</v>
      </c>
      <c r="D286">
        <v>4.09</v>
      </c>
      <c r="E286">
        <v>4.41</v>
      </c>
      <c r="F286">
        <v>0.27</v>
      </c>
      <c r="G286">
        <v>63.501611170784102</v>
      </c>
      <c r="H286">
        <v>26.698695950583396</v>
      </c>
      <c r="I286">
        <v>32.600992204110554</v>
      </c>
      <c r="J286">
        <v>37.010427121387117</v>
      </c>
      <c r="K286">
        <v>94.252873563218387</v>
      </c>
      <c r="L286">
        <v>19.765879364421689</v>
      </c>
      <c r="M286">
        <v>65.764492684544408</v>
      </c>
      <c r="N286">
        <v>58.509555122634254</v>
      </c>
      <c r="O286">
        <v>4.4280373831775703</v>
      </c>
      <c r="P286">
        <v>-1.8037383177570199E-2</v>
      </c>
      <c r="Q286">
        <v>285</v>
      </c>
      <c r="R286">
        <v>68</v>
      </c>
      <c r="S286" t="s">
        <v>24</v>
      </c>
      <c r="T286" t="s">
        <v>45</v>
      </c>
      <c r="U286">
        <v>5000</v>
      </c>
      <c r="V286">
        <v>1000</v>
      </c>
    </row>
    <row r="287" spans="1:22" x14ac:dyDescent="0.3">
      <c r="A287" t="s">
        <v>376</v>
      </c>
      <c r="B287" t="s">
        <v>126</v>
      </c>
      <c r="C287">
        <v>0.02</v>
      </c>
      <c r="D287">
        <v>15.64</v>
      </c>
      <c r="E287">
        <v>14.49</v>
      </c>
      <c r="F287">
        <v>1.78</v>
      </c>
      <c r="G287">
        <v>52.330827067669169</v>
      </c>
      <c r="H287">
        <v>46.516815374056286</v>
      </c>
      <c r="I287">
        <v>68.32034018426647</v>
      </c>
      <c r="J287">
        <v>58.581380117883953</v>
      </c>
      <c r="K287">
        <v>36.398467432950184</v>
      </c>
      <c r="L287">
        <v>11.290563580772186</v>
      </c>
      <c r="M287">
        <v>80.444170232015779</v>
      </c>
      <c r="N287">
        <v>58.501349475183467</v>
      </c>
      <c r="O287">
        <v>11.362272727272726</v>
      </c>
      <c r="P287">
        <v>3.1277272727272738</v>
      </c>
      <c r="Q287">
        <v>286</v>
      </c>
      <c r="R287">
        <v>17</v>
      </c>
      <c r="S287" t="s">
        <v>24</v>
      </c>
      <c r="T287" t="s">
        <v>340</v>
      </c>
      <c r="U287">
        <v>1000</v>
      </c>
      <c r="V287">
        <v>1000</v>
      </c>
    </row>
    <row r="288" spans="1:22" x14ac:dyDescent="0.3">
      <c r="A288" t="s">
        <v>377</v>
      </c>
      <c r="B288" t="s">
        <v>262</v>
      </c>
      <c r="C288">
        <v>6.05</v>
      </c>
      <c r="D288">
        <v>5.12</v>
      </c>
      <c r="E288">
        <v>4.87</v>
      </c>
      <c r="F288">
        <v>0.36</v>
      </c>
      <c r="G288">
        <v>65.284640171858214</v>
      </c>
      <c r="H288">
        <v>28.466026080988339</v>
      </c>
      <c r="I288">
        <v>34.231041814316086</v>
      </c>
      <c r="J288">
        <v>38.71225676582619</v>
      </c>
      <c r="K288">
        <v>90.804597701149419</v>
      </c>
      <c r="L288">
        <v>19.80392099614561</v>
      </c>
      <c r="M288">
        <v>65.698602645595741</v>
      </c>
      <c r="N288">
        <v>58.481928469599389</v>
      </c>
      <c r="O288">
        <v>4.4728846153846158</v>
      </c>
      <c r="P288">
        <v>0.39711538461538431</v>
      </c>
      <c r="Q288">
        <v>287</v>
      </c>
      <c r="R288">
        <v>20</v>
      </c>
      <c r="S288" t="s">
        <v>24</v>
      </c>
      <c r="T288" t="s">
        <v>295</v>
      </c>
      <c r="U288">
        <v>5000</v>
      </c>
      <c r="V288">
        <v>1000</v>
      </c>
    </row>
    <row r="289" spans="1:22" x14ac:dyDescent="0.3">
      <c r="A289" t="s">
        <v>378</v>
      </c>
      <c r="B289" t="s">
        <v>192</v>
      </c>
      <c r="C289">
        <v>5.2</v>
      </c>
      <c r="D289">
        <v>4.05</v>
      </c>
      <c r="E289">
        <v>4.3899999999999997</v>
      </c>
      <c r="F289">
        <v>0.27</v>
      </c>
      <c r="G289">
        <v>63.458646616541344</v>
      </c>
      <c r="H289">
        <v>26.630061770761841</v>
      </c>
      <c r="I289">
        <v>32.530120481927703</v>
      </c>
      <c r="J289">
        <v>36.945808095500674</v>
      </c>
      <c r="K289">
        <v>94.252873563218387</v>
      </c>
      <c r="L289">
        <v>19.781005549927027</v>
      </c>
      <c r="M289">
        <v>65.738293362724448</v>
      </c>
      <c r="N289">
        <v>58.470695779236046</v>
      </c>
      <c r="O289">
        <v>4.4280373831775703</v>
      </c>
      <c r="P289">
        <v>-3.8037383177570661E-2</v>
      </c>
      <c r="Q289">
        <v>288</v>
      </c>
      <c r="R289">
        <v>69</v>
      </c>
      <c r="S289" t="s">
        <v>24</v>
      </c>
      <c r="T289" t="s">
        <v>45</v>
      </c>
      <c r="U289">
        <v>1000</v>
      </c>
      <c r="V289">
        <v>1000</v>
      </c>
    </row>
    <row r="290" spans="1:22" x14ac:dyDescent="0.3">
      <c r="A290" t="s">
        <v>379</v>
      </c>
      <c r="B290" t="s">
        <v>148</v>
      </c>
      <c r="C290">
        <v>14.07</v>
      </c>
      <c r="D290">
        <v>19.68</v>
      </c>
      <c r="E290">
        <v>11.78</v>
      </c>
      <c r="F290">
        <v>1.77</v>
      </c>
      <c r="G290">
        <v>82.513426423200855</v>
      </c>
      <c r="H290">
        <v>53.448867536032949</v>
      </c>
      <c r="I290">
        <v>58.71722182849043</v>
      </c>
      <c r="J290">
        <v>61.89595645969527</v>
      </c>
      <c r="K290">
        <v>36.781609195402297</v>
      </c>
      <c r="L290">
        <v>15.485280609715707</v>
      </c>
      <c r="M290">
        <v>73.178707214511235</v>
      </c>
      <c r="N290">
        <v>58.438057332326018</v>
      </c>
      <c r="O290">
        <v>10.461</v>
      </c>
      <c r="P290">
        <v>1.3189999999999991</v>
      </c>
      <c r="Q290">
        <v>289</v>
      </c>
      <c r="R290">
        <v>7</v>
      </c>
      <c r="S290" t="s">
        <v>24</v>
      </c>
      <c r="T290" t="s">
        <v>78</v>
      </c>
      <c r="U290">
        <v>1000</v>
      </c>
      <c r="V290">
        <v>1000</v>
      </c>
    </row>
    <row r="291" spans="1:22" x14ac:dyDescent="0.3">
      <c r="A291" t="s">
        <v>380</v>
      </c>
      <c r="B291" t="s">
        <v>262</v>
      </c>
      <c r="C291">
        <v>6.05</v>
      </c>
      <c r="D291">
        <v>5.12</v>
      </c>
      <c r="E291">
        <v>4.83</v>
      </c>
      <c r="F291">
        <v>0.36</v>
      </c>
      <c r="G291">
        <v>65.284640171858214</v>
      </c>
      <c r="H291">
        <v>28.466026080988339</v>
      </c>
      <c r="I291">
        <v>34.089298369950392</v>
      </c>
      <c r="J291">
        <v>38.641385043643339</v>
      </c>
      <c r="K291">
        <v>90.804597701149419</v>
      </c>
      <c r="L291">
        <v>19.834233389714814</v>
      </c>
      <c r="M291">
        <v>65.646100039834863</v>
      </c>
      <c r="N291">
        <v>58.43336695706774</v>
      </c>
      <c r="O291">
        <v>4.4728846153846158</v>
      </c>
      <c r="P291">
        <v>0.35711538461538428</v>
      </c>
      <c r="Q291">
        <v>290</v>
      </c>
      <c r="R291">
        <v>21</v>
      </c>
      <c r="S291" t="s">
        <v>24</v>
      </c>
      <c r="T291" t="s">
        <v>295</v>
      </c>
      <c r="U291">
        <v>5000</v>
      </c>
      <c r="V291">
        <v>1000</v>
      </c>
    </row>
    <row r="292" spans="1:22" x14ac:dyDescent="0.3">
      <c r="A292" t="s">
        <v>381</v>
      </c>
      <c r="B292" t="s">
        <v>328</v>
      </c>
      <c r="C292">
        <v>7.38</v>
      </c>
      <c r="D292">
        <v>23.58</v>
      </c>
      <c r="E292">
        <v>12.61</v>
      </c>
      <c r="F292">
        <v>2.31</v>
      </c>
      <c r="G292">
        <v>68.141783029001061</v>
      </c>
      <c r="H292">
        <v>60.140700068634189</v>
      </c>
      <c r="I292">
        <v>61.658398299078662</v>
      </c>
      <c r="J292">
        <v>62.499765775929802</v>
      </c>
      <c r="K292">
        <v>16.09195402298851</v>
      </c>
      <c r="L292">
        <v>4.2496080998439991</v>
      </c>
      <c r="M292">
        <v>92.639462858813957</v>
      </c>
      <c r="N292">
        <v>58.432737108415523</v>
      </c>
      <c r="O292">
        <v>10.248999999999999</v>
      </c>
      <c r="P292">
        <v>2.3610000000000007</v>
      </c>
      <c r="Q292">
        <v>291</v>
      </c>
      <c r="R292">
        <v>2</v>
      </c>
      <c r="S292" t="s">
        <v>24</v>
      </c>
      <c r="T292" t="s">
        <v>329</v>
      </c>
      <c r="U292">
        <v>5000</v>
      </c>
      <c r="V292">
        <v>1000</v>
      </c>
    </row>
    <row r="293" spans="1:22" x14ac:dyDescent="0.3">
      <c r="A293" t="s">
        <v>382</v>
      </c>
      <c r="B293" t="s">
        <v>383</v>
      </c>
      <c r="C293">
        <v>3.59</v>
      </c>
      <c r="D293">
        <v>7.42</v>
      </c>
      <c r="E293">
        <v>6.53</v>
      </c>
      <c r="F293">
        <v>0.78</v>
      </c>
      <c r="G293">
        <v>60</v>
      </c>
      <c r="H293">
        <v>32.412491420727527</v>
      </c>
      <c r="I293">
        <v>40.113394755492557</v>
      </c>
      <c r="J293">
        <v>41.780444803964542</v>
      </c>
      <c r="K293">
        <v>74.712643678160916</v>
      </c>
      <c r="L293">
        <v>14.235235684348529</v>
      </c>
      <c r="M293">
        <v>75.343848536990834</v>
      </c>
      <c r="N293">
        <v>58.404345455770212</v>
      </c>
      <c r="O293">
        <v>6.1480952380952392</v>
      </c>
      <c r="P293">
        <v>0.38190476190476108</v>
      </c>
      <c r="Q293">
        <v>292</v>
      </c>
      <c r="R293">
        <v>1</v>
      </c>
      <c r="S293" t="s">
        <v>24</v>
      </c>
      <c r="T293" t="s">
        <v>384</v>
      </c>
      <c r="U293">
        <v>5000</v>
      </c>
      <c r="V293">
        <v>1000</v>
      </c>
    </row>
    <row r="294" spans="1:22" x14ac:dyDescent="0.3">
      <c r="A294" t="s">
        <v>385</v>
      </c>
      <c r="B294" t="s">
        <v>192</v>
      </c>
      <c r="C294">
        <v>5.15</v>
      </c>
      <c r="D294">
        <v>4.07</v>
      </c>
      <c r="E294">
        <v>4.3899999999999997</v>
      </c>
      <c r="F294">
        <v>0.28000000000000003</v>
      </c>
      <c r="G294">
        <v>63.351235230934478</v>
      </c>
      <c r="H294">
        <v>26.66437886067262</v>
      </c>
      <c r="I294">
        <v>32.530120481927703</v>
      </c>
      <c r="J294">
        <v>36.934620945352535</v>
      </c>
      <c r="K294">
        <v>93.869731800766274</v>
      </c>
      <c r="L294">
        <v>19.707331416975215</v>
      </c>
      <c r="M294">
        <v>65.86590070420057</v>
      </c>
      <c r="N294">
        <v>58.401218598917978</v>
      </c>
      <c r="O294">
        <v>4.4280373831775703</v>
      </c>
      <c r="P294">
        <v>-3.8037383177570661E-2</v>
      </c>
      <c r="Q294">
        <v>293</v>
      </c>
      <c r="R294">
        <v>70</v>
      </c>
      <c r="S294" t="s">
        <v>24</v>
      </c>
      <c r="T294" t="s">
        <v>45</v>
      </c>
      <c r="U294">
        <v>5000</v>
      </c>
    </row>
    <row r="295" spans="1:22" x14ac:dyDescent="0.3">
      <c r="A295" t="s">
        <v>386</v>
      </c>
      <c r="B295" t="s">
        <v>262</v>
      </c>
      <c r="C295">
        <v>5.9</v>
      </c>
      <c r="D295">
        <v>5.05</v>
      </c>
      <c r="E295">
        <v>4.4000000000000004</v>
      </c>
      <c r="F295">
        <v>0.31</v>
      </c>
      <c r="G295">
        <v>64.962406015037587</v>
      </c>
      <c r="H295">
        <v>28.34591626630062</v>
      </c>
      <c r="I295">
        <v>32.565556343019132</v>
      </c>
      <c r="J295">
        <v>37.779034254407264</v>
      </c>
      <c r="K295">
        <v>92.720306513409966</v>
      </c>
      <c r="L295">
        <v>20.033840339817402</v>
      </c>
      <c r="M295">
        <v>65.300370660713313</v>
      </c>
      <c r="N295">
        <v>58.394686420734459</v>
      </c>
      <c r="O295">
        <v>4.4728846153846158</v>
      </c>
      <c r="P295">
        <v>-7.2884615384615437E-2</v>
      </c>
      <c r="Q295">
        <v>294</v>
      </c>
      <c r="R295">
        <v>22</v>
      </c>
      <c r="S295" t="s">
        <v>24</v>
      </c>
      <c r="T295" t="s">
        <v>295</v>
      </c>
      <c r="U295">
        <v>1000</v>
      </c>
      <c r="V295">
        <v>1000</v>
      </c>
    </row>
    <row r="296" spans="1:22" x14ac:dyDescent="0.3">
      <c r="A296" t="s">
        <v>387</v>
      </c>
      <c r="B296" t="s">
        <v>86</v>
      </c>
      <c r="C296">
        <v>0</v>
      </c>
      <c r="D296">
        <v>18</v>
      </c>
      <c r="E296">
        <v>11.76</v>
      </c>
      <c r="F296">
        <v>1.92</v>
      </c>
      <c r="G296">
        <v>52.287862513426418</v>
      </c>
      <c r="H296">
        <v>50.566231983527807</v>
      </c>
      <c r="I296">
        <v>58.64635010630758</v>
      </c>
      <c r="J296">
        <v>54.950617150897415</v>
      </c>
      <c r="K296">
        <v>31.034482758620683</v>
      </c>
      <c r="L296">
        <v>4.2560287637729601</v>
      </c>
      <c r="M296">
        <v>92.628341942670673</v>
      </c>
      <c r="N296">
        <v>58.391014750771546</v>
      </c>
      <c r="O296">
        <v>8.6526315789473696</v>
      </c>
      <c r="P296">
        <v>3.1073684210526302</v>
      </c>
      <c r="Q296">
        <v>295</v>
      </c>
      <c r="R296">
        <v>3</v>
      </c>
      <c r="S296" t="s">
        <v>24</v>
      </c>
      <c r="T296" t="s">
        <v>388</v>
      </c>
      <c r="U296">
        <v>5000</v>
      </c>
      <c r="V296">
        <v>1000</v>
      </c>
    </row>
    <row r="297" spans="1:22" x14ac:dyDescent="0.3">
      <c r="A297" t="s">
        <v>389</v>
      </c>
      <c r="B297" t="s">
        <v>383</v>
      </c>
      <c r="C297">
        <v>3.55</v>
      </c>
      <c r="D297">
        <v>7.41</v>
      </c>
      <c r="E297">
        <v>6.51</v>
      </c>
      <c r="F297">
        <v>0.78</v>
      </c>
      <c r="G297">
        <v>59.914070891514491</v>
      </c>
      <c r="H297">
        <v>32.395332875772141</v>
      </c>
      <c r="I297">
        <v>40.042523033309706</v>
      </c>
      <c r="J297">
        <v>41.722675557689392</v>
      </c>
      <c r="K297">
        <v>74.712643678160916</v>
      </c>
      <c r="L297">
        <v>14.204687451480737</v>
      </c>
      <c r="M297">
        <v>75.396759628399295</v>
      </c>
      <c r="N297">
        <v>58.388688605484745</v>
      </c>
      <c r="O297">
        <v>6.1480952380952392</v>
      </c>
      <c r="P297">
        <v>0.36190476190476062</v>
      </c>
      <c r="Q297">
        <v>296</v>
      </c>
      <c r="R297">
        <v>2</v>
      </c>
      <c r="S297" t="s">
        <v>24</v>
      </c>
      <c r="T297" t="s">
        <v>384</v>
      </c>
      <c r="U297">
        <v>5000</v>
      </c>
      <c r="V297">
        <v>1000</v>
      </c>
    </row>
    <row r="298" spans="1:22" x14ac:dyDescent="0.3">
      <c r="A298" t="s">
        <v>390</v>
      </c>
      <c r="B298" t="s">
        <v>262</v>
      </c>
      <c r="C298">
        <v>5.84</v>
      </c>
      <c r="D298">
        <v>5.01</v>
      </c>
      <c r="E298">
        <v>4.3899999999999997</v>
      </c>
      <c r="F298">
        <v>0.31</v>
      </c>
      <c r="G298">
        <v>64.833512352309342</v>
      </c>
      <c r="H298">
        <v>28.277282086479072</v>
      </c>
      <c r="I298">
        <v>32.530120481927703</v>
      </c>
      <c r="J298">
        <v>37.714947337369438</v>
      </c>
      <c r="K298">
        <v>92.720306513409966</v>
      </c>
      <c r="L298">
        <v>19.991472065181718</v>
      </c>
      <c r="M298">
        <v>65.373754665011347</v>
      </c>
      <c r="N298">
        <v>58.380988963290051</v>
      </c>
      <c r="O298">
        <v>4.4728846153846158</v>
      </c>
      <c r="P298">
        <v>-8.2884615384616112E-2</v>
      </c>
      <c r="Q298">
        <v>297</v>
      </c>
      <c r="R298">
        <v>23</v>
      </c>
      <c r="S298" t="s">
        <v>24</v>
      </c>
      <c r="T298" t="s">
        <v>295</v>
      </c>
      <c r="U298">
        <v>1000</v>
      </c>
      <c r="V298">
        <v>1000</v>
      </c>
    </row>
    <row r="299" spans="1:22" x14ac:dyDescent="0.3">
      <c r="A299" t="s">
        <v>391</v>
      </c>
      <c r="B299" t="s">
        <v>262</v>
      </c>
      <c r="C299">
        <v>6.05</v>
      </c>
      <c r="D299">
        <v>5.12</v>
      </c>
      <c r="E299">
        <v>4.78</v>
      </c>
      <c r="F299">
        <v>0.36</v>
      </c>
      <c r="G299">
        <v>65.284640171858214</v>
      </c>
      <c r="H299">
        <v>28.466026080988339</v>
      </c>
      <c r="I299">
        <v>33.912119064493261</v>
      </c>
      <c r="J299">
        <v>38.552795390914781</v>
      </c>
      <c r="K299">
        <v>90.804597701149419</v>
      </c>
      <c r="L299">
        <v>19.872532773443194</v>
      </c>
      <c r="M299">
        <v>65.579763561318742</v>
      </c>
      <c r="N299">
        <v>58.372488011074431</v>
      </c>
      <c r="O299">
        <v>4.4728846153846158</v>
      </c>
      <c r="P299">
        <v>0.30711538461538446</v>
      </c>
      <c r="Q299">
        <v>298</v>
      </c>
      <c r="R299">
        <v>24</v>
      </c>
      <c r="S299" t="s">
        <v>24</v>
      </c>
      <c r="T299" t="s">
        <v>295</v>
      </c>
      <c r="U299">
        <v>5000</v>
      </c>
      <c r="V299">
        <v>1000</v>
      </c>
    </row>
    <row r="300" spans="1:22" x14ac:dyDescent="0.3">
      <c r="A300" t="s">
        <v>392</v>
      </c>
      <c r="B300" t="s">
        <v>192</v>
      </c>
      <c r="C300">
        <v>5.15</v>
      </c>
      <c r="D300">
        <v>4.0599999999999996</v>
      </c>
      <c r="E300">
        <v>4.37</v>
      </c>
      <c r="F300">
        <v>0.28000000000000003</v>
      </c>
      <c r="G300">
        <v>63.351235230934478</v>
      </c>
      <c r="H300">
        <v>26.647220315717231</v>
      </c>
      <c r="I300">
        <v>32.459248759744867</v>
      </c>
      <c r="J300">
        <v>36.894037520774496</v>
      </c>
      <c r="K300">
        <v>93.869731800766274</v>
      </c>
      <c r="L300">
        <v>19.728487075237329</v>
      </c>
      <c r="M300">
        <v>65.829258029223027</v>
      </c>
      <c r="N300">
        <v>58.37176621788457</v>
      </c>
      <c r="O300">
        <v>4.4280373831775703</v>
      </c>
      <c r="P300">
        <v>-5.8037383177570234E-2</v>
      </c>
      <c r="Q300">
        <v>299</v>
      </c>
      <c r="R300">
        <v>71</v>
      </c>
      <c r="S300" t="s">
        <v>24</v>
      </c>
      <c r="T300" t="s">
        <v>45</v>
      </c>
      <c r="U300">
        <v>5000</v>
      </c>
    </row>
    <row r="301" spans="1:22" x14ac:dyDescent="0.3">
      <c r="A301" t="s">
        <v>393</v>
      </c>
      <c r="B301" t="s">
        <v>192</v>
      </c>
      <c r="C301">
        <v>5.15</v>
      </c>
      <c r="D301">
        <v>4.05</v>
      </c>
      <c r="E301">
        <v>4.37</v>
      </c>
      <c r="F301">
        <v>0.28000000000000003</v>
      </c>
      <c r="G301">
        <v>63.351235230934478</v>
      </c>
      <c r="H301">
        <v>26.630061770761841</v>
      </c>
      <c r="I301">
        <v>32.459248759744867</v>
      </c>
      <c r="J301">
        <v>36.88888995728788</v>
      </c>
      <c r="K301">
        <v>93.869731800766274</v>
      </c>
      <c r="L301">
        <v>19.734651544009157</v>
      </c>
      <c r="M301">
        <v>65.818580856108554</v>
      </c>
      <c r="N301">
        <v>58.366523142862647</v>
      </c>
      <c r="O301">
        <v>4.4280373831775703</v>
      </c>
      <c r="P301">
        <v>-5.8037383177570234E-2</v>
      </c>
      <c r="Q301">
        <v>300</v>
      </c>
      <c r="R301">
        <v>72</v>
      </c>
      <c r="S301" t="s">
        <v>24</v>
      </c>
      <c r="T301" t="s">
        <v>45</v>
      </c>
      <c r="U301">
        <v>5000</v>
      </c>
    </row>
    <row r="302" spans="1:22" x14ac:dyDescent="0.3">
      <c r="A302" t="s">
        <v>394</v>
      </c>
      <c r="B302" t="s">
        <v>395</v>
      </c>
      <c r="C302">
        <v>6.07</v>
      </c>
      <c r="D302">
        <v>5.1100000000000003</v>
      </c>
      <c r="E302">
        <v>5.5</v>
      </c>
      <c r="F302">
        <v>0.45</v>
      </c>
      <c r="G302">
        <v>65.327604726100958</v>
      </c>
      <c r="H302">
        <v>28.448867536032949</v>
      </c>
      <c r="I302">
        <v>36.463501063075832</v>
      </c>
      <c r="J302">
        <v>39.831931737567999</v>
      </c>
      <c r="K302">
        <v>87.356321839080465</v>
      </c>
      <c r="L302">
        <v>19.396787051711964</v>
      </c>
      <c r="M302">
        <v>66.403779322840748</v>
      </c>
      <c r="N302">
        <v>58.355991159264306</v>
      </c>
      <c r="O302">
        <v>5.2778260869565221</v>
      </c>
      <c r="P302">
        <v>0.22217391304347789</v>
      </c>
      <c r="Q302">
        <v>301</v>
      </c>
      <c r="R302">
        <v>1</v>
      </c>
      <c r="S302" t="s">
        <v>24</v>
      </c>
      <c r="T302" t="s">
        <v>230</v>
      </c>
      <c r="U302">
        <v>1000</v>
      </c>
      <c r="V302">
        <v>1000</v>
      </c>
    </row>
    <row r="303" spans="1:22" x14ac:dyDescent="0.3">
      <c r="A303" t="s">
        <v>396</v>
      </c>
      <c r="B303" t="s">
        <v>262</v>
      </c>
      <c r="C303">
        <v>5.88</v>
      </c>
      <c r="D303">
        <v>5.08</v>
      </c>
      <c r="E303">
        <v>4.3499999999999996</v>
      </c>
      <c r="F303">
        <v>0.31</v>
      </c>
      <c r="G303">
        <v>64.919441460794843</v>
      </c>
      <c r="H303">
        <v>28.397391901166785</v>
      </c>
      <c r="I303">
        <v>32.388377037562009</v>
      </c>
      <c r="J303">
        <v>37.697294381290007</v>
      </c>
      <c r="K303">
        <v>92.720306513409966</v>
      </c>
      <c r="L303">
        <v>20.033547775765946</v>
      </c>
      <c r="M303">
        <v>65.300877396514906</v>
      </c>
      <c r="N303">
        <v>58.353943168126222</v>
      </c>
      <c r="O303">
        <v>4.4728846153846158</v>
      </c>
      <c r="P303">
        <v>-0.12288461538461615</v>
      </c>
      <c r="Q303">
        <v>302</v>
      </c>
      <c r="R303">
        <v>25</v>
      </c>
      <c r="S303" t="s">
        <v>24</v>
      </c>
      <c r="T303" t="s">
        <v>295</v>
      </c>
      <c r="U303">
        <v>1000</v>
      </c>
      <c r="V303">
        <v>1000</v>
      </c>
    </row>
    <row r="304" spans="1:22" x14ac:dyDescent="0.3">
      <c r="A304" t="s">
        <v>397</v>
      </c>
      <c r="B304" t="s">
        <v>86</v>
      </c>
      <c r="C304">
        <v>-0.06</v>
      </c>
      <c r="D304">
        <v>17.940000000000001</v>
      </c>
      <c r="E304">
        <v>11.51</v>
      </c>
      <c r="F304">
        <v>1.92</v>
      </c>
      <c r="G304">
        <v>52.158968850698173</v>
      </c>
      <c r="H304">
        <v>50.463280713795477</v>
      </c>
      <c r="I304">
        <v>57.760453579021963</v>
      </c>
      <c r="J304">
        <v>54.451004773789258</v>
      </c>
      <c r="K304">
        <v>31.034482758620683</v>
      </c>
      <c r="L304">
        <v>3.8188288179378351</v>
      </c>
      <c r="M304">
        <v>93.385594461923475</v>
      </c>
      <c r="N304">
        <v>58.330521692030672</v>
      </c>
      <c r="O304">
        <v>8.6526315789473696</v>
      </c>
      <c r="P304">
        <v>2.8573684210526302</v>
      </c>
      <c r="Q304">
        <v>303</v>
      </c>
      <c r="R304">
        <v>4</v>
      </c>
      <c r="S304" t="s">
        <v>24</v>
      </c>
      <c r="T304" t="s">
        <v>388</v>
      </c>
      <c r="U304">
        <v>5000</v>
      </c>
      <c r="V304">
        <v>1000</v>
      </c>
    </row>
    <row r="305" spans="1:22" x14ac:dyDescent="0.3">
      <c r="A305" t="s">
        <v>398</v>
      </c>
      <c r="B305" t="s">
        <v>192</v>
      </c>
      <c r="C305">
        <v>5.14</v>
      </c>
      <c r="D305">
        <v>4.0599999999999996</v>
      </c>
      <c r="E305">
        <v>4.41</v>
      </c>
      <c r="F305">
        <v>0.28999999999999998</v>
      </c>
      <c r="G305">
        <v>63.329752953813099</v>
      </c>
      <c r="H305">
        <v>26.647220315717231</v>
      </c>
      <c r="I305">
        <v>32.600992204110554</v>
      </c>
      <c r="J305">
        <v>36.960612787533066</v>
      </c>
      <c r="K305">
        <v>93.486590038314176</v>
      </c>
      <c r="L305">
        <v>19.686341871360334</v>
      </c>
      <c r="M305">
        <v>65.902255663633326</v>
      </c>
      <c r="N305">
        <v>58.327517819253409</v>
      </c>
      <c r="O305">
        <v>4.4280373831775703</v>
      </c>
      <c r="P305">
        <v>-1.8037383177570199E-2</v>
      </c>
      <c r="Q305">
        <v>304</v>
      </c>
      <c r="R305">
        <v>73</v>
      </c>
      <c r="S305" t="s">
        <v>24</v>
      </c>
      <c r="T305" t="s">
        <v>45</v>
      </c>
      <c r="U305">
        <v>1000</v>
      </c>
      <c r="V305">
        <v>1000</v>
      </c>
    </row>
    <row r="306" spans="1:22" x14ac:dyDescent="0.3">
      <c r="A306" t="s">
        <v>399</v>
      </c>
      <c r="B306" t="s">
        <v>262</v>
      </c>
      <c r="C306">
        <v>5.84</v>
      </c>
      <c r="D306">
        <v>5.01</v>
      </c>
      <c r="E306">
        <v>4.34</v>
      </c>
      <c r="F306">
        <v>0.31</v>
      </c>
      <c r="G306">
        <v>64.833512352309342</v>
      </c>
      <c r="H306">
        <v>28.277282086479072</v>
      </c>
      <c r="I306">
        <v>32.352941176470587</v>
      </c>
      <c r="J306">
        <v>37.62635768464088</v>
      </c>
      <c r="K306">
        <v>92.720306513409966</v>
      </c>
      <c r="L306">
        <v>20.033124536522681</v>
      </c>
      <c r="M306">
        <v>65.301610468387992</v>
      </c>
      <c r="N306">
        <v>58.318658087769933</v>
      </c>
      <c r="O306">
        <v>4.4728846153846158</v>
      </c>
      <c r="P306">
        <v>-0.13288461538461593</v>
      </c>
      <c r="Q306">
        <v>305</v>
      </c>
      <c r="R306">
        <v>26</v>
      </c>
      <c r="S306" t="s">
        <v>24</v>
      </c>
      <c r="T306" t="s">
        <v>295</v>
      </c>
      <c r="U306">
        <v>1000</v>
      </c>
      <c r="V306">
        <v>1000</v>
      </c>
    </row>
    <row r="307" spans="1:22" x14ac:dyDescent="0.3">
      <c r="A307" t="s">
        <v>400</v>
      </c>
      <c r="B307" t="s">
        <v>262</v>
      </c>
      <c r="C307">
        <v>5.78</v>
      </c>
      <c r="D307">
        <v>4.7699999999999996</v>
      </c>
      <c r="E307">
        <v>4.1900000000000004</v>
      </c>
      <c r="F307">
        <v>0.28000000000000003</v>
      </c>
      <c r="G307">
        <v>64.704618689581096</v>
      </c>
      <c r="H307">
        <v>27.865477007549767</v>
      </c>
      <c r="I307">
        <v>31.821403260099224</v>
      </c>
      <c r="J307">
        <v>37.211268470230763</v>
      </c>
      <c r="K307">
        <v>93.869731800766274</v>
      </c>
      <c r="L307">
        <v>20.224068043489265</v>
      </c>
      <c r="M307">
        <v>64.970886612946487</v>
      </c>
      <c r="N307">
        <v>58.315788838543575</v>
      </c>
      <c r="O307">
        <v>4.4728846153846158</v>
      </c>
      <c r="P307">
        <v>-0.2828846153846154</v>
      </c>
      <c r="Q307">
        <v>306</v>
      </c>
      <c r="R307">
        <v>27</v>
      </c>
      <c r="S307" t="s">
        <v>24</v>
      </c>
      <c r="T307" t="s">
        <v>295</v>
      </c>
      <c r="U307">
        <v>10000</v>
      </c>
      <c r="V307">
        <v>1000</v>
      </c>
    </row>
    <row r="308" spans="1:22" x14ac:dyDescent="0.3">
      <c r="A308" t="s">
        <v>401</v>
      </c>
      <c r="B308" t="s">
        <v>192</v>
      </c>
      <c r="C308">
        <v>5.14</v>
      </c>
      <c r="D308">
        <v>4.0599999999999996</v>
      </c>
      <c r="E308">
        <v>4.4000000000000004</v>
      </c>
      <c r="F308">
        <v>0.28999999999999998</v>
      </c>
      <c r="G308">
        <v>63.329752953813099</v>
      </c>
      <c r="H308">
        <v>26.647220315717231</v>
      </c>
      <c r="I308">
        <v>32.565556343019132</v>
      </c>
      <c r="J308">
        <v>36.942894856987351</v>
      </c>
      <c r="K308">
        <v>93.486590038314176</v>
      </c>
      <c r="L308">
        <v>19.693783685825903</v>
      </c>
      <c r="M308">
        <v>65.889366062878466</v>
      </c>
      <c r="N308">
        <v>58.315436453791833</v>
      </c>
      <c r="O308">
        <v>4.4280373831775703</v>
      </c>
      <c r="P308">
        <v>-2.8037383177569986E-2</v>
      </c>
      <c r="Q308">
        <v>307</v>
      </c>
      <c r="R308">
        <v>74</v>
      </c>
      <c r="S308" t="s">
        <v>24</v>
      </c>
      <c r="T308" t="s">
        <v>45</v>
      </c>
      <c r="U308">
        <v>1000</v>
      </c>
      <c r="V308">
        <v>1000</v>
      </c>
    </row>
    <row r="309" spans="1:22" x14ac:dyDescent="0.3">
      <c r="A309" t="s">
        <v>402</v>
      </c>
      <c r="B309" t="s">
        <v>192</v>
      </c>
      <c r="C309">
        <v>5.04</v>
      </c>
      <c r="D309">
        <v>4.05</v>
      </c>
      <c r="E309">
        <v>5.18</v>
      </c>
      <c r="F309">
        <v>0.39</v>
      </c>
      <c r="G309">
        <v>63.114930182599352</v>
      </c>
      <c r="H309">
        <v>26.630061770761841</v>
      </c>
      <c r="I309">
        <v>35.329553508150248</v>
      </c>
      <c r="J309">
        <v>38.276781321823549</v>
      </c>
      <c r="K309">
        <v>89.65517241379311</v>
      </c>
      <c r="L309">
        <v>19.056293520597546</v>
      </c>
      <c r="M309">
        <v>66.993531418379462</v>
      </c>
      <c r="N309">
        <v>58.300566618954917</v>
      </c>
      <c r="O309">
        <v>4.4280373831775703</v>
      </c>
      <c r="P309">
        <v>0.75196261682242937</v>
      </c>
      <c r="Q309">
        <v>308</v>
      </c>
      <c r="R309">
        <v>75</v>
      </c>
      <c r="S309" t="s">
        <v>24</v>
      </c>
      <c r="T309" t="s">
        <v>213</v>
      </c>
      <c r="U309">
        <v>5000</v>
      </c>
      <c r="V309">
        <v>1000</v>
      </c>
    </row>
    <row r="310" spans="1:22" x14ac:dyDescent="0.3">
      <c r="A310" t="s">
        <v>403</v>
      </c>
      <c r="B310" t="s">
        <v>262</v>
      </c>
      <c r="C310">
        <v>5.85</v>
      </c>
      <c r="D310">
        <v>5.0199999999999996</v>
      </c>
      <c r="E310">
        <v>4.32</v>
      </c>
      <c r="F310">
        <v>0.31</v>
      </c>
      <c r="G310">
        <v>64.85499462943072</v>
      </c>
      <c r="H310">
        <v>28.294440631434458</v>
      </c>
      <c r="I310">
        <v>32.282069454287736</v>
      </c>
      <c r="J310">
        <v>37.600365842460349</v>
      </c>
      <c r="K310">
        <v>92.720306513409966</v>
      </c>
      <c r="L310">
        <v>20.05646507045677</v>
      </c>
      <c r="M310">
        <v>65.261183477738371</v>
      </c>
      <c r="N310">
        <v>58.295555419017262</v>
      </c>
      <c r="O310">
        <v>4.4728846153846158</v>
      </c>
      <c r="P310">
        <v>-0.15288461538461551</v>
      </c>
      <c r="Q310">
        <v>309</v>
      </c>
      <c r="R310">
        <v>28</v>
      </c>
      <c r="S310" t="s">
        <v>24</v>
      </c>
      <c r="T310" t="s">
        <v>295</v>
      </c>
      <c r="U310">
        <v>1000</v>
      </c>
      <c r="V310">
        <v>1000</v>
      </c>
    </row>
    <row r="311" spans="1:22" x14ac:dyDescent="0.3">
      <c r="A311" t="s">
        <v>404</v>
      </c>
      <c r="B311" t="s">
        <v>405</v>
      </c>
      <c r="C311">
        <v>2.98</v>
      </c>
      <c r="D311">
        <v>31</v>
      </c>
      <c r="E311">
        <v>18.93</v>
      </c>
      <c r="F311">
        <v>2.63</v>
      </c>
      <c r="G311">
        <v>58.689581095596132</v>
      </c>
      <c r="H311">
        <v>72.872340425531917</v>
      </c>
      <c r="I311">
        <v>84.053862508858955</v>
      </c>
      <c r="J311">
        <v>75.626549601208268</v>
      </c>
      <c r="K311">
        <v>3.8314176245210607</v>
      </c>
      <c r="L311">
        <v>12.711699794034894</v>
      </c>
      <c r="M311">
        <v>77.982690106168732</v>
      </c>
      <c r="N311">
        <v>58.26680173327658</v>
      </c>
      <c r="O311">
        <v>12.057857142857143</v>
      </c>
      <c r="P311">
        <v>6.8721428571428564</v>
      </c>
      <c r="Q311">
        <v>310</v>
      </c>
      <c r="R311">
        <v>1</v>
      </c>
      <c r="S311" t="s">
        <v>24</v>
      </c>
      <c r="T311" t="s">
        <v>406</v>
      </c>
      <c r="U311">
        <v>5000</v>
      </c>
      <c r="V311">
        <v>1000</v>
      </c>
    </row>
    <row r="312" spans="1:22" x14ac:dyDescent="0.3">
      <c r="A312" t="s">
        <v>407</v>
      </c>
      <c r="B312" t="s">
        <v>195</v>
      </c>
      <c r="C312">
        <v>7.24</v>
      </c>
      <c r="D312">
        <v>15.83</v>
      </c>
      <c r="E312">
        <v>11.93</v>
      </c>
      <c r="F312">
        <v>1.77</v>
      </c>
      <c r="G312">
        <v>67.841031149301827</v>
      </c>
      <c r="H312">
        <v>46.842827728208654</v>
      </c>
      <c r="I312">
        <v>59.248759744861786</v>
      </c>
      <c r="J312">
        <v>57.245434420753853</v>
      </c>
      <c r="K312">
        <v>36.781609195402297</v>
      </c>
      <c r="L312">
        <v>10.556663172320649</v>
      </c>
      <c r="M312">
        <v>81.715323027149395</v>
      </c>
      <c r="N312">
        <v>58.246950266014849</v>
      </c>
      <c r="O312">
        <v>10.412619047619048</v>
      </c>
      <c r="P312">
        <v>1.5173809523809521</v>
      </c>
      <c r="Q312">
        <v>311</v>
      </c>
      <c r="R312">
        <v>12</v>
      </c>
      <c r="S312" t="s">
        <v>24</v>
      </c>
      <c r="T312" t="s">
        <v>196</v>
      </c>
      <c r="U312">
        <v>1000</v>
      </c>
      <c r="V312">
        <v>1000</v>
      </c>
    </row>
    <row r="313" spans="1:22" x14ac:dyDescent="0.3">
      <c r="A313" t="s">
        <v>408</v>
      </c>
      <c r="B313" t="s">
        <v>395</v>
      </c>
      <c r="C313">
        <v>6.05</v>
      </c>
      <c r="D313">
        <v>5.08</v>
      </c>
      <c r="E313">
        <v>5.4</v>
      </c>
      <c r="F313">
        <v>0.45</v>
      </c>
      <c r="G313">
        <v>65.284640171858214</v>
      </c>
      <c r="H313">
        <v>28.397391901166785</v>
      </c>
      <c r="I313">
        <v>36.109142452161585</v>
      </c>
      <c r="J313">
        <v>39.63071683080247</v>
      </c>
      <c r="K313">
        <v>87.356321839080465</v>
      </c>
      <c r="L313">
        <v>19.456574932981823</v>
      </c>
      <c r="M313">
        <v>66.300223674804457</v>
      </c>
      <c r="N313">
        <v>58.229494793872462</v>
      </c>
      <c r="O313">
        <v>5.2778260869565221</v>
      </c>
      <c r="P313">
        <v>0.12217391304347824</v>
      </c>
      <c r="Q313">
        <v>312</v>
      </c>
      <c r="R313">
        <v>2</v>
      </c>
      <c r="S313" t="s">
        <v>24</v>
      </c>
      <c r="T313" t="s">
        <v>230</v>
      </c>
      <c r="U313">
        <v>1000</v>
      </c>
      <c r="V313">
        <v>1000</v>
      </c>
    </row>
    <row r="314" spans="1:22" x14ac:dyDescent="0.3">
      <c r="A314" t="s">
        <v>409</v>
      </c>
      <c r="B314" t="s">
        <v>410</v>
      </c>
      <c r="C314">
        <v>6.25</v>
      </c>
      <c r="D314">
        <v>5.19</v>
      </c>
      <c r="E314">
        <v>4.53</v>
      </c>
      <c r="F314">
        <v>0.34</v>
      </c>
      <c r="G314">
        <v>65.714285714285708</v>
      </c>
      <c r="H314">
        <v>28.586135895676051</v>
      </c>
      <c r="I314">
        <v>33.026222537207651</v>
      </c>
      <c r="J314">
        <v>38.231809180163779</v>
      </c>
      <c r="K314">
        <v>91.570881226053629</v>
      </c>
      <c r="L314">
        <v>20.27610807743142</v>
      </c>
      <c r="M314">
        <v>64.880750630131075</v>
      </c>
      <c r="N314">
        <v>58.228812554128062</v>
      </c>
      <c r="O314">
        <v>4.4264935064935065</v>
      </c>
      <c r="P314">
        <v>0.10350649350649377</v>
      </c>
      <c r="Q314">
        <v>313</v>
      </c>
      <c r="R314">
        <v>1</v>
      </c>
      <c r="S314" t="s">
        <v>24</v>
      </c>
      <c r="T314" t="s">
        <v>411</v>
      </c>
      <c r="U314">
        <v>5000</v>
      </c>
      <c r="V314">
        <v>1000</v>
      </c>
    </row>
    <row r="315" spans="1:22" x14ac:dyDescent="0.3">
      <c r="A315" t="s">
        <v>412</v>
      </c>
      <c r="B315" t="s">
        <v>192</v>
      </c>
      <c r="C315">
        <v>5.09</v>
      </c>
      <c r="D315">
        <v>4.05</v>
      </c>
      <c r="E315">
        <v>4.38</v>
      </c>
      <c r="F315">
        <v>0.3</v>
      </c>
      <c r="G315">
        <v>63.222341568206232</v>
      </c>
      <c r="H315">
        <v>26.630061770761841</v>
      </c>
      <c r="I315">
        <v>32.494684620836281</v>
      </c>
      <c r="J315">
        <v>36.880829155287941</v>
      </c>
      <c r="K315">
        <v>93.103448275862064</v>
      </c>
      <c r="L315">
        <v>19.653573226529424</v>
      </c>
      <c r="M315">
        <v>65.959012621375649</v>
      </c>
      <c r="N315">
        <v>58.206029801953399</v>
      </c>
      <c r="O315">
        <v>4.4280373831775703</v>
      </c>
      <c r="P315">
        <v>-4.8037383177570447E-2</v>
      </c>
      <c r="Q315">
        <v>314</v>
      </c>
      <c r="R315">
        <v>76</v>
      </c>
      <c r="S315" t="s">
        <v>24</v>
      </c>
      <c r="T315" t="s">
        <v>45</v>
      </c>
      <c r="U315">
        <v>5000</v>
      </c>
      <c r="V315">
        <v>1000</v>
      </c>
    </row>
    <row r="316" spans="1:22" x14ac:dyDescent="0.3">
      <c r="A316" t="s">
        <v>413</v>
      </c>
      <c r="B316" t="s">
        <v>395</v>
      </c>
      <c r="C316">
        <v>6.07</v>
      </c>
      <c r="D316">
        <v>5.04</v>
      </c>
      <c r="E316">
        <v>5.39</v>
      </c>
      <c r="F316">
        <v>0.45</v>
      </c>
      <c r="G316">
        <v>65.327604726100958</v>
      </c>
      <c r="H316">
        <v>28.328757721345234</v>
      </c>
      <c r="I316">
        <v>36.073706591070156</v>
      </c>
      <c r="J316">
        <v>39.601001557158838</v>
      </c>
      <c r="K316">
        <v>87.356321839080465</v>
      </c>
      <c r="L316">
        <v>19.513625448092817</v>
      </c>
      <c r="M316">
        <v>66.201409284034241</v>
      </c>
      <c r="N316">
        <v>58.189933559358096</v>
      </c>
      <c r="O316">
        <v>5.2778260869565221</v>
      </c>
      <c r="P316">
        <v>0.11217391304347757</v>
      </c>
      <c r="Q316">
        <v>315</v>
      </c>
      <c r="R316">
        <v>3</v>
      </c>
      <c r="S316" t="s">
        <v>24</v>
      </c>
      <c r="T316" t="s">
        <v>230</v>
      </c>
      <c r="U316">
        <v>1000</v>
      </c>
      <c r="V316">
        <v>1000</v>
      </c>
    </row>
    <row r="317" spans="1:22" x14ac:dyDescent="0.3">
      <c r="A317" t="s">
        <v>414</v>
      </c>
      <c r="B317" t="s">
        <v>202</v>
      </c>
      <c r="C317">
        <v>3.1</v>
      </c>
      <c r="D317">
        <v>16.16</v>
      </c>
      <c r="E317">
        <v>11.44</v>
      </c>
      <c r="F317">
        <v>1.84</v>
      </c>
      <c r="G317">
        <v>58.947368421052623</v>
      </c>
      <c r="H317">
        <v>47.409059711736454</v>
      </c>
      <c r="I317">
        <v>57.512402551381989</v>
      </c>
      <c r="J317">
        <v>54.768392873422457</v>
      </c>
      <c r="K317">
        <v>34.099616858237546</v>
      </c>
      <c r="L317">
        <v>6.2884713491438395</v>
      </c>
      <c r="M317">
        <v>89.108048121341668</v>
      </c>
      <c r="N317">
        <v>58.186112681606033</v>
      </c>
      <c r="O317">
        <v>10.023387096774194</v>
      </c>
      <c r="P317">
        <v>1.4166129032258059</v>
      </c>
      <c r="Q317">
        <v>316</v>
      </c>
      <c r="R317">
        <v>8</v>
      </c>
      <c r="S317" t="s">
        <v>24</v>
      </c>
      <c r="T317" t="s">
        <v>78</v>
      </c>
      <c r="U317">
        <v>1000</v>
      </c>
      <c r="V317">
        <v>1000</v>
      </c>
    </row>
    <row r="318" spans="1:22" x14ac:dyDescent="0.3">
      <c r="A318" t="s">
        <v>415</v>
      </c>
      <c r="B318" t="s">
        <v>77</v>
      </c>
      <c r="C318">
        <v>2.88</v>
      </c>
      <c r="D318">
        <v>17.91</v>
      </c>
      <c r="E318">
        <v>11</v>
      </c>
      <c r="F318">
        <v>1.94</v>
      </c>
      <c r="G318">
        <v>58.474758324382378</v>
      </c>
      <c r="H318">
        <v>50.411805078929305</v>
      </c>
      <c r="I318">
        <v>55.953224663359322</v>
      </c>
      <c r="J318">
        <v>54.795105520234927</v>
      </c>
      <c r="K318">
        <v>30.268199233716466</v>
      </c>
      <c r="L318">
        <v>4.1246550977574499</v>
      </c>
      <c r="M318">
        <v>92.855887806986118</v>
      </c>
      <c r="N318">
        <v>58.178574520293111</v>
      </c>
      <c r="O318">
        <v>9.0435999999999996</v>
      </c>
      <c r="P318">
        <v>1.9564000000000004</v>
      </c>
      <c r="Q318">
        <v>317</v>
      </c>
      <c r="R318">
        <v>5</v>
      </c>
      <c r="S318" t="s">
        <v>24</v>
      </c>
      <c r="T318" t="s">
        <v>78</v>
      </c>
      <c r="U318">
        <v>1000</v>
      </c>
      <c r="V318">
        <v>1000</v>
      </c>
    </row>
    <row r="319" spans="1:22" x14ac:dyDescent="0.3">
      <c r="A319" t="s">
        <v>416</v>
      </c>
      <c r="B319" t="s">
        <v>262</v>
      </c>
      <c r="C319">
        <v>6.04</v>
      </c>
      <c r="D319">
        <v>5.08</v>
      </c>
      <c r="E319">
        <v>5.03</v>
      </c>
      <c r="F319">
        <v>0.41</v>
      </c>
      <c r="G319">
        <v>65.26315789473685</v>
      </c>
      <c r="H319">
        <v>28.397391901166785</v>
      </c>
      <c r="I319">
        <v>34.798015591778878</v>
      </c>
      <c r="J319">
        <v>38.970856945186846</v>
      </c>
      <c r="K319">
        <v>88.888888888888886</v>
      </c>
      <c r="L319">
        <v>19.698466866996576</v>
      </c>
      <c r="M319">
        <v>65.881254555149809</v>
      </c>
      <c r="N319">
        <v>58.177964333603093</v>
      </c>
      <c r="O319">
        <v>4.4728846153846158</v>
      </c>
      <c r="P319">
        <v>0.55711538461538446</v>
      </c>
      <c r="Q319">
        <v>318</v>
      </c>
      <c r="R319">
        <v>29</v>
      </c>
      <c r="S319" t="s">
        <v>24</v>
      </c>
      <c r="T319" t="s">
        <v>295</v>
      </c>
      <c r="U319">
        <v>1000</v>
      </c>
      <c r="V319">
        <v>1000</v>
      </c>
    </row>
    <row r="320" spans="1:22" x14ac:dyDescent="0.3">
      <c r="A320" t="s">
        <v>417</v>
      </c>
      <c r="B320" t="s">
        <v>126</v>
      </c>
      <c r="C320">
        <v>3.44</v>
      </c>
      <c r="D320">
        <v>17</v>
      </c>
      <c r="E320">
        <v>11.64</v>
      </c>
      <c r="F320">
        <v>1.91</v>
      </c>
      <c r="G320">
        <v>59.677765843179372</v>
      </c>
      <c r="H320">
        <v>48.850377487989022</v>
      </c>
      <c r="I320">
        <v>58.221119773210496</v>
      </c>
      <c r="J320">
        <v>55.701226301637831</v>
      </c>
      <c r="K320">
        <v>31.417624521072796</v>
      </c>
      <c r="L320">
        <v>5.8760100882501494</v>
      </c>
      <c r="M320">
        <v>89.822451981363457</v>
      </c>
      <c r="N320">
        <v>58.160632276427982</v>
      </c>
      <c r="O320">
        <v>11.362272727272726</v>
      </c>
      <c r="P320">
        <v>0.27772727272727415</v>
      </c>
      <c r="Q320">
        <v>319</v>
      </c>
      <c r="R320">
        <v>18</v>
      </c>
      <c r="S320" t="s">
        <v>24</v>
      </c>
      <c r="T320" t="s">
        <v>127</v>
      </c>
      <c r="U320">
        <v>5000</v>
      </c>
      <c r="V320">
        <v>1000</v>
      </c>
    </row>
    <row r="321" spans="1:22" x14ac:dyDescent="0.3">
      <c r="A321" t="s">
        <v>418</v>
      </c>
      <c r="B321" t="s">
        <v>405</v>
      </c>
      <c r="C321">
        <v>2.85</v>
      </c>
      <c r="D321">
        <v>30.93</v>
      </c>
      <c r="E321">
        <v>18.920000000000002</v>
      </c>
      <c r="F321">
        <v>2.63</v>
      </c>
      <c r="G321">
        <v>58.410311493018256</v>
      </c>
      <c r="H321">
        <v>72.752230610844208</v>
      </c>
      <c r="I321">
        <v>84.018426647767555</v>
      </c>
      <c r="J321">
        <v>75.516944805740692</v>
      </c>
      <c r="K321">
        <v>3.8314176245210607</v>
      </c>
      <c r="L321">
        <v>12.834805406287165</v>
      </c>
      <c r="M321">
        <v>77.769464931050919</v>
      </c>
      <c r="N321">
        <v>58.158693041763343</v>
      </c>
      <c r="O321">
        <v>12.057857142857143</v>
      </c>
      <c r="P321">
        <v>6.8621428571428584</v>
      </c>
      <c r="Q321">
        <v>320</v>
      </c>
      <c r="R321">
        <v>2</v>
      </c>
      <c r="S321" t="s">
        <v>24</v>
      </c>
      <c r="T321" t="s">
        <v>406</v>
      </c>
      <c r="U321">
        <v>5000</v>
      </c>
      <c r="V321">
        <v>1000</v>
      </c>
    </row>
    <row r="322" spans="1:22" x14ac:dyDescent="0.3">
      <c r="A322" t="s">
        <v>419</v>
      </c>
      <c r="B322" t="s">
        <v>192</v>
      </c>
      <c r="C322">
        <v>5.15</v>
      </c>
      <c r="D322">
        <v>4.04</v>
      </c>
      <c r="E322">
        <v>4.3600000000000003</v>
      </c>
      <c r="F322">
        <v>0.3</v>
      </c>
      <c r="G322">
        <v>63.351235230934478</v>
      </c>
      <c r="H322">
        <v>26.612903225806456</v>
      </c>
      <c r="I322">
        <v>32.423812898653438</v>
      </c>
      <c r="J322">
        <v>36.866024463255549</v>
      </c>
      <c r="K322">
        <v>93.103448275862064</v>
      </c>
      <c r="L322">
        <v>19.748321286733365</v>
      </c>
      <c r="M322">
        <v>65.79490416718383</v>
      </c>
      <c r="N322">
        <v>58.157600342389252</v>
      </c>
      <c r="O322">
        <v>4.4280373831775703</v>
      </c>
      <c r="P322">
        <v>-6.8037383177570021E-2</v>
      </c>
      <c r="Q322">
        <v>321</v>
      </c>
      <c r="R322">
        <v>77</v>
      </c>
      <c r="S322" t="s">
        <v>24</v>
      </c>
      <c r="T322" t="s">
        <v>45</v>
      </c>
      <c r="U322">
        <v>5000</v>
      </c>
    </row>
    <row r="323" spans="1:22" x14ac:dyDescent="0.3">
      <c r="A323" t="s">
        <v>420</v>
      </c>
      <c r="B323" t="s">
        <v>410</v>
      </c>
      <c r="C323">
        <v>6.24</v>
      </c>
      <c r="D323">
        <v>5.19</v>
      </c>
      <c r="E323">
        <v>4.46</v>
      </c>
      <c r="F323">
        <v>0.34</v>
      </c>
      <c r="G323">
        <v>65.692803437164343</v>
      </c>
      <c r="H323">
        <v>28.586135895676051</v>
      </c>
      <c r="I323">
        <v>32.778171509567677</v>
      </c>
      <c r="J323">
        <v>38.103487210919525</v>
      </c>
      <c r="K323">
        <v>91.570881226053629</v>
      </c>
      <c r="L323">
        <v>20.321790167009738</v>
      </c>
      <c r="M323">
        <v>64.801626929985503</v>
      </c>
      <c r="N323">
        <v>58.144870644469549</v>
      </c>
      <c r="O323">
        <v>4.4264935064935065</v>
      </c>
      <c r="P323">
        <v>3.3506493506493484E-2</v>
      </c>
      <c r="Q323">
        <v>322</v>
      </c>
      <c r="R323">
        <v>2</v>
      </c>
      <c r="S323" t="s">
        <v>24</v>
      </c>
      <c r="T323" t="s">
        <v>411</v>
      </c>
      <c r="U323">
        <v>5000</v>
      </c>
      <c r="V323">
        <v>1000</v>
      </c>
    </row>
    <row r="324" spans="1:22" x14ac:dyDescent="0.3">
      <c r="A324" t="s">
        <v>421</v>
      </c>
      <c r="B324" t="s">
        <v>192</v>
      </c>
      <c r="C324">
        <v>5.15</v>
      </c>
      <c r="D324">
        <v>4.01</v>
      </c>
      <c r="E324">
        <v>4.3499999999999996</v>
      </c>
      <c r="F324">
        <v>0.3</v>
      </c>
      <c r="G324">
        <v>63.351235230934478</v>
      </c>
      <c r="H324">
        <v>26.561427590940291</v>
      </c>
      <c r="I324">
        <v>32.388377037562009</v>
      </c>
      <c r="J324">
        <v>36.832863842249985</v>
      </c>
      <c r="K324">
        <v>93.103448275862064</v>
      </c>
      <c r="L324">
        <v>19.774317828706305</v>
      </c>
      <c r="M324">
        <v>65.749876835665589</v>
      </c>
      <c r="N324">
        <v>58.129763199006902</v>
      </c>
      <c r="O324">
        <v>4.4280373831775703</v>
      </c>
      <c r="P324">
        <v>-7.8037383177570696E-2</v>
      </c>
      <c r="Q324">
        <v>323</v>
      </c>
      <c r="R324">
        <v>78</v>
      </c>
      <c r="S324" t="s">
        <v>24</v>
      </c>
      <c r="T324" t="s">
        <v>45</v>
      </c>
      <c r="U324">
        <v>5000</v>
      </c>
    </row>
    <row r="325" spans="1:22" x14ac:dyDescent="0.3">
      <c r="A325" t="s">
        <v>422</v>
      </c>
      <c r="B325" t="s">
        <v>199</v>
      </c>
      <c r="C325">
        <v>2.92</v>
      </c>
      <c r="D325">
        <v>18.260000000000002</v>
      </c>
      <c r="E325">
        <v>10.18</v>
      </c>
      <c r="F325">
        <v>1.89</v>
      </c>
      <c r="G325">
        <v>58.560687432867887</v>
      </c>
      <c r="H325">
        <v>51.012354152367891</v>
      </c>
      <c r="I325">
        <v>53.047484053862505</v>
      </c>
      <c r="J325">
        <v>53.5395857592152</v>
      </c>
      <c r="K325">
        <v>32.18390804597702</v>
      </c>
      <c r="L325">
        <v>3.9054342594163516</v>
      </c>
      <c r="M325">
        <v>93.235589437070743</v>
      </c>
      <c r="N325">
        <v>58.124667250369541</v>
      </c>
      <c r="O325">
        <v>9.83</v>
      </c>
      <c r="P325">
        <v>0.34999999999999964</v>
      </c>
      <c r="Q325">
        <v>324</v>
      </c>
      <c r="R325">
        <v>7</v>
      </c>
      <c r="S325" t="s">
        <v>24</v>
      </c>
      <c r="T325" t="s">
        <v>107</v>
      </c>
      <c r="U325">
        <v>5000</v>
      </c>
      <c r="V325">
        <v>1000</v>
      </c>
    </row>
    <row r="326" spans="1:22" x14ac:dyDescent="0.3">
      <c r="A326" t="s">
        <v>423</v>
      </c>
      <c r="B326" t="s">
        <v>424</v>
      </c>
      <c r="C326">
        <v>14.46</v>
      </c>
      <c r="D326">
        <v>17.82</v>
      </c>
      <c r="E326">
        <v>11.48</v>
      </c>
      <c r="F326">
        <v>1.65</v>
      </c>
      <c r="G326">
        <v>83.351235230934478</v>
      </c>
      <c r="H326">
        <v>50.257378174330825</v>
      </c>
      <c r="I326">
        <v>57.654145995747697</v>
      </c>
      <c r="J326">
        <v>60.57453349635999</v>
      </c>
      <c r="K326">
        <v>41.37931034482758</v>
      </c>
      <c r="L326">
        <v>17.369781922676403</v>
      </c>
      <c r="M326">
        <v>69.914655193533051</v>
      </c>
      <c r="N326">
        <v>58.110758132770158</v>
      </c>
      <c r="O326">
        <v>7.9378947368421047</v>
      </c>
      <c r="P326">
        <v>3.5421052631578958</v>
      </c>
      <c r="Q326">
        <v>325</v>
      </c>
      <c r="R326">
        <v>1</v>
      </c>
      <c r="S326" t="s">
        <v>24</v>
      </c>
      <c r="T326" t="s">
        <v>425</v>
      </c>
      <c r="U326">
        <v>1000</v>
      </c>
      <c r="V326">
        <v>1000</v>
      </c>
    </row>
    <row r="327" spans="1:22" x14ac:dyDescent="0.3">
      <c r="A327" t="s">
        <v>426</v>
      </c>
      <c r="B327" t="s">
        <v>192</v>
      </c>
      <c r="C327">
        <v>5.12</v>
      </c>
      <c r="D327">
        <v>4</v>
      </c>
      <c r="E327">
        <v>4.33</v>
      </c>
      <c r="F327">
        <v>0.3</v>
      </c>
      <c r="G327">
        <v>63.286788399570348</v>
      </c>
      <c r="H327">
        <v>26.544269045984905</v>
      </c>
      <c r="I327">
        <v>32.317505315379158</v>
      </c>
      <c r="J327">
        <v>36.779391051399116</v>
      </c>
      <c r="K327">
        <v>93.103448275862064</v>
      </c>
      <c r="L327">
        <v>19.758708966848101</v>
      </c>
      <c r="M327">
        <v>65.776912177452331</v>
      </c>
      <c r="N327">
        <v>58.109785639028161</v>
      </c>
      <c r="O327">
        <v>4.4280373831775703</v>
      </c>
      <c r="P327">
        <v>-9.803738317757027E-2</v>
      </c>
      <c r="Q327">
        <v>326</v>
      </c>
      <c r="R327">
        <v>79</v>
      </c>
      <c r="S327" t="s">
        <v>24</v>
      </c>
      <c r="T327" t="s">
        <v>45</v>
      </c>
      <c r="U327">
        <v>10000</v>
      </c>
    </row>
    <row r="328" spans="1:22" x14ac:dyDescent="0.3">
      <c r="A328" t="s">
        <v>427</v>
      </c>
      <c r="B328" t="s">
        <v>262</v>
      </c>
      <c r="C328">
        <v>6.12</v>
      </c>
      <c r="D328">
        <v>5.14</v>
      </c>
      <c r="E328">
        <v>5.04</v>
      </c>
      <c r="F328">
        <v>0.42</v>
      </c>
      <c r="G328">
        <v>65.435016111707839</v>
      </c>
      <c r="H328">
        <v>28.500343170899111</v>
      </c>
      <c r="I328">
        <v>34.8334514528703</v>
      </c>
      <c r="J328">
        <v>39.053831900046447</v>
      </c>
      <c r="K328">
        <v>88.505747126436788</v>
      </c>
      <c r="L328">
        <v>19.751515069839982</v>
      </c>
      <c r="M328">
        <v>65.789372372574803</v>
      </c>
      <c r="N328">
        <v>58.100695824776125</v>
      </c>
      <c r="O328">
        <v>4.4728846153846158</v>
      </c>
      <c r="P328">
        <v>0.56711538461538424</v>
      </c>
      <c r="Q328">
        <v>327</v>
      </c>
      <c r="R328">
        <v>30</v>
      </c>
      <c r="S328" t="s">
        <v>24</v>
      </c>
      <c r="T328" t="s">
        <v>263</v>
      </c>
      <c r="U328">
        <v>5000</v>
      </c>
      <c r="V328">
        <v>1000</v>
      </c>
    </row>
    <row r="329" spans="1:22" x14ac:dyDescent="0.3">
      <c r="A329" t="s">
        <v>428</v>
      </c>
      <c r="B329" t="s">
        <v>395</v>
      </c>
      <c r="C329">
        <v>6.51</v>
      </c>
      <c r="D329">
        <v>4.78</v>
      </c>
      <c r="E329">
        <v>5.79</v>
      </c>
      <c r="F329">
        <v>0.48</v>
      </c>
      <c r="G329">
        <v>66.272824919441447</v>
      </c>
      <c r="H329">
        <v>27.882635552505153</v>
      </c>
      <c r="I329">
        <v>37.491141034727136</v>
      </c>
      <c r="J329">
        <v>40.364926167003404</v>
      </c>
      <c r="K329">
        <v>86.206896551724128</v>
      </c>
      <c r="L329">
        <v>19.977134197504999</v>
      </c>
      <c r="M329">
        <v>65.398588580299631</v>
      </c>
      <c r="N329">
        <v>58.083834366507645</v>
      </c>
      <c r="O329">
        <v>5.2778260869565221</v>
      </c>
      <c r="P329">
        <v>0.51217391304347792</v>
      </c>
      <c r="Q329">
        <v>328</v>
      </c>
      <c r="R329">
        <v>4</v>
      </c>
      <c r="S329" t="s">
        <v>24</v>
      </c>
      <c r="T329" t="s">
        <v>429</v>
      </c>
      <c r="U329">
        <v>1000</v>
      </c>
      <c r="V329">
        <v>1000</v>
      </c>
    </row>
    <row r="330" spans="1:22" x14ac:dyDescent="0.3">
      <c r="A330" t="s">
        <v>430</v>
      </c>
      <c r="B330" t="s">
        <v>192</v>
      </c>
      <c r="C330">
        <v>5.1100000000000003</v>
      </c>
      <c r="D330">
        <v>3.72</v>
      </c>
      <c r="E330">
        <v>4.03</v>
      </c>
      <c r="F330">
        <v>0.25</v>
      </c>
      <c r="G330">
        <v>63.265306122448969</v>
      </c>
      <c r="H330">
        <v>26.063829787234049</v>
      </c>
      <c r="I330">
        <v>31.254429482636425</v>
      </c>
      <c r="J330">
        <v>36.099424901978225</v>
      </c>
      <c r="K330">
        <v>95.019157088122611</v>
      </c>
      <c r="L330">
        <v>20.147739285780773</v>
      </c>
      <c r="M330">
        <v>65.10309189937621</v>
      </c>
      <c r="N330">
        <v>58.080274697863821</v>
      </c>
      <c r="O330">
        <v>4.4280373831775703</v>
      </c>
      <c r="P330">
        <v>-0.39803738317757009</v>
      </c>
      <c r="Q330">
        <v>329</v>
      </c>
      <c r="R330">
        <v>80</v>
      </c>
      <c r="S330" t="s">
        <v>24</v>
      </c>
      <c r="T330" t="s">
        <v>45</v>
      </c>
      <c r="U330">
        <v>5000</v>
      </c>
      <c r="V330">
        <v>1000</v>
      </c>
    </row>
    <row r="331" spans="1:22" x14ac:dyDescent="0.3">
      <c r="A331" t="s">
        <v>431</v>
      </c>
      <c r="B331" t="s">
        <v>192</v>
      </c>
      <c r="C331">
        <v>4.9400000000000004</v>
      </c>
      <c r="D331">
        <v>3.73</v>
      </c>
      <c r="E331">
        <v>3.98</v>
      </c>
      <c r="F331">
        <v>0.25</v>
      </c>
      <c r="G331">
        <v>62.900107411385605</v>
      </c>
      <c r="H331">
        <v>26.080988332189435</v>
      </c>
      <c r="I331">
        <v>31.077250177179305</v>
      </c>
      <c r="J331">
        <v>35.942943070523604</v>
      </c>
      <c r="K331">
        <v>95.019157088122611</v>
      </c>
      <c r="L331">
        <v>19.972082201331293</v>
      </c>
      <c r="M331">
        <v>65.407338894352137</v>
      </c>
      <c r="N331">
        <v>58.078095530880489</v>
      </c>
      <c r="O331">
        <v>4.4280373831775703</v>
      </c>
      <c r="P331">
        <v>-0.44803738317757036</v>
      </c>
      <c r="Q331">
        <v>330</v>
      </c>
      <c r="R331">
        <v>81</v>
      </c>
      <c r="S331" t="s">
        <v>24</v>
      </c>
      <c r="T331" t="s">
        <v>45</v>
      </c>
      <c r="U331">
        <v>100000</v>
      </c>
      <c r="V331">
        <v>1000</v>
      </c>
    </row>
    <row r="332" spans="1:22" x14ac:dyDescent="0.3">
      <c r="A332" t="s">
        <v>432</v>
      </c>
      <c r="B332" t="s">
        <v>192</v>
      </c>
      <c r="C332">
        <v>4.9400000000000004</v>
      </c>
      <c r="D332">
        <v>3.73</v>
      </c>
      <c r="E332">
        <v>3.98</v>
      </c>
      <c r="F332">
        <v>0.25</v>
      </c>
      <c r="G332">
        <v>62.900107411385605</v>
      </c>
      <c r="H332">
        <v>26.080988332189435</v>
      </c>
      <c r="I332">
        <v>31.077250177179305</v>
      </c>
      <c r="J332">
        <v>35.942943070523604</v>
      </c>
      <c r="K332">
        <v>95.019157088122611</v>
      </c>
      <c r="L332">
        <v>19.972082201331293</v>
      </c>
      <c r="M332">
        <v>65.407338894352137</v>
      </c>
      <c r="N332">
        <v>58.078095530880489</v>
      </c>
      <c r="O332">
        <v>4.4280373831775703</v>
      </c>
      <c r="P332">
        <v>-0.44803738317757036</v>
      </c>
      <c r="Q332">
        <v>330</v>
      </c>
      <c r="R332">
        <v>81</v>
      </c>
      <c r="S332" t="s">
        <v>24</v>
      </c>
      <c r="T332" t="s">
        <v>45</v>
      </c>
      <c r="U332">
        <v>10000</v>
      </c>
      <c r="V332">
        <v>1000</v>
      </c>
    </row>
    <row r="333" spans="1:22" x14ac:dyDescent="0.3">
      <c r="A333" t="s">
        <v>433</v>
      </c>
      <c r="B333" t="s">
        <v>192</v>
      </c>
      <c r="C333">
        <v>5.05</v>
      </c>
      <c r="D333">
        <v>3.68</v>
      </c>
      <c r="E333">
        <v>4.01</v>
      </c>
      <c r="F333">
        <v>0.25</v>
      </c>
      <c r="G333">
        <v>63.136412459720724</v>
      </c>
      <c r="H333">
        <v>25.995195607412498</v>
      </c>
      <c r="I333">
        <v>31.183557760453574</v>
      </c>
      <c r="J333">
        <v>36.017620054394683</v>
      </c>
      <c r="K333">
        <v>95.019157088122611</v>
      </c>
      <c r="L333">
        <v>20.113735002620192</v>
      </c>
      <c r="M333">
        <v>65.161989045485299</v>
      </c>
      <c r="N333">
        <v>58.054096560599319</v>
      </c>
      <c r="O333">
        <v>4.4280373831775703</v>
      </c>
      <c r="P333">
        <v>-0.41803738317757055</v>
      </c>
      <c r="Q333">
        <v>332</v>
      </c>
      <c r="R333">
        <v>83</v>
      </c>
      <c r="S333" t="s">
        <v>24</v>
      </c>
      <c r="T333" t="s">
        <v>45</v>
      </c>
      <c r="U333">
        <v>5000</v>
      </c>
      <c r="V333">
        <v>1000</v>
      </c>
    </row>
    <row r="334" spans="1:22" x14ac:dyDescent="0.3">
      <c r="A334" t="s">
        <v>434</v>
      </c>
      <c r="B334" t="s">
        <v>192</v>
      </c>
      <c r="C334">
        <v>5.05</v>
      </c>
      <c r="D334">
        <v>3.68</v>
      </c>
      <c r="E334">
        <v>4.01</v>
      </c>
      <c r="F334">
        <v>0.25</v>
      </c>
      <c r="G334">
        <v>63.136412459720724</v>
      </c>
      <c r="H334">
        <v>25.995195607412498</v>
      </c>
      <c r="I334">
        <v>31.183557760453574</v>
      </c>
      <c r="J334">
        <v>36.017620054394683</v>
      </c>
      <c r="K334">
        <v>95.019157088122611</v>
      </c>
      <c r="L334">
        <v>20.113735002620192</v>
      </c>
      <c r="M334">
        <v>65.161989045485299</v>
      </c>
      <c r="N334">
        <v>58.054096560599319</v>
      </c>
      <c r="O334">
        <v>4.4280373831775703</v>
      </c>
      <c r="P334">
        <v>-0.41803738317757055</v>
      </c>
      <c r="Q334">
        <v>332</v>
      </c>
      <c r="R334">
        <v>83</v>
      </c>
      <c r="S334" t="s">
        <v>24</v>
      </c>
      <c r="T334" t="s">
        <v>45</v>
      </c>
      <c r="U334">
        <v>5000</v>
      </c>
      <c r="V334">
        <v>1000</v>
      </c>
    </row>
    <row r="335" spans="1:22" x14ac:dyDescent="0.3">
      <c r="A335" t="s">
        <v>435</v>
      </c>
      <c r="B335" t="s">
        <v>192</v>
      </c>
      <c r="C335">
        <v>5.13</v>
      </c>
      <c r="D335">
        <v>4.05</v>
      </c>
      <c r="E335">
        <v>4.4000000000000004</v>
      </c>
      <c r="F335">
        <v>0.32</v>
      </c>
      <c r="G335">
        <v>63.308270676691727</v>
      </c>
      <c r="H335">
        <v>26.630061770761841</v>
      </c>
      <c r="I335">
        <v>32.565556343019132</v>
      </c>
      <c r="J335">
        <v>36.933450838076467</v>
      </c>
      <c r="K335">
        <v>92.337164750957854</v>
      </c>
      <c r="L335">
        <v>19.687710163814245</v>
      </c>
      <c r="M335">
        <v>65.899885711583551</v>
      </c>
      <c r="N335">
        <v>58.025988034673581</v>
      </c>
      <c r="O335">
        <v>4.4280373831775703</v>
      </c>
      <c r="P335">
        <v>-2.8037383177569986E-2</v>
      </c>
      <c r="Q335">
        <v>334</v>
      </c>
      <c r="R335">
        <v>85</v>
      </c>
      <c r="S335" t="s">
        <v>24</v>
      </c>
      <c r="T335" t="s">
        <v>45</v>
      </c>
      <c r="U335">
        <v>5000</v>
      </c>
      <c r="V335">
        <v>1000</v>
      </c>
    </row>
    <row r="336" spans="1:22" x14ac:dyDescent="0.3">
      <c r="A336" t="s">
        <v>436</v>
      </c>
      <c r="B336" t="s">
        <v>395</v>
      </c>
      <c r="C336">
        <v>6.46</v>
      </c>
      <c r="D336">
        <v>4.75</v>
      </c>
      <c r="E336">
        <v>5.74</v>
      </c>
      <c r="F336">
        <v>0.48</v>
      </c>
      <c r="G336">
        <v>66.165413533834581</v>
      </c>
      <c r="H336">
        <v>27.831159917638988</v>
      </c>
      <c r="I336">
        <v>37.313961729270019</v>
      </c>
      <c r="J336">
        <v>40.239411546693624</v>
      </c>
      <c r="K336">
        <v>86.206896551724128</v>
      </c>
      <c r="L336">
        <v>19.965991092107053</v>
      </c>
      <c r="M336">
        <v>65.417889005002962</v>
      </c>
      <c r="N336">
        <v>58.025902162528581</v>
      </c>
      <c r="O336">
        <v>5.2778260869565221</v>
      </c>
      <c r="P336">
        <v>0.4621739130434781</v>
      </c>
      <c r="Q336">
        <v>335</v>
      </c>
      <c r="R336">
        <v>5</v>
      </c>
      <c r="S336" t="s">
        <v>24</v>
      </c>
      <c r="T336" t="s">
        <v>429</v>
      </c>
      <c r="U336">
        <v>1000</v>
      </c>
      <c r="V336">
        <v>1000</v>
      </c>
    </row>
    <row r="337" spans="1:22" x14ac:dyDescent="0.3">
      <c r="A337" t="s">
        <v>437</v>
      </c>
      <c r="B337" t="s">
        <v>395</v>
      </c>
      <c r="C337">
        <v>6.51</v>
      </c>
      <c r="D337">
        <v>4.7699999999999996</v>
      </c>
      <c r="E337">
        <v>5.73</v>
      </c>
      <c r="F337">
        <v>0.48</v>
      </c>
      <c r="G337">
        <v>66.272824919441447</v>
      </c>
      <c r="H337">
        <v>27.865477007549767</v>
      </c>
      <c r="I337">
        <v>37.278525868178598</v>
      </c>
      <c r="J337">
        <v>40.253471020242515</v>
      </c>
      <c r="K337">
        <v>86.206896551724128</v>
      </c>
      <c r="L337">
        <v>20.018321774280256</v>
      </c>
      <c r="M337">
        <v>65.327249604684241</v>
      </c>
      <c r="N337">
        <v>58.010272049223346</v>
      </c>
      <c r="O337">
        <v>5.2778260869565221</v>
      </c>
      <c r="P337">
        <v>0.45217391304347831</v>
      </c>
      <c r="Q337">
        <v>336</v>
      </c>
      <c r="R337">
        <v>6</v>
      </c>
      <c r="S337" t="s">
        <v>24</v>
      </c>
      <c r="T337" t="s">
        <v>429</v>
      </c>
      <c r="U337">
        <v>1000</v>
      </c>
      <c r="V337">
        <v>1000</v>
      </c>
    </row>
    <row r="338" spans="1:22" x14ac:dyDescent="0.3">
      <c r="A338" t="s">
        <v>438</v>
      </c>
      <c r="B338" t="s">
        <v>106</v>
      </c>
      <c r="C338">
        <v>3.52</v>
      </c>
      <c r="D338">
        <v>15.5</v>
      </c>
      <c r="E338">
        <v>11</v>
      </c>
      <c r="F338">
        <v>1.78</v>
      </c>
      <c r="G338">
        <v>59.849624060150376</v>
      </c>
      <c r="H338">
        <v>46.276595744680854</v>
      </c>
      <c r="I338">
        <v>55.953224663359322</v>
      </c>
      <c r="J338">
        <v>53.82951586711399</v>
      </c>
      <c r="K338">
        <v>36.398467432950184</v>
      </c>
      <c r="L338">
        <v>6.9886356935343663</v>
      </c>
      <c r="M338">
        <v>87.895327903209122</v>
      </c>
      <c r="N338">
        <v>57.988206767596822</v>
      </c>
      <c r="O338">
        <v>12.436666666666667</v>
      </c>
      <c r="P338">
        <v>-1.4366666666666674</v>
      </c>
      <c r="Q338">
        <v>337</v>
      </c>
      <c r="R338">
        <v>3</v>
      </c>
      <c r="S338" t="s">
        <v>24</v>
      </c>
      <c r="T338" t="s">
        <v>107</v>
      </c>
      <c r="U338">
        <v>1000</v>
      </c>
      <c r="V338">
        <v>1000</v>
      </c>
    </row>
    <row r="339" spans="1:22" x14ac:dyDescent="0.3">
      <c r="A339" t="s">
        <v>439</v>
      </c>
      <c r="B339" t="s">
        <v>192</v>
      </c>
      <c r="C339">
        <v>5.12</v>
      </c>
      <c r="D339">
        <v>4.01</v>
      </c>
      <c r="E339">
        <v>4.3600000000000003</v>
      </c>
      <c r="F339">
        <v>0.32</v>
      </c>
      <c r="G339">
        <v>63.286788399570348</v>
      </c>
      <c r="H339">
        <v>26.561427590940291</v>
      </c>
      <c r="I339">
        <v>32.423812898653438</v>
      </c>
      <c r="J339">
        <v>36.837692406522876</v>
      </c>
      <c r="K339">
        <v>92.337164750957854</v>
      </c>
      <c r="L339">
        <v>19.730023419441874</v>
      </c>
      <c r="M339">
        <v>65.826597003002831</v>
      </c>
      <c r="N339">
        <v>57.959786641751613</v>
      </c>
      <c r="O339">
        <v>4.4280373831775703</v>
      </c>
      <c r="P339">
        <v>-6.8037383177570021E-2</v>
      </c>
      <c r="Q339">
        <v>338</v>
      </c>
      <c r="R339">
        <v>86</v>
      </c>
      <c r="S339" t="s">
        <v>24</v>
      </c>
      <c r="T339" t="s">
        <v>213</v>
      </c>
      <c r="U339">
        <v>1000</v>
      </c>
    </row>
    <row r="340" spans="1:22" x14ac:dyDescent="0.3">
      <c r="A340" t="s">
        <v>440</v>
      </c>
      <c r="B340" t="s">
        <v>126</v>
      </c>
      <c r="C340">
        <v>3.34</v>
      </c>
      <c r="D340">
        <v>16.920000000000002</v>
      </c>
      <c r="E340">
        <v>11.36</v>
      </c>
      <c r="F340">
        <v>1.91</v>
      </c>
      <c r="G340">
        <v>59.462943071965626</v>
      </c>
      <c r="H340">
        <v>48.71310912834592</v>
      </c>
      <c r="I340">
        <v>57.228915662650607</v>
      </c>
      <c r="J340">
        <v>55.120979184222207</v>
      </c>
      <c r="K340">
        <v>31.417624521072796</v>
      </c>
      <c r="L340">
        <v>5.6725768572826984</v>
      </c>
      <c r="M340">
        <v>90.174808673346973</v>
      </c>
      <c r="N340">
        <v>57.958597890716042</v>
      </c>
      <c r="O340">
        <v>11.362272727272726</v>
      </c>
      <c r="P340">
        <v>-2.2727272727269821E-3</v>
      </c>
      <c r="Q340">
        <v>339</v>
      </c>
      <c r="R340">
        <v>19</v>
      </c>
      <c r="S340" t="s">
        <v>24</v>
      </c>
      <c r="T340" t="s">
        <v>127</v>
      </c>
      <c r="U340">
        <v>5000</v>
      </c>
      <c r="V340">
        <v>1000</v>
      </c>
    </row>
    <row r="341" spans="1:22" x14ac:dyDescent="0.3">
      <c r="A341" t="s">
        <v>441</v>
      </c>
      <c r="B341" t="s">
        <v>442</v>
      </c>
      <c r="C341">
        <v>2.48</v>
      </c>
      <c r="D341">
        <v>10.77</v>
      </c>
      <c r="E341">
        <v>7.49</v>
      </c>
      <c r="F341">
        <v>1.17</v>
      </c>
      <c r="G341">
        <v>57.615467239527383</v>
      </c>
      <c r="H341">
        <v>38.16060398078244</v>
      </c>
      <c r="I341">
        <v>43.515237420269308</v>
      </c>
      <c r="J341">
        <v>44.728893352274866</v>
      </c>
      <c r="K341">
        <v>59.770114942528728</v>
      </c>
      <c r="L341">
        <v>10.049712140517837</v>
      </c>
      <c r="M341">
        <v>82.593387971181329</v>
      </c>
      <c r="N341">
        <v>57.955322404564946</v>
      </c>
      <c r="O341">
        <v>8.6269999999999989</v>
      </c>
      <c r="P341">
        <v>-1.1369999999999987</v>
      </c>
      <c r="Q341">
        <v>340</v>
      </c>
      <c r="R341">
        <v>1</v>
      </c>
      <c r="S341" t="s">
        <v>24</v>
      </c>
      <c r="T341" t="s">
        <v>443</v>
      </c>
      <c r="U341">
        <v>5000</v>
      </c>
      <c r="V341">
        <v>1000</v>
      </c>
    </row>
    <row r="342" spans="1:22" x14ac:dyDescent="0.3">
      <c r="A342" t="s">
        <v>444</v>
      </c>
      <c r="B342" t="s">
        <v>445</v>
      </c>
      <c r="C342">
        <v>5.32</v>
      </c>
      <c r="D342">
        <v>9.91</v>
      </c>
      <c r="E342">
        <v>8.19</v>
      </c>
      <c r="F342">
        <v>1.1100000000000001</v>
      </c>
      <c r="G342">
        <v>63.716433941997849</v>
      </c>
      <c r="H342">
        <v>36.684969114619079</v>
      </c>
      <c r="I342">
        <v>45.995747696669028</v>
      </c>
      <c r="J342">
        <v>46.74665137111981</v>
      </c>
      <c r="K342">
        <v>62.068965517241367</v>
      </c>
      <c r="L342">
        <v>13.732039236296757</v>
      </c>
      <c r="M342">
        <v>76.215410351204696</v>
      </c>
      <c r="N342">
        <v>57.944419652671421</v>
      </c>
      <c r="O342">
        <v>5.7759259259259252</v>
      </c>
      <c r="P342">
        <v>2.4140740740740743</v>
      </c>
      <c r="Q342">
        <v>341</v>
      </c>
      <c r="R342">
        <v>1</v>
      </c>
      <c r="S342" t="s">
        <v>24</v>
      </c>
      <c r="T342" t="s">
        <v>443</v>
      </c>
      <c r="U342">
        <v>5000</v>
      </c>
      <c r="V342">
        <v>1000</v>
      </c>
    </row>
    <row r="343" spans="1:22" x14ac:dyDescent="0.3">
      <c r="A343" t="s">
        <v>446</v>
      </c>
      <c r="B343" t="s">
        <v>262</v>
      </c>
      <c r="C343">
        <v>6.13</v>
      </c>
      <c r="D343">
        <v>5.13</v>
      </c>
      <c r="E343">
        <v>4.91</v>
      </c>
      <c r="F343">
        <v>0.42</v>
      </c>
      <c r="G343">
        <v>65.456498388829203</v>
      </c>
      <c r="H343">
        <v>28.483184625943725</v>
      </c>
      <c r="I343">
        <v>34.37278525868178</v>
      </c>
      <c r="J343">
        <v>38.822647694889852</v>
      </c>
      <c r="K343">
        <v>88.505747126436788</v>
      </c>
      <c r="L343">
        <v>19.865844004971716</v>
      </c>
      <c r="M343">
        <v>65.591348848151398</v>
      </c>
      <c r="N343">
        <v>57.935597841091969</v>
      </c>
      <c r="O343">
        <v>4.4728846153846158</v>
      </c>
      <c r="P343">
        <v>0.43711538461538435</v>
      </c>
      <c r="Q343">
        <v>342</v>
      </c>
      <c r="R343">
        <v>31</v>
      </c>
      <c r="S343" t="s">
        <v>24</v>
      </c>
      <c r="T343" t="s">
        <v>263</v>
      </c>
      <c r="U343">
        <v>5000</v>
      </c>
      <c r="V343">
        <v>1000</v>
      </c>
    </row>
    <row r="344" spans="1:22" x14ac:dyDescent="0.3">
      <c r="A344" t="s">
        <v>447</v>
      </c>
      <c r="B344" t="s">
        <v>192</v>
      </c>
      <c r="C344">
        <v>4.9800000000000004</v>
      </c>
      <c r="D344">
        <v>3.86</v>
      </c>
      <c r="E344">
        <v>4.2699999999999996</v>
      </c>
      <c r="F344">
        <v>0.31</v>
      </c>
      <c r="G344">
        <v>62.986036519871099</v>
      </c>
      <c r="H344">
        <v>26.304049416609477</v>
      </c>
      <c r="I344">
        <v>32.104890148830613</v>
      </c>
      <c r="J344">
        <v>36.540867203372372</v>
      </c>
      <c r="K344">
        <v>92.720306513409966</v>
      </c>
      <c r="L344">
        <v>19.718278881256662</v>
      </c>
      <c r="M344">
        <v>65.84693913985106</v>
      </c>
      <c r="N344">
        <v>57.912245015001439</v>
      </c>
      <c r="O344">
        <v>4.4280373831775703</v>
      </c>
      <c r="P344">
        <v>-0.15803738317757077</v>
      </c>
      <c r="Q344">
        <v>343</v>
      </c>
      <c r="R344">
        <v>87</v>
      </c>
      <c r="S344" t="s">
        <v>24</v>
      </c>
      <c r="T344" t="s">
        <v>45</v>
      </c>
      <c r="U344">
        <v>1000</v>
      </c>
      <c r="V344">
        <v>1000</v>
      </c>
    </row>
    <row r="345" spans="1:22" x14ac:dyDescent="0.3">
      <c r="A345" t="s">
        <v>448</v>
      </c>
      <c r="B345" t="s">
        <v>192</v>
      </c>
      <c r="C345">
        <v>5.15</v>
      </c>
      <c r="D345">
        <v>4.07</v>
      </c>
      <c r="E345">
        <v>4.45</v>
      </c>
      <c r="F345">
        <v>0.34</v>
      </c>
      <c r="G345">
        <v>63.351235230934478</v>
      </c>
      <c r="H345">
        <v>26.66437886067262</v>
      </c>
      <c r="I345">
        <v>32.742735648476256</v>
      </c>
      <c r="J345">
        <v>37.040928528626807</v>
      </c>
      <c r="K345">
        <v>91.570881226053629</v>
      </c>
      <c r="L345">
        <v>19.662790994928326</v>
      </c>
      <c r="M345">
        <v>65.943046978176341</v>
      </c>
      <c r="N345">
        <v>57.8989463153709</v>
      </c>
      <c r="O345">
        <v>4.4280373831775703</v>
      </c>
      <c r="P345">
        <v>2.1962616822429837E-2</v>
      </c>
      <c r="Q345">
        <v>344</v>
      </c>
      <c r="R345">
        <v>88</v>
      </c>
      <c r="S345" t="s">
        <v>24</v>
      </c>
      <c r="T345" t="s">
        <v>213</v>
      </c>
      <c r="U345">
        <v>5000</v>
      </c>
      <c r="V345">
        <v>1000</v>
      </c>
    </row>
    <row r="346" spans="1:22" x14ac:dyDescent="0.3">
      <c r="A346" t="s">
        <v>449</v>
      </c>
      <c r="B346" t="s">
        <v>192</v>
      </c>
      <c r="C346">
        <v>5.0999999999999996</v>
      </c>
      <c r="D346">
        <v>4.08</v>
      </c>
      <c r="E346">
        <v>4.43</v>
      </c>
      <c r="F346">
        <v>0.34</v>
      </c>
      <c r="G346">
        <v>63.243823845327597</v>
      </c>
      <c r="H346">
        <v>26.68153740562801</v>
      </c>
      <c r="I346">
        <v>32.671863926293412</v>
      </c>
      <c r="J346">
        <v>36.98915795390063</v>
      </c>
      <c r="K346">
        <v>91.570881226053629</v>
      </c>
      <c r="L346">
        <v>19.610071964910702</v>
      </c>
      <c r="M346">
        <v>66.034359016692619</v>
      </c>
      <c r="N346">
        <v>57.895889037636877</v>
      </c>
      <c r="O346">
        <v>4.4280373831775703</v>
      </c>
      <c r="P346">
        <v>1.962616822429375E-3</v>
      </c>
      <c r="Q346">
        <v>345</v>
      </c>
      <c r="R346">
        <v>89</v>
      </c>
      <c r="S346" t="s">
        <v>24</v>
      </c>
      <c r="T346" t="s">
        <v>45</v>
      </c>
      <c r="U346">
        <v>1000</v>
      </c>
    </row>
    <row r="347" spans="1:22" x14ac:dyDescent="0.3">
      <c r="A347" t="s">
        <v>450</v>
      </c>
      <c r="B347" t="s">
        <v>192</v>
      </c>
      <c r="C347">
        <v>5.21</v>
      </c>
      <c r="D347">
        <v>4.0999999999999996</v>
      </c>
      <c r="E347">
        <v>4.45</v>
      </c>
      <c r="F347">
        <v>0.34</v>
      </c>
      <c r="G347">
        <v>63.480128893662723</v>
      </c>
      <c r="H347">
        <v>26.715854495538782</v>
      </c>
      <c r="I347">
        <v>32.742735648476256</v>
      </c>
      <c r="J347">
        <v>37.08214995163231</v>
      </c>
      <c r="K347">
        <v>91.570881226053629</v>
      </c>
      <c r="L347">
        <v>19.71768458331006</v>
      </c>
      <c r="M347">
        <v>65.8479684940894</v>
      </c>
      <c r="N347">
        <v>57.895787405851912</v>
      </c>
      <c r="O347">
        <v>4.4280373831775703</v>
      </c>
      <c r="P347">
        <v>2.1962616822429837E-2</v>
      </c>
      <c r="Q347">
        <v>346</v>
      </c>
      <c r="R347">
        <v>90</v>
      </c>
      <c r="S347" t="s">
        <v>24</v>
      </c>
      <c r="T347" t="s">
        <v>45</v>
      </c>
      <c r="U347">
        <v>1000</v>
      </c>
    </row>
    <row r="348" spans="1:22" x14ac:dyDescent="0.3">
      <c r="A348" t="s">
        <v>451</v>
      </c>
      <c r="B348" t="s">
        <v>192</v>
      </c>
      <c r="C348">
        <v>4.87</v>
      </c>
      <c r="D348">
        <v>3.78</v>
      </c>
      <c r="E348">
        <v>4.26</v>
      </c>
      <c r="F348">
        <v>0.31</v>
      </c>
      <c r="G348">
        <v>62.749731471535974</v>
      </c>
      <c r="H348">
        <v>26.166781056966371</v>
      </c>
      <c r="I348">
        <v>32.069454287739184</v>
      </c>
      <c r="J348">
        <v>36.4347077552667</v>
      </c>
      <c r="K348">
        <v>92.720306513409966</v>
      </c>
      <c r="L348">
        <v>19.640235998152459</v>
      </c>
      <c r="M348">
        <v>65.982113378556704</v>
      </c>
      <c r="N348">
        <v>57.892958850625014</v>
      </c>
      <c r="O348">
        <v>4.4280373831775703</v>
      </c>
      <c r="P348">
        <v>-0.16803738317757055</v>
      </c>
      <c r="Q348">
        <v>347</v>
      </c>
      <c r="R348">
        <v>91</v>
      </c>
      <c r="S348" t="s">
        <v>24</v>
      </c>
      <c r="T348" t="s">
        <v>45</v>
      </c>
      <c r="U348">
        <v>1000</v>
      </c>
      <c r="V348">
        <v>1000</v>
      </c>
    </row>
    <row r="349" spans="1:22" x14ac:dyDescent="0.3">
      <c r="A349" t="s">
        <v>452</v>
      </c>
      <c r="B349" t="s">
        <v>202</v>
      </c>
      <c r="C349">
        <v>1.74</v>
      </c>
      <c r="D349">
        <v>14.95</v>
      </c>
      <c r="E349">
        <v>11.12</v>
      </c>
      <c r="F349">
        <v>1.78</v>
      </c>
      <c r="G349">
        <v>56.025778732545653</v>
      </c>
      <c r="H349">
        <v>45.332875772134528</v>
      </c>
      <c r="I349">
        <v>56.378454996456405</v>
      </c>
      <c r="J349">
        <v>52.994245976377698</v>
      </c>
      <c r="K349">
        <v>36.398467432950184</v>
      </c>
      <c r="L349">
        <v>6.2778363399697152</v>
      </c>
      <c r="M349">
        <v>89.126468497570215</v>
      </c>
      <c r="N349">
        <v>57.878356970818949</v>
      </c>
      <c r="O349">
        <v>10.023387096774194</v>
      </c>
      <c r="P349">
        <v>1.0966129032258056</v>
      </c>
      <c r="Q349">
        <v>348</v>
      </c>
      <c r="R349">
        <v>9</v>
      </c>
      <c r="S349" t="s">
        <v>24</v>
      </c>
      <c r="T349" t="s">
        <v>78</v>
      </c>
      <c r="U349">
        <v>1000</v>
      </c>
      <c r="V349">
        <v>1000</v>
      </c>
    </row>
    <row r="350" spans="1:22" x14ac:dyDescent="0.3">
      <c r="A350" t="s">
        <v>453</v>
      </c>
      <c r="B350" t="s">
        <v>192</v>
      </c>
      <c r="C350">
        <v>5.14</v>
      </c>
      <c r="D350">
        <v>4.0599999999999996</v>
      </c>
      <c r="E350">
        <v>4.43</v>
      </c>
      <c r="F350">
        <v>0.34</v>
      </c>
      <c r="G350">
        <v>63.329752953813099</v>
      </c>
      <c r="H350">
        <v>26.647220315717231</v>
      </c>
      <c r="I350">
        <v>32.671863926293412</v>
      </c>
      <c r="J350">
        <v>36.996048648624495</v>
      </c>
      <c r="K350">
        <v>91.570881226053629</v>
      </c>
      <c r="L350">
        <v>19.671513630133369</v>
      </c>
      <c r="M350">
        <v>65.92793893082532</v>
      </c>
      <c r="N350">
        <v>57.872729363531981</v>
      </c>
      <c r="O350">
        <v>4.4280373831775703</v>
      </c>
      <c r="P350">
        <v>1.962616822429375E-3</v>
      </c>
      <c r="Q350">
        <v>349</v>
      </c>
      <c r="R350">
        <v>92</v>
      </c>
      <c r="S350" t="s">
        <v>24</v>
      </c>
      <c r="T350" t="s">
        <v>213</v>
      </c>
      <c r="U350">
        <v>10000</v>
      </c>
      <c r="V350">
        <v>10000</v>
      </c>
    </row>
    <row r="351" spans="1:22" x14ac:dyDescent="0.3">
      <c r="A351" t="s">
        <v>454</v>
      </c>
      <c r="B351" t="s">
        <v>192</v>
      </c>
      <c r="C351">
        <v>4.9800000000000004</v>
      </c>
      <c r="D351">
        <v>3.83</v>
      </c>
      <c r="E351">
        <v>4.25</v>
      </c>
      <c r="F351">
        <v>0.31</v>
      </c>
      <c r="G351">
        <v>62.986036519871099</v>
      </c>
      <c r="H351">
        <v>26.252573781743312</v>
      </c>
      <c r="I351">
        <v>32.034018426647762</v>
      </c>
      <c r="J351">
        <v>36.489988651821093</v>
      </c>
      <c r="K351">
        <v>92.720306513409966</v>
      </c>
      <c r="L351">
        <v>19.751792369971312</v>
      </c>
      <c r="M351">
        <v>65.788892074658406</v>
      </c>
      <c r="N351">
        <v>57.872293972927636</v>
      </c>
      <c r="O351">
        <v>4.4280373831775703</v>
      </c>
      <c r="P351">
        <v>-0.17803738317757034</v>
      </c>
      <c r="Q351">
        <v>350</v>
      </c>
      <c r="R351">
        <v>93</v>
      </c>
      <c r="S351" t="s">
        <v>24</v>
      </c>
      <c r="T351" t="s">
        <v>45</v>
      </c>
      <c r="U351">
        <v>1000</v>
      </c>
      <c r="V351">
        <v>1000</v>
      </c>
    </row>
    <row r="352" spans="1:22" x14ac:dyDescent="0.3">
      <c r="A352" t="s">
        <v>455</v>
      </c>
      <c r="B352" t="s">
        <v>395</v>
      </c>
      <c r="C352">
        <v>6.51</v>
      </c>
      <c r="D352">
        <v>4.63</v>
      </c>
      <c r="E352">
        <v>5.66</v>
      </c>
      <c r="F352">
        <v>0.48</v>
      </c>
      <c r="G352">
        <v>66.272824919441447</v>
      </c>
      <c r="H352">
        <v>27.625257378174332</v>
      </c>
      <c r="I352">
        <v>37.030474840538623</v>
      </c>
      <c r="J352">
        <v>40.057379617609897</v>
      </c>
      <c r="K352">
        <v>86.206896551724128</v>
      </c>
      <c r="L352">
        <v>20.154435535419466</v>
      </c>
      <c r="M352">
        <v>65.091493654781829</v>
      </c>
      <c r="N352">
        <v>57.853287360431437</v>
      </c>
      <c r="O352">
        <v>5.2778260869565221</v>
      </c>
      <c r="P352">
        <v>0.38217391304347803</v>
      </c>
      <c r="Q352">
        <v>351</v>
      </c>
      <c r="R352">
        <v>7</v>
      </c>
      <c r="S352" t="s">
        <v>24</v>
      </c>
      <c r="T352" t="s">
        <v>429</v>
      </c>
      <c r="U352">
        <v>1000</v>
      </c>
      <c r="V352">
        <v>1000</v>
      </c>
    </row>
    <row r="353" spans="1:22" x14ac:dyDescent="0.3">
      <c r="A353" t="s">
        <v>456</v>
      </c>
      <c r="B353" t="s">
        <v>358</v>
      </c>
      <c r="C353">
        <v>6.63</v>
      </c>
      <c r="D353">
        <v>4.8899999999999997</v>
      </c>
      <c r="E353">
        <v>5.98</v>
      </c>
      <c r="F353">
        <v>0.53</v>
      </c>
      <c r="G353">
        <v>66.530612244897952</v>
      </c>
      <c r="H353">
        <v>28.07137954701442</v>
      </c>
      <c r="I353">
        <v>38.164422395464207</v>
      </c>
      <c r="J353">
        <v>40.809747510816024</v>
      </c>
      <c r="K353">
        <v>84.291187739463595</v>
      </c>
      <c r="L353">
        <v>19.940005099567699</v>
      </c>
      <c r="M353">
        <v>65.462898064366229</v>
      </c>
      <c r="N353">
        <v>57.843395206365471</v>
      </c>
      <c r="O353">
        <v>5.0554237288135591</v>
      </c>
      <c r="P353">
        <v>0.92457627118644137</v>
      </c>
      <c r="Q353">
        <v>352</v>
      </c>
      <c r="R353">
        <v>3</v>
      </c>
      <c r="S353" t="s">
        <v>24</v>
      </c>
      <c r="T353" t="s">
        <v>457</v>
      </c>
      <c r="U353">
        <v>1000</v>
      </c>
      <c r="V353">
        <v>1000</v>
      </c>
    </row>
    <row r="354" spans="1:22" x14ac:dyDescent="0.3">
      <c r="A354" t="s">
        <v>458</v>
      </c>
      <c r="B354" t="s">
        <v>192</v>
      </c>
      <c r="C354">
        <v>4.9800000000000004</v>
      </c>
      <c r="D354">
        <v>3.84</v>
      </c>
      <c r="E354">
        <v>4.22</v>
      </c>
      <c r="F354">
        <v>0.31</v>
      </c>
      <c r="G354">
        <v>62.986036519871099</v>
      </c>
      <c r="H354">
        <v>26.269732326698701</v>
      </c>
      <c r="I354">
        <v>31.92771084337349</v>
      </c>
      <c r="J354">
        <v>36.441982423670574</v>
      </c>
      <c r="K354">
        <v>92.720306513409966</v>
      </c>
      <c r="L354">
        <v>19.768321916339254</v>
      </c>
      <c r="M354">
        <v>65.760262060523061</v>
      </c>
      <c r="N354">
        <v>57.841133355318547</v>
      </c>
      <c r="O354">
        <v>4.4280373831775703</v>
      </c>
      <c r="P354">
        <v>-0.20803738317757059</v>
      </c>
      <c r="Q354">
        <v>353</v>
      </c>
      <c r="R354">
        <v>94</v>
      </c>
      <c r="S354" t="s">
        <v>24</v>
      </c>
      <c r="T354" t="s">
        <v>45</v>
      </c>
      <c r="U354">
        <v>1000</v>
      </c>
      <c r="V354">
        <v>1000</v>
      </c>
    </row>
    <row r="355" spans="1:22" x14ac:dyDescent="0.3">
      <c r="A355" t="s">
        <v>459</v>
      </c>
      <c r="B355" t="s">
        <v>272</v>
      </c>
      <c r="C355">
        <v>1.69</v>
      </c>
      <c r="D355">
        <v>14.05</v>
      </c>
      <c r="E355">
        <v>13.12</v>
      </c>
      <c r="F355">
        <v>1.78</v>
      </c>
      <c r="G355">
        <v>55.918367346938766</v>
      </c>
      <c r="H355">
        <v>43.788606726149624</v>
      </c>
      <c r="I355">
        <v>63.465627214741318</v>
      </c>
      <c r="J355">
        <v>56.053069094603302</v>
      </c>
      <c r="K355">
        <v>36.398467432950184</v>
      </c>
      <c r="L355">
        <v>9.9270452094119062</v>
      </c>
      <c r="M355">
        <v>82.805853328265357</v>
      </c>
      <c r="N355">
        <v>57.827614737605536</v>
      </c>
      <c r="O355">
        <v>10.044583333333334</v>
      </c>
      <c r="P355">
        <v>3.0754166666666656</v>
      </c>
      <c r="Q355">
        <v>354</v>
      </c>
      <c r="R355">
        <v>7</v>
      </c>
      <c r="S355" t="s">
        <v>24</v>
      </c>
      <c r="T355" t="s">
        <v>291</v>
      </c>
      <c r="U355">
        <v>5000</v>
      </c>
      <c r="V355">
        <v>1000</v>
      </c>
    </row>
    <row r="356" spans="1:22" x14ac:dyDescent="0.3">
      <c r="A356" t="s">
        <v>460</v>
      </c>
      <c r="B356" t="s">
        <v>192</v>
      </c>
      <c r="C356">
        <v>5.14</v>
      </c>
      <c r="D356">
        <v>4</v>
      </c>
      <c r="E356">
        <v>4.3899999999999997</v>
      </c>
      <c r="F356">
        <v>0.34</v>
      </c>
      <c r="G356">
        <v>63.329752953813099</v>
      </c>
      <c r="H356">
        <v>26.544269045984905</v>
      </c>
      <c r="I356">
        <v>32.530120481927703</v>
      </c>
      <c r="J356">
        <v>36.894291545521938</v>
      </c>
      <c r="K356">
        <v>91.570881226053629</v>
      </c>
      <c r="L356">
        <v>19.738370433200586</v>
      </c>
      <c r="M356">
        <v>65.812139551081273</v>
      </c>
      <c r="N356">
        <v>57.792900967044687</v>
      </c>
      <c r="O356">
        <v>4.4280373831775703</v>
      </c>
      <c r="P356">
        <v>-3.8037383177570661E-2</v>
      </c>
      <c r="Q356">
        <v>355</v>
      </c>
      <c r="R356">
        <v>95</v>
      </c>
      <c r="S356" t="s">
        <v>24</v>
      </c>
      <c r="T356" t="s">
        <v>213</v>
      </c>
      <c r="U356">
        <v>1000</v>
      </c>
      <c r="V356">
        <v>1000</v>
      </c>
    </row>
    <row r="357" spans="1:22" x14ac:dyDescent="0.3">
      <c r="A357" t="s">
        <v>461</v>
      </c>
      <c r="B357" t="s">
        <v>126</v>
      </c>
      <c r="C357">
        <v>2.79</v>
      </c>
      <c r="D357">
        <v>17.53</v>
      </c>
      <c r="E357">
        <v>12.62</v>
      </c>
      <c r="F357">
        <v>2.0299999999999998</v>
      </c>
      <c r="G357">
        <v>58.281417830290003</v>
      </c>
      <c r="H357">
        <v>49.759780370624576</v>
      </c>
      <c r="I357">
        <v>61.693834160170091</v>
      </c>
      <c r="J357">
        <v>57.431134757330419</v>
      </c>
      <c r="K357">
        <v>26.819923371647512</v>
      </c>
      <c r="L357">
        <v>6.1466051613088428</v>
      </c>
      <c r="M357">
        <v>89.353767566547987</v>
      </c>
      <c r="N357">
        <v>57.758990113214082</v>
      </c>
      <c r="O357">
        <v>11.362272727272726</v>
      </c>
      <c r="P357">
        <v>1.2577272727272728</v>
      </c>
      <c r="Q357">
        <v>356</v>
      </c>
      <c r="R357">
        <v>20</v>
      </c>
      <c r="S357" t="s">
        <v>24</v>
      </c>
      <c r="T357" t="s">
        <v>340</v>
      </c>
      <c r="U357">
        <v>1000</v>
      </c>
      <c r="V357">
        <v>1000</v>
      </c>
    </row>
    <row r="358" spans="1:22" x14ac:dyDescent="0.3">
      <c r="A358" t="s">
        <v>462</v>
      </c>
      <c r="B358" t="s">
        <v>106</v>
      </c>
      <c r="C358">
        <v>3.5</v>
      </c>
      <c r="D358">
        <v>15.43</v>
      </c>
      <c r="E358">
        <v>10.69</v>
      </c>
      <c r="F358">
        <v>1.78</v>
      </c>
      <c r="G358">
        <v>59.806659505907625</v>
      </c>
      <c r="H358">
        <v>46.156485929993138</v>
      </c>
      <c r="I358">
        <v>54.854712969525153</v>
      </c>
      <c r="J358">
        <v>53.235634164942041</v>
      </c>
      <c r="K358">
        <v>36.398467432950184</v>
      </c>
      <c r="L358">
        <v>6.9102359677875729</v>
      </c>
      <c r="M358">
        <v>88.031120211502028</v>
      </c>
      <c r="N358">
        <v>57.725213993584077</v>
      </c>
      <c r="O358">
        <v>12.436666666666667</v>
      </c>
      <c r="P358">
        <v>-1.7466666666666679</v>
      </c>
      <c r="Q358">
        <v>357</v>
      </c>
      <c r="R358">
        <v>4</v>
      </c>
      <c r="S358" t="s">
        <v>24</v>
      </c>
      <c r="T358" t="s">
        <v>107</v>
      </c>
      <c r="U358">
        <v>1000</v>
      </c>
      <c r="V358">
        <v>1000</v>
      </c>
    </row>
    <row r="359" spans="1:22" x14ac:dyDescent="0.3">
      <c r="A359" t="s">
        <v>463</v>
      </c>
      <c r="B359" t="s">
        <v>358</v>
      </c>
      <c r="C359">
        <v>6.63</v>
      </c>
      <c r="D359">
        <v>4.8899999999999997</v>
      </c>
      <c r="E359">
        <v>5.87</v>
      </c>
      <c r="F359">
        <v>0.53</v>
      </c>
      <c r="G359">
        <v>66.530612244897952</v>
      </c>
      <c r="H359">
        <v>28.07137954701442</v>
      </c>
      <c r="I359">
        <v>37.774627923458539</v>
      </c>
      <c r="J359">
        <v>40.614850274813186</v>
      </c>
      <c r="K359">
        <v>84.291187739463595</v>
      </c>
      <c r="L359">
        <v>20.000717666539654</v>
      </c>
      <c r="M359">
        <v>65.35774081371288</v>
      </c>
      <c r="N359">
        <v>57.719657275700712</v>
      </c>
      <c r="O359">
        <v>5.0554237288135591</v>
      </c>
      <c r="P359">
        <v>0.81457627118644105</v>
      </c>
      <c r="Q359">
        <v>358</v>
      </c>
      <c r="R359">
        <v>4</v>
      </c>
      <c r="S359" t="s">
        <v>24</v>
      </c>
      <c r="T359" t="s">
        <v>457</v>
      </c>
      <c r="U359">
        <v>1000</v>
      </c>
      <c r="V359">
        <v>1000</v>
      </c>
    </row>
    <row r="360" spans="1:22" x14ac:dyDescent="0.3">
      <c r="A360" t="s">
        <v>464</v>
      </c>
      <c r="B360" t="s">
        <v>126</v>
      </c>
      <c r="C360">
        <v>5.79</v>
      </c>
      <c r="D360">
        <v>20.53</v>
      </c>
      <c r="E360">
        <v>11.43</v>
      </c>
      <c r="F360">
        <v>2.12</v>
      </c>
      <c r="G360">
        <v>64.726100966702475</v>
      </c>
      <c r="H360">
        <v>54.907343857240917</v>
      </c>
      <c r="I360">
        <v>57.476966690290567</v>
      </c>
      <c r="J360">
        <v>58.155906695658054</v>
      </c>
      <c r="K360">
        <v>23.371647509578541</v>
      </c>
      <c r="L360">
        <v>5.0918382475647892</v>
      </c>
      <c r="M360">
        <v>91.18067745129531</v>
      </c>
      <c r="N360">
        <v>57.716034588047492</v>
      </c>
      <c r="O360">
        <v>11.362272727272726</v>
      </c>
      <c r="P360">
        <v>6.7727272727273302E-2</v>
      </c>
      <c r="Q360">
        <v>359</v>
      </c>
      <c r="R360">
        <v>21</v>
      </c>
      <c r="S360" t="s">
        <v>24</v>
      </c>
      <c r="T360" t="s">
        <v>127</v>
      </c>
      <c r="U360">
        <v>5000</v>
      </c>
      <c r="V360">
        <v>1000</v>
      </c>
    </row>
    <row r="361" spans="1:22" x14ac:dyDescent="0.3">
      <c r="A361" t="s">
        <v>465</v>
      </c>
      <c r="B361" t="s">
        <v>161</v>
      </c>
      <c r="C361">
        <v>4.34</v>
      </c>
      <c r="D361">
        <v>3.36</v>
      </c>
      <c r="E361">
        <v>4.9800000000000004</v>
      </c>
      <c r="F361">
        <v>0.41</v>
      </c>
      <c r="G361">
        <v>61.611170784103109</v>
      </c>
      <c r="H361">
        <v>25.446122168840084</v>
      </c>
      <c r="I361">
        <v>34.620836286321754</v>
      </c>
      <c r="J361">
        <v>37.26648895063353</v>
      </c>
      <c r="K361">
        <v>88.888888888888886</v>
      </c>
      <c r="L361">
        <v>18.799664344450328</v>
      </c>
      <c r="M361">
        <v>67.438026190170973</v>
      </c>
      <c r="N361">
        <v>57.71497324508173</v>
      </c>
      <c r="O361">
        <v>4.9189795918367345</v>
      </c>
      <c r="P361">
        <v>6.1020408163265927E-2</v>
      </c>
      <c r="Q361">
        <v>360</v>
      </c>
      <c r="R361">
        <v>3</v>
      </c>
      <c r="S361" t="s">
        <v>24</v>
      </c>
      <c r="T361" t="s">
        <v>162</v>
      </c>
      <c r="U361">
        <v>5000</v>
      </c>
      <c r="V361">
        <v>1000</v>
      </c>
    </row>
    <row r="362" spans="1:22" x14ac:dyDescent="0.3">
      <c r="A362" t="s">
        <v>466</v>
      </c>
      <c r="B362" t="s">
        <v>358</v>
      </c>
      <c r="C362">
        <v>6.63</v>
      </c>
      <c r="D362">
        <v>4.8899999999999997</v>
      </c>
      <c r="E362">
        <v>5.86</v>
      </c>
      <c r="F362">
        <v>0.53</v>
      </c>
      <c r="G362">
        <v>66.530612244897952</v>
      </c>
      <c r="H362">
        <v>28.07137954701442</v>
      </c>
      <c r="I362">
        <v>37.73919206236711</v>
      </c>
      <c r="J362">
        <v>40.597132344267472</v>
      </c>
      <c r="K362">
        <v>84.291187739463595</v>
      </c>
      <c r="L362">
        <v>20.006353385316576</v>
      </c>
      <c r="M362">
        <v>65.347979462454077</v>
      </c>
      <c r="N362">
        <v>57.708357972613157</v>
      </c>
      <c r="O362">
        <v>5.0554237288135591</v>
      </c>
      <c r="P362">
        <v>0.80457627118644126</v>
      </c>
      <c r="Q362">
        <v>361</v>
      </c>
      <c r="R362">
        <v>5</v>
      </c>
      <c r="S362" t="s">
        <v>24</v>
      </c>
      <c r="T362" t="s">
        <v>457</v>
      </c>
      <c r="U362">
        <v>1000</v>
      </c>
      <c r="V362">
        <v>1000</v>
      </c>
    </row>
    <row r="363" spans="1:22" x14ac:dyDescent="0.3">
      <c r="A363" t="s">
        <v>467</v>
      </c>
      <c r="B363" t="s">
        <v>272</v>
      </c>
      <c r="C363">
        <v>1.62</v>
      </c>
      <c r="D363">
        <v>13.99</v>
      </c>
      <c r="E363">
        <v>12.69</v>
      </c>
      <c r="F363">
        <v>1.78</v>
      </c>
      <c r="G363">
        <v>55.767991407089148</v>
      </c>
      <c r="H363">
        <v>43.685655456417308</v>
      </c>
      <c r="I363">
        <v>61.941885187810051</v>
      </c>
      <c r="J363">
        <v>55.230237512248053</v>
      </c>
      <c r="K363">
        <v>36.398467432950184</v>
      </c>
      <c r="L363">
        <v>9.2860983055848045</v>
      </c>
      <c r="M363">
        <v>83.916005930647856</v>
      </c>
      <c r="N363">
        <v>57.693737097023536</v>
      </c>
      <c r="O363">
        <v>10.044583333333334</v>
      </c>
      <c r="P363">
        <v>2.6454166666666659</v>
      </c>
      <c r="Q363">
        <v>362</v>
      </c>
      <c r="R363">
        <v>8</v>
      </c>
      <c r="S363" t="s">
        <v>24</v>
      </c>
      <c r="T363" t="s">
        <v>291</v>
      </c>
      <c r="U363">
        <v>5000</v>
      </c>
      <c r="V363">
        <v>1000</v>
      </c>
    </row>
    <row r="364" spans="1:22" x14ac:dyDescent="0.3">
      <c r="A364" t="s">
        <v>468</v>
      </c>
      <c r="B364" t="s">
        <v>383</v>
      </c>
      <c r="C364">
        <v>3.57</v>
      </c>
      <c r="D364">
        <v>7.13</v>
      </c>
      <c r="E364">
        <v>6.03</v>
      </c>
      <c r="F364">
        <v>0.78</v>
      </c>
      <c r="G364">
        <v>59.957035445757242</v>
      </c>
      <c r="H364">
        <v>31.914893617021278</v>
      </c>
      <c r="I364">
        <v>38.341601700921331</v>
      </c>
      <c r="J364">
        <v>40.736676024718498</v>
      </c>
      <c r="K364">
        <v>74.712643678160916</v>
      </c>
      <c r="L364">
        <v>14.690650491134379</v>
      </c>
      <c r="M364">
        <v>74.555046953118577</v>
      </c>
      <c r="N364">
        <v>57.685260670179119</v>
      </c>
      <c r="O364">
        <v>6.1480952380952392</v>
      </c>
      <c r="P364">
        <v>-0.11809523809523892</v>
      </c>
      <c r="Q364">
        <v>363</v>
      </c>
      <c r="R364">
        <v>3</v>
      </c>
      <c r="S364" t="s">
        <v>24</v>
      </c>
      <c r="T364" t="s">
        <v>384</v>
      </c>
      <c r="U364">
        <v>5000</v>
      </c>
      <c r="V364">
        <v>1000</v>
      </c>
    </row>
    <row r="365" spans="1:22" x14ac:dyDescent="0.3">
      <c r="A365" t="s">
        <v>469</v>
      </c>
      <c r="B365" t="s">
        <v>195</v>
      </c>
      <c r="C365">
        <v>7.34</v>
      </c>
      <c r="D365">
        <v>19.37</v>
      </c>
      <c r="E365">
        <v>12.22</v>
      </c>
      <c r="F365">
        <v>2.09</v>
      </c>
      <c r="G365">
        <v>68.055853920515574</v>
      </c>
      <c r="H365">
        <v>52.916952642415936</v>
      </c>
      <c r="I365">
        <v>60.276399716513104</v>
      </c>
      <c r="J365">
        <v>59.624456435084454</v>
      </c>
      <c r="K365">
        <v>24.521072796934874</v>
      </c>
      <c r="L365">
        <v>7.5704216181207054</v>
      </c>
      <c r="M365">
        <v>86.887645122697151</v>
      </c>
      <c r="N365">
        <v>57.66440769745023</v>
      </c>
      <c r="O365">
        <v>10.412619047619048</v>
      </c>
      <c r="P365">
        <v>1.807380952380953</v>
      </c>
      <c r="Q365">
        <v>364</v>
      </c>
      <c r="R365">
        <v>13</v>
      </c>
      <c r="S365" t="s">
        <v>24</v>
      </c>
      <c r="T365" t="s">
        <v>196</v>
      </c>
      <c r="U365">
        <v>1000</v>
      </c>
      <c r="V365">
        <v>1000</v>
      </c>
    </row>
    <row r="366" spans="1:22" x14ac:dyDescent="0.3">
      <c r="A366" t="s">
        <v>470</v>
      </c>
      <c r="B366" t="s">
        <v>126</v>
      </c>
      <c r="C366">
        <v>2.79</v>
      </c>
      <c r="D366">
        <v>17.54</v>
      </c>
      <c r="E366">
        <v>12.13</v>
      </c>
      <c r="F366">
        <v>2.0299999999999998</v>
      </c>
      <c r="G366">
        <v>58.281417830290003</v>
      </c>
      <c r="H366">
        <v>49.776938915579962</v>
      </c>
      <c r="I366">
        <v>59.957476966690294</v>
      </c>
      <c r="J366">
        <v>56.568103724077133</v>
      </c>
      <c r="K366">
        <v>26.819923371647512</v>
      </c>
      <c r="L366">
        <v>5.4586123213622084</v>
      </c>
      <c r="M366">
        <v>90.545406120579159</v>
      </c>
      <c r="N366">
        <v>57.62538423509524</v>
      </c>
      <c r="O366">
        <v>11.362272727272726</v>
      </c>
      <c r="P366">
        <v>0.76772727272727437</v>
      </c>
      <c r="Q366">
        <v>365</v>
      </c>
      <c r="R366">
        <v>22</v>
      </c>
      <c r="S366" t="s">
        <v>24</v>
      </c>
      <c r="T366" t="s">
        <v>340</v>
      </c>
      <c r="U366">
        <v>1000</v>
      </c>
      <c r="V366">
        <v>1000</v>
      </c>
    </row>
    <row r="367" spans="1:22" x14ac:dyDescent="0.3">
      <c r="A367" t="s">
        <v>471</v>
      </c>
      <c r="B367" t="s">
        <v>202</v>
      </c>
      <c r="C367">
        <v>9</v>
      </c>
      <c r="D367">
        <v>17.59</v>
      </c>
      <c r="E367">
        <v>10.35</v>
      </c>
      <c r="F367">
        <v>1.73</v>
      </c>
      <c r="G367">
        <v>71.621911922663799</v>
      </c>
      <c r="H367">
        <v>49.862731640356898</v>
      </c>
      <c r="I367">
        <v>53.649893692416725</v>
      </c>
      <c r="J367">
        <v>56.108148722848192</v>
      </c>
      <c r="K367">
        <v>38.314176245210717</v>
      </c>
      <c r="L367">
        <v>11.624671767658851</v>
      </c>
      <c r="M367">
        <v>79.865477877103359</v>
      </c>
      <c r="N367">
        <v>57.598987892002619</v>
      </c>
      <c r="O367">
        <v>10.023387096774194</v>
      </c>
      <c r="P367">
        <v>0.32661290322580605</v>
      </c>
      <c r="Q367">
        <v>366</v>
      </c>
      <c r="R367">
        <v>10</v>
      </c>
      <c r="S367" t="s">
        <v>24</v>
      </c>
      <c r="T367" t="s">
        <v>107</v>
      </c>
      <c r="U367">
        <v>1000</v>
      </c>
      <c r="V367">
        <v>1000</v>
      </c>
    </row>
    <row r="368" spans="1:22" x14ac:dyDescent="0.3">
      <c r="A368" t="s">
        <v>472</v>
      </c>
      <c r="B368" t="s">
        <v>77</v>
      </c>
      <c r="C368">
        <v>2.88</v>
      </c>
      <c r="D368">
        <v>17.52</v>
      </c>
      <c r="E368">
        <v>10.57</v>
      </c>
      <c r="F368">
        <v>1.94</v>
      </c>
      <c r="G368">
        <v>58.474758324382378</v>
      </c>
      <c r="H368">
        <v>49.74262182566919</v>
      </c>
      <c r="I368">
        <v>54.429482636428062</v>
      </c>
      <c r="J368">
        <v>53.832479530791261</v>
      </c>
      <c r="K368">
        <v>30.268199233716466</v>
      </c>
      <c r="L368">
        <v>4.369994803260461</v>
      </c>
      <c r="M368">
        <v>92.430946971940926</v>
      </c>
      <c r="N368">
        <v>57.59102631680998</v>
      </c>
      <c r="O368">
        <v>9.0435999999999996</v>
      </c>
      <c r="P368">
        <v>1.5264000000000006</v>
      </c>
      <c r="Q368">
        <v>367</v>
      </c>
      <c r="R368">
        <v>6</v>
      </c>
      <c r="S368" t="s">
        <v>24</v>
      </c>
      <c r="T368" t="s">
        <v>78</v>
      </c>
      <c r="U368">
        <v>1000</v>
      </c>
      <c r="V368">
        <v>1000</v>
      </c>
    </row>
    <row r="369" spans="1:22" x14ac:dyDescent="0.3">
      <c r="A369" t="s">
        <v>473</v>
      </c>
      <c r="B369" t="s">
        <v>192</v>
      </c>
      <c r="C369">
        <v>5.04</v>
      </c>
      <c r="D369">
        <v>4.5599999999999996</v>
      </c>
      <c r="E369">
        <v>5.56</v>
      </c>
      <c r="F369">
        <v>0.54</v>
      </c>
      <c r="G369">
        <v>63.114930182599352</v>
      </c>
      <c r="H369">
        <v>27.50514756348662</v>
      </c>
      <c r="I369">
        <v>36.676116229624377</v>
      </c>
      <c r="J369">
        <v>39.21258842037804</v>
      </c>
      <c r="K369">
        <v>83.908045977011497</v>
      </c>
      <c r="L369">
        <v>18.489520309695113</v>
      </c>
      <c r="M369">
        <v>67.975211416031414</v>
      </c>
      <c r="N369">
        <v>57.577108558449751</v>
      </c>
      <c r="O369">
        <v>4.4280373831775703</v>
      </c>
      <c r="P369">
        <v>1.1319626168224293</v>
      </c>
      <c r="Q369">
        <v>368</v>
      </c>
      <c r="R369">
        <v>96</v>
      </c>
      <c r="S369" t="s">
        <v>24</v>
      </c>
      <c r="T369" t="s">
        <v>45</v>
      </c>
      <c r="U369">
        <v>5000</v>
      </c>
      <c r="V369">
        <v>1000</v>
      </c>
    </row>
    <row r="370" spans="1:22" x14ac:dyDescent="0.3">
      <c r="A370" t="s">
        <v>474</v>
      </c>
      <c r="B370" t="s">
        <v>138</v>
      </c>
      <c r="C370">
        <v>0.71</v>
      </c>
      <c r="D370">
        <v>10.47</v>
      </c>
      <c r="E370">
        <v>10.07</v>
      </c>
      <c r="F370">
        <v>1.45</v>
      </c>
      <c r="G370">
        <v>53.81310418904404</v>
      </c>
      <c r="H370">
        <v>37.645847632120798</v>
      </c>
      <c r="I370">
        <v>52.657689581856836</v>
      </c>
      <c r="J370">
        <v>48.385219918373465</v>
      </c>
      <c r="K370">
        <v>49.042145593869726</v>
      </c>
      <c r="L370">
        <v>9.0191515326714065</v>
      </c>
      <c r="M370">
        <v>84.378371304250408</v>
      </c>
      <c r="N370">
        <v>57.547739183716764</v>
      </c>
      <c r="O370">
        <v>9.219019607843137</v>
      </c>
      <c r="P370">
        <v>0.85098039215686327</v>
      </c>
      <c r="Q370">
        <v>369</v>
      </c>
      <c r="R370">
        <v>5</v>
      </c>
      <c r="S370" t="s">
        <v>24</v>
      </c>
      <c r="T370" t="s">
        <v>134</v>
      </c>
      <c r="U370">
        <v>1000</v>
      </c>
      <c r="V370">
        <v>1000</v>
      </c>
    </row>
    <row r="371" spans="1:22" x14ac:dyDescent="0.3">
      <c r="A371" t="s">
        <v>475</v>
      </c>
      <c r="B371" t="s">
        <v>148</v>
      </c>
      <c r="C371">
        <v>-0.61</v>
      </c>
      <c r="D371">
        <v>14.29</v>
      </c>
      <c r="E371">
        <v>12.64</v>
      </c>
      <c r="F371">
        <v>1.77</v>
      </c>
      <c r="G371">
        <v>50.977443609022558</v>
      </c>
      <c r="H371">
        <v>44.200411805078929</v>
      </c>
      <c r="I371">
        <v>61.764705882352942</v>
      </c>
      <c r="J371">
        <v>54.337965204504663</v>
      </c>
      <c r="K371">
        <v>36.781609195402297</v>
      </c>
      <c r="L371">
        <v>8.8581188170160541</v>
      </c>
      <c r="M371">
        <v>84.657288149446273</v>
      </c>
      <c r="N371">
        <v>57.528706938464481</v>
      </c>
      <c r="O371">
        <v>10.461</v>
      </c>
      <c r="P371">
        <v>2.1790000000000003</v>
      </c>
      <c r="Q371">
        <v>370</v>
      </c>
      <c r="R371">
        <v>8</v>
      </c>
      <c r="S371" t="s">
        <v>24</v>
      </c>
      <c r="T371" t="s">
        <v>107</v>
      </c>
      <c r="U371">
        <v>5000</v>
      </c>
      <c r="V371">
        <v>1000</v>
      </c>
    </row>
    <row r="372" spans="1:22" x14ac:dyDescent="0.3">
      <c r="A372" t="s">
        <v>476</v>
      </c>
      <c r="B372" t="s">
        <v>202</v>
      </c>
      <c r="C372">
        <v>1.73</v>
      </c>
      <c r="D372">
        <v>14.88</v>
      </c>
      <c r="E372">
        <v>10.5</v>
      </c>
      <c r="F372">
        <v>1.78</v>
      </c>
      <c r="G372">
        <v>56.004296455424274</v>
      </c>
      <c r="H372">
        <v>45.212765957446813</v>
      </c>
      <c r="I372">
        <v>54.181431608788088</v>
      </c>
      <c r="J372">
        <v>51.855404882712946</v>
      </c>
      <c r="K372">
        <v>36.398467432950184</v>
      </c>
      <c r="L372">
        <v>5.776632962540095</v>
      </c>
      <c r="M372">
        <v>89.994578212203436</v>
      </c>
      <c r="N372">
        <v>57.525963852644878</v>
      </c>
      <c r="O372">
        <v>10.023387096774194</v>
      </c>
      <c r="P372">
        <v>0.47661290322580641</v>
      </c>
      <c r="Q372">
        <v>371</v>
      </c>
      <c r="R372">
        <v>11</v>
      </c>
      <c r="S372" t="s">
        <v>24</v>
      </c>
      <c r="T372" t="s">
        <v>78</v>
      </c>
      <c r="U372">
        <v>1000</v>
      </c>
      <c r="V372">
        <v>1000</v>
      </c>
    </row>
    <row r="373" spans="1:22" x14ac:dyDescent="0.3">
      <c r="A373" t="s">
        <v>477</v>
      </c>
      <c r="B373" t="s">
        <v>77</v>
      </c>
      <c r="C373">
        <v>4.3099999999999996</v>
      </c>
      <c r="D373">
        <v>16.010000000000002</v>
      </c>
      <c r="E373">
        <v>11.87</v>
      </c>
      <c r="F373">
        <v>1.91</v>
      </c>
      <c r="G373">
        <v>61.546723952738994</v>
      </c>
      <c r="H373">
        <v>47.151681537405636</v>
      </c>
      <c r="I373">
        <v>59.036144578313255</v>
      </c>
      <c r="J373">
        <v>55.972921540926116</v>
      </c>
      <c r="K373">
        <v>31.417624521072796</v>
      </c>
      <c r="L373">
        <v>7.689394392118249</v>
      </c>
      <c r="M373">
        <v>86.681578233415991</v>
      </c>
      <c r="N373">
        <v>57.511261459085254</v>
      </c>
      <c r="O373">
        <v>9.0435999999999996</v>
      </c>
      <c r="P373">
        <v>2.8263999999999996</v>
      </c>
      <c r="Q373">
        <v>372</v>
      </c>
      <c r="R373">
        <v>7</v>
      </c>
      <c r="S373" t="s">
        <v>24</v>
      </c>
      <c r="T373" t="s">
        <v>78</v>
      </c>
      <c r="U373">
        <v>5000</v>
      </c>
      <c r="V373">
        <v>1000</v>
      </c>
    </row>
    <row r="374" spans="1:22" x14ac:dyDescent="0.3">
      <c r="A374" t="s">
        <v>478</v>
      </c>
      <c r="B374" t="s">
        <v>148</v>
      </c>
      <c r="C374">
        <v>3.84</v>
      </c>
      <c r="D374">
        <v>12.54</v>
      </c>
      <c r="E374">
        <v>10.57</v>
      </c>
      <c r="F374">
        <v>1.59</v>
      </c>
      <c r="G374">
        <v>60.537056928034374</v>
      </c>
      <c r="H374">
        <v>41.19766643788607</v>
      </c>
      <c r="I374">
        <v>54.429482636428062</v>
      </c>
      <c r="J374">
        <v>51.68145263518673</v>
      </c>
      <c r="K374">
        <v>43.678160919540218</v>
      </c>
      <c r="L374">
        <v>9.8859786918133636</v>
      </c>
      <c r="M374">
        <v>82.876982623235946</v>
      </c>
      <c r="N374">
        <v>57.479512203287413</v>
      </c>
      <c r="O374">
        <v>10.461</v>
      </c>
      <c r="P374">
        <v>0.10899999999999999</v>
      </c>
      <c r="Q374">
        <v>373</v>
      </c>
      <c r="R374">
        <v>9</v>
      </c>
      <c r="S374" t="s">
        <v>24</v>
      </c>
      <c r="T374" t="s">
        <v>78</v>
      </c>
      <c r="U374">
        <v>5000</v>
      </c>
      <c r="V374">
        <v>1000</v>
      </c>
    </row>
    <row r="375" spans="1:22" x14ac:dyDescent="0.3">
      <c r="A375" t="s">
        <v>479</v>
      </c>
      <c r="B375" t="s">
        <v>126</v>
      </c>
      <c r="C375">
        <v>1.65</v>
      </c>
      <c r="D375">
        <v>19.89</v>
      </c>
      <c r="E375">
        <v>10.35</v>
      </c>
      <c r="F375">
        <v>2.11</v>
      </c>
      <c r="G375">
        <v>55.832438238453278</v>
      </c>
      <c r="H375">
        <v>53.809196980096097</v>
      </c>
      <c r="I375">
        <v>53.649893692416725</v>
      </c>
      <c r="J375">
        <v>54.134193587927847</v>
      </c>
      <c r="K375">
        <v>23.754789272030653</v>
      </c>
      <c r="L375">
        <v>1.2167157585359389</v>
      </c>
      <c r="M375">
        <v>97.892586487846046</v>
      </c>
      <c r="N375">
        <v>57.478940733933101</v>
      </c>
      <c r="O375">
        <v>11.362272727272726</v>
      </c>
      <c r="P375">
        <v>-1.0122727272727268</v>
      </c>
      <c r="Q375">
        <v>374</v>
      </c>
      <c r="R375">
        <v>23</v>
      </c>
      <c r="S375" t="s">
        <v>24</v>
      </c>
      <c r="T375" t="s">
        <v>127</v>
      </c>
      <c r="U375">
        <v>5000</v>
      </c>
      <c r="V375">
        <v>1000</v>
      </c>
    </row>
    <row r="376" spans="1:22" x14ac:dyDescent="0.3">
      <c r="A376" t="s">
        <v>480</v>
      </c>
      <c r="B376" t="s">
        <v>126</v>
      </c>
      <c r="C376">
        <v>1.65</v>
      </c>
      <c r="D376">
        <v>19.89</v>
      </c>
      <c r="E376">
        <v>10.35</v>
      </c>
      <c r="F376">
        <v>2.11</v>
      </c>
      <c r="G376">
        <v>55.832438238453278</v>
      </c>
      <c r="H376">
        <v>53.809196980096097</v>
      </c>
      <c r="I376">
        <v>53.649893692416725</v>
      </c>
      <c r="J376">
        <v>54.134193587927847</v>
      </c>
      <c r="K376">
        <v>23.754789272030653</v>
      </c>
      <c r="L376">
        <v>1.2167157585359389</v>
      </c>
      <c r="M376">
        <v>97.892586487846046</v>
      </c>
      <c r="N376">
        <v>57.478940733933101</v>
      </c>
      <c r="O376">
        <v>11.362272727272726</v>
      </c>
      <c r="P376">
        <v>-1.0122727272727268</v>
      </c>
      <c r="Q376">
        <v>374</v>
      </c>
      <c r="R376">
        <v>23</v>
      </c>
      <c r="S376" t="s">
        <v>24</v>
      </c>
      <c r="T376" t="s">
        <v>127</v>
      </c>
      <c r="U376">
        <v>5000</v>
      </c>
      <c r="V376">
        <v>1000</v>
      </c>
    </row>
    <row r="377" spans="1:22" x14ac:dyDescent="0.3">
      <c r="A377" t="s">
        <v>481</v>
      </c>
      <c r="B377" t="s">
        <v>138</v>
      </c>
      <c r="C377">
        <v>0.71</v>
      </c>
      <c r="D377">
        <v>10.47</v>
      </c>
      <c r="E377">
        <v>9.91</v>
      </c>
      <c r="F377">
        <v>1.45</v>
      </c>
      <c r="G377">
        <v>53.81310418904404</v>
      </c>
      <c r="H377">
        <v>37.645847632120798</v>
      </c>
      <c r="I377">
        <v>52.090715804394037</v>
      </c>
      <c r="J377">
        <v>48.101733029642062</v>
      </c>
      <c r="K377">
        <v>49.042145593869726</v>
      </c>
      <c r="L377">
        <v>8.8788233345726173</v>
      </c>
      <c r="M377">
        <v>84.621426873092105</v>
      </c>
      <c r="N377">
        <v>57.466759631561487</v>
      </c>
      <c r="O377">
        <v>9.219019607843137</v>
      </c>
      <c r="P377">
        <v>0.69098039215686313</v>
      </c>
      <c r="Q377">
        <v>376</v>
      </c>
      <c r="R377">
        <v>6</v>
      </c>
      <c r="S377" t="s">
        <v>24</v>
      </c>
      <c r="T377" t="s">
        <v>134</v>
      </c>
      <c r="U377">
        <v>1000</v>
      </c>
      <c r="V377">
        <v>1000</v>
      </c>
    </row>
    <row r="378" spans="1:22" x14ac:dyDescent="0.3">
      <c r="A378" t="s">
        <v>482</v>
      </c>
      <c r="B378" t="s">
        <v>192</v>
      </c>
      <c r="C378">
        <v>5.14</v>
      </c>
      <c r="D378">
        <v>3.74</v>
      </c>
      <c r="E378">
        <v>4.2300000000000004</v>
      </c>
      <c r="F378">
        <v>0.34</v>
      </c>
      <c r="G378">
        <v>63.329752953813099</v>
      </c>
      <c r="H378">
        <v>26.098146877144824</v>
      </c>
      <c r="I378">
        <v>31.963146704464918</v>
      </c>
      <c r="J378">
        <v>36.476968006138527</v>
      </c>
      <c r="K378">
        <v>91.570881226053629</v>
      </c>
      <c r="L378">
        <v>20.018552651745807</v>
      </c>
      <c r="M378">
        <v>65.326849713183577</v>
      </c>
      <c r="N378">
        <v>57.462916737878565</v>
      </c>
      <c r="O378">
        <v>4.4280373831775703</v>
      </c>
      <c r="P378">
        <v>-0.19803738317756991</v>
      </c>
      <c r="Q378">
        <v>377</v>
      </c>
      <c r="R378">
        <v>97</v>
      </c>
      <c r="S378" t="s">
        <v>24</v>
      </c>
      <c r="T378" t="s">
        <v>213</v>
      </c>
      <c r="U378">
        <v>1000</v>
      </c>
      <c r="V378">
        <v>1000</v>
      </c>
    </row>
    <row r="379" spans="1:22" x14ac:dyDescent="0.3">
      <c r="A379" t="s">
        <v>483</v>
      </c>
      <c r="B379" t="s">
        <v>229</v>
      </c>
      <c r="C379">
        <v>7.08</v>
      </c>
      <c r="D379">
        <v>4.8899999999999997</v>
      </c>
      <c r="E379">
        <v>5.43</v>
      </c>
      <c r="F379">
        <v>0.49</v>
      </c>
      <c r="G379">
        <v>67.497314715359821</v>
      </c>
      <c r="H379">
        <v>28.07137954701442</v>
      </c>
      <c r="I379">
        <v>36.215450035435858</v>
      </c>
      <c r="J379">
        <v>40.028601824894224</v>
      </c>
      <c r="K379">
        <v>85.82375478927203</v>
      </c>
      <c r="L379">
        <v>20.813798731738945</v>
      </c>
      <c r="M379">
        <v>63.949443098115481</v>
      </c>
      <c r="N379">
        <v>57.457600384293983</v>
      </c>
      <c r="O379">
        <v>5.1221052631578941</v>
      </c>
      <c r="P379">
        <v>0.30789473684210567</v>
      </c>
      <c r="Q379">
        <v>378</v>
      </c>
      <c r="R379">
        <v>9</v>
      </c>
      <c r="S379" t="s">
        <v>24</v>
      </c>
      <c r="T379" t="s">
        <v>230</v>
      </c>
      <c r="U379">
        <v>1000</v>
      </c>
      <c r="V379">
        <v>1000</v>
      </c>
    </row>
    <row r="380" spans="1:22" x14ac:dyDescent="0.3">
      <c r="A380" t="s">
        <v>484</v>
      </c>
      <c r="B380" t="s">
        <v>51</v>
      </c>
      <c r="C380">
        <v>8.7799999999999994</v>
      </c>
      <c r="D380">
        <v>23.4</v>
      </c>
      <c r="E380">
        <v>9.6199999999999992</v>
      </c>
      <c r="F380">
        <v>1.9</v>
      </c>
      <c r="G380">
        <v>71.149301825993547</v>
      </c>
      <c r="H380">
        <v>59.831846259437206</v>
      </c>
      <c r="I380">
        <v>51.063075832742719</v>
      </c>
      <c r="J380">
        <v>57.710952159401231</v>
      </c>
      <c r="K380">
        <v>31.800766283524908</v>
      </c>
      <c r="L380">
        <v>10.070026563594508</v>
      </c>
      <c r="M380">
        <v>82.558202358286081</v>
      </c>
      <c r="N380">
        <v>57.445218240153359</v>
      </c>
      <c r="O380">
        <v>12.127586206896551</v>
      </c>
      <c r="P380">
        <v>-2.5075862068965513</v>
      </c>
      <c r="Q380">
        <v>379</v>
      </c>
      <c r="R380">
        <v>20</v>
      </c>
      <c r="S380" t="s">
        <v>24</v>
      </c>
      <c r="T380" t="s">
        <v>52</v>
      </c>
      <c r="U380">
        <v>5000</v>
      </c>
      <c r="V380">
        <v>1000</v>
      </c>
    </row>
    <row r="381" spans="1:22" x14ac:dyDescent="0.3">
      <c r="A381" t="s">
        <v>485</v>
      </c>
      <c r="B381" t="s">
        <v>44</v>
      </c>
      <c r="C381">
        <v>4.62</v>
      </c>
      <c r="D381">
        <v>5.62</v>
      </c>
      <c r="E381">
        <v>6.52</v>
      </c>
      <c r="F381">
        <v>0.74</v>
      </c>
      <c r="G381">
        <v>62.212674543501613</v>
      </c>
      <c r="H381">
        <v>29.323953328757725</v>
      </c>
      <c r="I381">
        <v>40.077958894401135</v>
      </c>
      <c r="J381">
        <v>41.278700354528212</v>
      </c>
      <c r="K381">
        <v>76.245210727969351</v>
      </c>
      <c r="L381">
        <v>16.769328428779172</v>
      </c>
      <c r="M381">
        <v>70.954671152545302</v>
      </c>
      <c r="N381">
        <v>57.439320647392769</v>
      </c>
      <c r="O381">
        <v>7.5967647058823538</v>
      </c>
      <c r="P381">
        <v>-1.0767647058823542</v>
      </c>
      <c r="Q381">
        <v>380</v>
      </c>
      <c r="R381">
        <v>18</v>
      </c>
      <c r="S381" t="s">
        <v>24</v>
      </c>
      <c r="T381" t="s">
        <v>45</v>
      </c>
      <c r="U381">
        <v>1000</v>
      </c>
      <c r="V381">
        <v>1000</v>
      </c>
    </row>
    <row r="382" spans="1:22" x14ac:dyDescent="0.3">
      <c r="A382" t="s">
        <v>486</v>
      </c>
      <c r="B382" t="s">
        <v>44</v>
      </c>
      <c r="C382">
        <v>4.62</v>
      </c>
      <c r="D382">
        <v>5.62</v>
      </c>
      <c r="E382">
        <v>6.52</v>
      </c>
      <c r="F382">
        <v>0.74</v>
      </c>
      <c r="G382">
        <v>62.212674543501613</v>
      </c>
      <c r="H382">
        <v>29.323953328757725</v>
      </c>
      <c r="I382">
        <v>40.077958894401135</v>
      </c>
      <c r="J382">
        <v>41.278700354528212</v>
      </c>
      <c r="K382">
        <v>76.245210727969351</v>
      </c>
      <c r="L382">
        <v>16.769328428779172</v>
      </c>
      <c r="M382">
        <v>70.954671152545302</v>
      </c>
      <c r="N382">
        <v>57.439320647392769</v>
      </c>
      <c r="O382">
        <v>7.5967647058823538</v>
      </c>
      <c r="P382">
        <v>-1.0767647058823542</v>
      </c>
      <c r="Q382">
        <v>380</v>
      </c>
      <c r="R382">
        <v>18</v>
      </c>
      <c r="S382" t="s">
        <v>24</v>
      </c>
      <c r="T382" t="s">
        <v>45</v>
      </c>
      <c r="U382">
        <v>1000</v>
      </c>
      <c r="V382">
        <v>1000</v>
      </c>
    </row>
    <row r="383" spans="1:22" x14ac:dyDescent="0.3">
      <c r="A383" t="s">
        <v>487</v>
      </c>
      <c r="B383" t="s">
        <v>199</v>
      </c>
      <c r="C383">
        <v>2.92</v>
      </c>
      <c r="D383">
        <v>17.88</v>
      </c>
      <c r="E383">
        <v>9.76</v>
      </c>
      <c r="F383">
        <v>1.89</v>
      </c>
      <c r="G383">
        <v>58.560687432867887</v>
      </c>
      <c r="H383">
        <v>50.360329444063147</v>
      </c>
      <c r="I383">
        <v>51.559177888022667</v>
      </c>
      <c r="J383">
        <v>52.599825263803851</v>
      </c>
      <c r="K383">
        <v>32.18390804597702</v>
      </c>
      <c r="L383">
        <v>4.4291504949726077</v>
      </c>
      <c r="M383">
        <v>92.328486308338597</v>
      </c>
      <c r="N383">
        <v>57.428011220480826</v>
      </c>
      <c r="O383">
        <v>9.83</v>
      </c>
      <c r="P383">
        <v>-7.0000000000000284E-2</v>
      </c>
      <c r="Q383">
        <v>382</v>
      </c>
      <c r="R383">
        <v>8</v>
      </c>
      <c r="S383" t="s">
        <v>24</v>
      </c>
      <c r="T383" t="s">
        <v>107</v>
      </c>
      <c r="U383">
        <v>5000</v>
      </c>
      <c r="V383">
        <v>1000</v>
      </c>
    </row>
    <row r="384" spans="1:22" x14ac:dyDescent="0.3">
      <c r="A384" t="s">
        <v>488</v>
      </c>
      <c r="B384" t="s">
        <v>229</v>
      </c>
      <c r="C384">
        <v>7.08</v>
      </c>
      <c r="D384">
        <v>4.8899999999999997</v>
      </c>
      <c r="E384">
        <v>5.4</v>
      </c>
      <c r="F384">
        <v>0.49</v>
      </c>
      <c r="G384">
        <v>67.497314715359821</v>
      </c>
      <c r="H384">
        <v>28.07137954701442</v>
      </c>
      <c r="I384">
        <v>36.109142452161585</v>
      </c>
      <c r="J384">
        <v>39.975448033257081</v>
      </c>
      <c r="K384">
        <v>85.82375478927203</v>
      </c>
      <c r="L384">
        <v>20.833576083020976</v>
      </c>
      <c r="M384">
        <v>63.915187720855869</v>
      </c>
      <c r="N384">
        <v>57.422459644160519</v>
      </c>
      <c r="O384">
        <v>5.1221052631578941</v>
      </c>
      <c r="P384">
        <v>0.2778947368421063</v>
      </c>
      <c r="Q384">
        <v>383</v>
      </c>
      <c r="R384">
        <v>10</v>
      </c>
      <c r="S384" t="s">
        <v>24</v>
      </c>
      <c r="T384" t="s">
        <v>230</v>
      </c>
      <c r="U384">
        <v>1000</v>
      </c>
      <c r="V384">
        <v>1000</v>
      </c>
    </row>
    <row r="385" spans="1:22" x14ac:dyDescent="0.3">
      <c r="A385" t="s">
        <v>489</v>
      </c>
      <c r="B385" t="s">
        <v>229</v>
      </c>
      <c r="C385">
        <v>7.04</v>
      </c>
      <c r="D385">
        <v>4.87</v>
      </c>
      <c r="E385">
        <v>5.39</v>
      </c>
      <c r="F385">
        <v>0.49</v>
      </c>
      <c r="G385">
        <v>67.411385606874319</v>
      </c>
      <c r="H385">
        <v>28.037062457103641</v>
      </c>
      <c r="I385">
        <v>36.073706591070156</v>
      </c>
      <c r="J385">
        <v>39.930249154041036</v>
      </c>
      <c r="K385">
        <v>85.82375478927203</v>
      </c>
      <c r="L385">
        <v>20.804547173379181</v>
      </c>
      <c r="M385">
        <v>63.965467267243788</v>
      </c>
      <c r="N385">
        <v>57.412430091149467</v>
      </c>
      <c r="O385">
        <v>5.1221052631578941</v>
      </c>
      <c r="P385">
        <v>0.26789473684210563</v>
      </c>
      <c r="Q385">
        <v>384</v>
      </c>
      <c r="R385">
        <v>11</v>
      </c>
      <c r="S385" t="s">
        <v>24</v>
      </c>
      <c r="T385" t="s">
        <v>230</v>
      </c>
      <c r="U385">
        <v>1000</v>
      </c>
      <c r="V385">
        <v>1000</v>
      </c>
    </row>
    <row r="386" spans="1:22" x14ac:dyDescent="0.3">
      <c r="A386" t="s">
        <v>490</v>
      </c>
      <c r="B386" t="s">
        <v>202</v>
      </c>
      <c r="C386">
        <v>0.83</v>
      </c>
      <c r="D386">
        <v>16.57</v>
      </c>
      <c r="E386">
        <v>14.36</v>
      </c>
      <c r="F386">
        <v>1.98</v>
      </c>
      <c r="G386">
        <v>54.070891514500531</v>
      </c>
      <c r="H386">
        <v>48.112560054907348</v>
      </c>
      <c r="I386">
        <v>67.859673990077951</v>
      </c>
      <c r="J386">
        <v>59.177783314411286</v>
      </c>
      <c r="K386">
        <v>28.735632183908045</v>
      </c>
      <c r="L386">
        <v>10.129007393864562</v>
      </c>
      <c r="M386">
        <v>82.456044563585749</v>
      </c>
      <c r="N386">
        <v>57.386810844079093</v>
      </c>
      <c r="O386">
        <v>10.023387096774194</v>
      </c>
      <c r="P386">
        <v>4.3366129032258058</v>
      </c>
      <c r="Q386">
        <v>385</v>
      </c>
      <c r="R386">
        <v>12</v>
      </c>
      <c r="S386" t="s">
        <v>24</v>
      </c>
      <c r="T386" t="s">
        <v>107</v>
      </c>
      <c r="U386">
        <v>1000</v>
      </c>
      <c r="V386">
        <v>1000</v>
      </c>
    </row>
    <row r="387" spans="1:22" x14ac:dyDescent="0.3">
      <c r="A387" t="s">
        <v>491</v>
      </c>
      <c r="B387" t="s">
        <v>229</v>
      </c>
      <c r="C387">
        <v>7.09</v>
      </c>
      <c r="D387">
        <v>4.9000000000000004</v>
      </c>
      <c r="E387">
        <v>5.36</v>
      </c>
      <c r="F387">
        <v>0.49</v>
      </c>
      <c r="G387">
        <v>67.518796992481199</v>
      </c>
      <c r="H387">
        <v>28.088538091969806</v>
      </c>
      <c r="I387">
        <v>35.967399007795883</v>
      </c>
      <c r="J387">
        <v>39.914020329985121</v>
      </c>
      <c r="K387">
        <v>85.82375478927203</v>
      </c>
      <c r="L387">
        <v>20.865891150712503</v>
      </c>
      <c r="M387">
        <v>63.859216381764114</v>
      </c>
      <c r="N387">
        <v>57.377752957751596</v>
      </c>
      <c r="O387">
        <v>5.1221052631578941</v>
      </c>
      <c r="P387">
        <v>0.23789473684210627</v>
      </c>
      <c r="Q387">
        <v>386</v>
      </c>
      <c r="R387">
        <v>12</v>
      </c>
      <c r="S387" t="s">
        <v>24</v>
      </c>
      <c r="T387" t="s">
        <v>230</v>
      </c>
      <c r="U387">
        <v>1000</v>
      </c>
      <c r="V387">
        <v>1000</v>
      </c>
    </row>
    <row r="388" spans="1:22" x14ac:dyDescent="0.3">
      <c r="A388" t="s">
        <v>492</v>
      </c>
      <c r="B388" t="s">
        <v>445</v>
      </c>
      <c r="C388">
        <v>5.32</v>
      </c>
      <c r="D388">
        <v>9.8699999999999992</v>
      </c>
      <c r="E388">
        <v>7.66</v>
      </c>
      <c r="F388">
        <v>1.1100000000000001</v>
      </c>
      <c r="G388">
        <v>63.716433941997849</v>
      </c>
      <c r="H388">
        <v>36.616334934797536</v>
      </c>
      <c r="I388">
        <v>44.117647058823529</v>
      </c>
      <c r="J388">
        <v>45.787010798250591</v>
      </c>
      <c r="K388">
        <v>62.068965517241367</v>
      </c>
      <c r="L388">
        <v>13.992840413786643</v>
      </c>
      <c r="M388">
        <v>75.763689461118418</v>
      </c>
      <c r="N388">
        <v>57.351669143715242</v>
      </c>
      <c r="O388">
        <v>5.7759259259259252</v>
      </c>
      <c r="P388">
        <v>1.8840740740740749</v>
      </c>
      <c r="Q388">
        <v>387</v>
      </c>
      <c r="R388">
        <v>2</v>
      </c>
      <c r="S388" t="s">
        <v>24</v>
      </c>
      <c r="T388" t="s">
        <v>443</v>
      </c>
      <c r="U388">
        <v>5000</v>
      </c>
      <c r="V388">
        <v>1000</v>
      </c>
    </row>
    <row r="389" spans="1:22" x14ac:dyDescent="0.3">
      <c r="A389" t="s">
        <v>493</v>
      </c>
      <c r="B389" t="s">
        <v>494</v>
      </c>
      <c r="C389">
        <v>12.51</v>
      </c>
      <c r="D389">
        <v>21.92</v>
      </c>
      <c r="E389">
        <v>13.16</v>
      </c>
      <c r="F389">
        <v>2.23</v>
      </c>
      <c r="G389">
        <v>79.162191192266377</v>
      </c>
      <c r="H389">
        <v>57.292381606039825</v>
      </c>
      <c r="I389">
        <v>63.607370659107019</v>
      </c>
      <c r="J389">
        <v>64.823838049818733</v>
      </c>
      <c r="K389">
        <v>19.157088122605369</v>
      </c>
      <c r="L389">
        <v>11.255517905283622</v>
      </c>
      <c r="M389">
        <v>80.504871122547542</v>
      </c>
      <c r="N389">
        <v>57.327408836197591</v>
      </c>
      <c r="O389">
        <v>7.1099999999999994</v>
      </c>
      <c r="P389">
        <v>6.0500000000000007</v>
      </c>
      <c r="Q389">
        <v>388</v>
      </c>
      <c r="R389">
        <v>1</v>
      </c>
      <c r="S389" t="s">
        <v>24</v>
      </c>
      <c r="T389" t="s">
        <v>78</v>
      </c>
      <c r="U389">
        <v>1000</v>
      </c>
      <c r="V389">
        <v>1000</v>
      </c>
    </row>
    <row r="390" spans="1:22" x14ac:dyDescent="0.3">
      <c r="A390" t="s">
        <v>495</v>
      </c>
      <c r="B390" t="s">
        <v>77</v>
      </c>
      <c r="C390">
        <v>4.3099999999999996</v>
      </c>
      <c r="D390">
        <v>16.010000000000002</v>
      </c>
      <c r="E390">
        <v>11.56</v>
      </c>
      <c r="F390">
        <v>1.91</v>
      </c>
      <c r="G390">
        <v>61.546723952738994</v>
      </c>
      <c r="H390">
        <v>47.151681537405636</v>
      </c>
      <c r="I390">
        <v>57.937632884479086</v>
      </c>
      <c r="J390">
        <v>55.423665694009031</v>
      </c>
      <c r="K390">
        <v>31.417624521072796</v>
      </c>
      <c r="L390">
        <v>7.4897655831104553</v>
      </c>
      <c r="M390">
        <v>87.02734547327195</v>
      </c>
      <c r="N390">
        <v>57.323075345590709</v>
      </c>
      <c r="O390">
        <v>9.0435999999999996</v>
      </c>
      <c r="P390">
        <v>2.5164000000000009</v>
      </c>
      <c r="Q390">
        <v>389</v>
      </c>
      <c r="R390">
        <v>8</v>
      </c>
      <c r="S390" t="s">
        <v>24</v>
      </c>
      <c r="T390" t="s">
        <v>78</v>
      </c>
      <c r="U390">
        <v>5000</v>
      </c>
      <c r="V390">
        <v>1000</v>
      </c>
    </row>
    <row r="391" spans="1:22" x14ac:dyDescent="0.3">
      <c r="A391" t="s">
        <v>496</v>
      </c>
      <c r="B391" t="s">
        <v>192</v>
      </c>
      <c r="C391">
        <v>5.04</v>
      </c>
      <c r="D391">
        <v>4</v>
      </c>
      <c r="E391">
        <v>4.37</v>
      </c>
      <c r="F391">
        <v>0.39</v>
      </c>
      <c r="G391">
        <v>63.114930182599352</v>
      </c>
      <c r="H391">
        <v>26.544269045984905</v>
      </c>
      <c r="I391">
        <v>32.459248759744867</v>
      </c>
      <c r="J391">
        <v>36.815891130187779</v>
      </c>
      <c r="K391">
        <v>89.65517241379311</v>
      </c>
      <c r="L391">
        <v>19.63063526091646</v>
      </c>
      <c r="M391">
        <v>65.99874234323957</v>
      </c>
      <c r="N391">
        <v>57.32142425435206</v>
      </c>
      <c r="O391">
        <v>4.4280373831775703</v>
      </c>
      <c r="P391">
        <v>-5.8037383177570234E-2</v>
      </c>
      <c r="Q391">
        <v>390</v>
      </c>
      <c r="R391">
        <v>98</v>
      </c>
      <c r="S391" t="s">
        <v>24</v>
      </c>
      <c r="T391" t="s">
        <v>213</v>
      </c>
      <c r="U391">
        <v>5000</v>
      </c>
      <c r="V391">
        <v>1000</v>
      </c>
    </row>
    <row r="392" spans="1:22" x14ac:dyDescent="0.3">
      <c r="A392" t="s">
        <v>497</v>
      </c>
      <c r="B392" t="s">
        <v>192</v>
      </c>
      <c r="C392">
        <v>5.05</v>
      </c>
      <c r="D392">
        <v>3.99</v>
      </c>
      <c r="E392">
        <v>4.3600000000000003</v>
      </c>
      <c r="F392">
        <v>0.39</v>
      </c>
      <c r="G392">
        <v>63.136412459720724</v>
      </c>
      <c r="H392">
        <v>26.527110501029515</v>
      </c>
      <c r="I392">
        <v>32.423812898653438</v>
      </c>
      <c r="J392">
        <v>36.797322091579716</v>
      </c>
      <c r="K392">
        <v>89.65517241379311</v>
      </c>
      <c r="L392">
        <v>19.656533523094581</v>
      </c>
      <c r="M392">
        <v>65.953885237319327</v>
      </c>
      <c r="N392">
        <v>57.300925458567967</v>
      </c>
      <c r="O392">
        <v>4.4280373831775703</v>
      </c>
      <c r="P392">
        <v>-6.8037383177570021E-2</v>
      </c>
      <c r="Q392">
        <v>391</v>
      </c>
      <c r="R392">
        <v>99</v>
      </c>
      <c r="S392" t="s">
        <v>24</v>
      </c>
      <c r="T392" t="s">
        <v>213</v>
      </c>
      <c r="U392">
        <v>5000</v>
      </c>
      <c r="V392">
        <v>1000</v>
      </c>
    </row>
    <row r="393" spans="1:22" x14ac:dyDescent="0.3">
      <c r="A393" t="s">
        <v>498</v>
      </c>
      <c r="B393" t="s">
        <v>410</v>
      </c>
      <c r="C393">
        <v>5.96</v>
      </c>
      <c r="D393">
        <v>5.04</v>
      </c>
      <c r="E393">
        <v>5.16</v>
      </c>
      <c r="F393">
        <v>0.52</v>
      </c>
      <c r="G393">
        <v>65.091299677765832</v>
      </c>
      <c r="H393">
        <v>28.328757721345234</v>
      </c>
      <c r="I393">
        <v>35.258681785967397</v>
      </c>
      <c r="J393">
        <v>39.146228144940437</v>
      </c>
      <c r="K393">
        <v>84.674329501915707</v>
      </c>
      <c r="L393">
        <v>19.534130084363738</v>
      </c>
      <c r="M393">
        <v>66.165894212222284</v>
      </c>
      <c r="N393">
        <v>57.28317000100472</v>
      </c>
      <c r="O393">
        <v>4.4264935064935065</v>
      </c>
      <c r="P393">
        <v>0.73350649350649366</v>
      </c>
      <c r="Q393">
        <v>392</v>
      </c>
      <c r="R393">
        <v>3</v>
      </c>
      <c r="S393" t="s">
        <v>24</v>
      </c>
      <c r="T393" t="s">
        <v>499</v>
      </c>
      <c r="U393">
        <v>1000</v>
      </c>
      <c r="V393">
        <v>1000</v>
      </c>
    </row>
    <row r="394" spans="1:22" x14ac:dyDescent="0.3">
      <c r="A394" t="s">
        <v>500</v>
      </c>
      <c r="B394" t="s">
        <v>229</v>
      </c>
      <c r="C394">
        <v>7.08</v>
      </c>
      <c r="D394">
        <v>4.8899999999999997</v>
      </c>
      <c r="E394">
        <v>5.28</v>
      </c>
      <c r="F394">
        <v>0.49</v>
      </c>
      <c r="G394">
        <v>67.497314715359821</v>
      </c>
      <c r="H394">
        <v>28.07137954701442</v>
      </c>
      <c r="I394">
        <v>35.683912119064495</v>
      </c>
      <c r="J394">
        <v>39.762832866708536</v>
      </c>
      <c r="K394">
        <v>85.82375478927203</v>
      </c>
      <c r="L394">
        <v>20.914299736516273</v>
      </c>
      <c r="M394">
        <v>63.775370251629433</v>
      </c>
      <c r="N394">
        <v>57.281197693579635</v>
      </c>
      <c r="O394">
        <v>5.1221052631578941</v>
      </c>
      <c r="P394">
        <v>0.1578947368421062</v>
      </c>
      <c r="Q394">
        <v>393</v>
      </c>
      <c r="R394">
        <v>13</v>
      </c>
      <c r="S394" t="s">
        <v>24</v>
      </c>
      <c r="T394" t="s">
        <v>230</v>
      </c>
      <c r="U394">
        <v>1000</v>
      </c>
      <c r="V394">
        <v>1000</v>
      </c>
    </row>
    <row r="395" spans="1:22" x14ac:dyDescent="0.3">
      <c r="A395" t="s">
        <v>501</v>
      </c>
      <c r="B395" t="s">
        <v>405</v>
      </c>
      <c r="C395">
        <v>13.91</v>
      </c>
      <c r="D395">
        <v>18.52</v>
      </c>
      <c r="E395">
        <v>11.67</v>
      </c>
      <c r="F395">
        <v>1.82</v>
      </c>
      <c r="G395">
        <v>82.169709989258848</v>
      </c>
      <c r="H395">
        <v>51.458476321207968</v>
      </c>
      <c r="I395">
        <v>58.327427356484748</v>
      </c>
      <c r="J395">
        <v>61.035198572456537</v>
      </c>
      <c r="K395">
        <v>34.865900383141771</v>
      </c>
      <c r="L395">
        <v>16.118399439148899</v>
      </c>
      <c r="M395">
        <v>72.082113234704408</v>
      </c>
      <c r="N395">
        <v>57.254602690689808</v>
      </c>
      <c r="O395">
        <v>12.057857142857143</v>
      </c>
      <c r="P395">
        <v>-0.38785714285714334</v>
      </c>
      <c r="Q395">
        <v>394</v>
      </c>
      <c r="R395">
        <v>3</v>
      </c>
      <c r="S395" t="s">
        <v>24</v>
      </c>
      <c r="T395" t="s">
        <v>406</v>
      </c>
      <c r="U395">
        <v>1000</v>
      </c>
      <c r="V395">
        <v>1000</v>
      </c>
    </row>
    <row r="396" spans="1:22" x14ac:dyDescent="0.3">
      <c r="A396" t="s">
        <v>502</v>
      </c>
      <c r="B396" t="s">
        <v>148</v>
      </c>
      <c r="C396">
        <v>3.84</v>
      </c>
      <c r="D396">
        <v>12.54</v>
      </c>
      <c r="E396">
        <v>10.26</v>
      </c>
      <c r="F396">
        <v>1.59</v>
      </c>
      <c r="G396">
        <v>60.537056928034374</v>
      </c>
      <c r="H396">
        <v>41.19766643788607</v>
      </c>
      <c r="I396">
        <v>53.3309709425939</v>
      </c>
      <c r="J396">
        <v>51.132196788269646</v>
      </c>
      <c r="K396">
        <v>43.678160919540218</v>
      </c>
      <c r="L396">
        <v>9.7737469611536696</v>
      </c>
      <c r="M396">
        <v>83.07137368295993</v>
      </c>
      <c r="N396">
        <v>57.253482044759863</v>
      </c>
      <c r="O396">
        <v>10.461</v>
      </c>
      <c r="P396">
        <v>-0.20100000000000051</v>
      </c>
      <c r="Q396">
        <v>395</v>
      </c>
      <c r="R396">
        <v>10</v>
      </c>
      <c r="S396" t="s">
        <v>24</v>
      </c>
      <c r="T396" t="s">
        <v>78</v>
      </c>
      <c r="U396">
        <v>5000</v>
      </c>
      <c r="V396">
        <v>1000</v>
      </c>
    </row>
    <row r="397" spans="1:22" x14ac:dyDescent="0.3">
      <c r="A397" t="s">
        <v>503</v>
      </c>
      <c r="B397" t="s">
        <v>202</v>
      </c>
      <c r="C397">
        <v>0.83</v>
      </c>
      <c r="D397">
        <v>16.37</v>
      </c>
      <c r="E397">
        <v>13.91</v>
      </c>
      <c r="F397">
        <v>1.98</v>
      </c>
      <c r="G397">
        <v>54.070891514500531</v>
      </c>
      <c r="H397">
        <v>47.769389155799594</v>
      </c>
      <c r="I397">
        <v>66.265060240963862</v>
      </c>
      <c r="J397">
        <v>58.277525170121919</v>
      </c>
      <c r="K397">
        <v>28.735632183908045</v>
      </c>
      <c r="L397">
        <v>9.4029829646124483</v>
      </c>
      <c r="M397">
        <v>83.713555762586608</v>
      </c>
      <c r="N397">
        <v>57.251059571684621</v>
      </c>
      <c r="O397">
        <v>10.023387096774194</v>
      </c>
      <c r="P397">
        <v>3.8866129032258065</v>
      </c>
      <c r="Q397">
        <v>396</v>
      </c>
      <c r="R397">
        <v>13</v>
      </c>
      <c r="S397" t="s">
        <v>24</v>
      </c>
      <c r="T397" t="s">
        <v>107</v>
      </c>
      <c r="U397">
        <v>1000</v>
      </c>
      <c r="V397">
        <v>1000</v>
      </c>
    </row>
    <row r="398" spans="1:22" x14ac:dyDescent="0.3">
      <c r="A398" t="s">
        <v>504</v>
      </c>
      <c r="B398" t="s">
        <v>445</v>
      </c>
      <c r="C398">
        <v>5.32</v>
      </c>
      <c r="D398">
        <v>9.91</v>
      </c>
      <c r="E398">
        <v>7.53</v>
      </c>
      <c r="F398">
        <v>1.1100000000000001</v>
      </c>
      <c r="G398">
        <v>63.716433941997849</v>
      </c>
      <c r="H398">
        <v>36.684969114619079</v>
      </c>
      <c r="I398">
        <v>43.65698086463501</v>
      </c>
      <c r="J398">
        <v>45.577267955102798</v>
      </c>
      <c r="K398">
        <v>62.068965517241367</v>
      </c>
      <c r="L398">
        <v>14.033832312897152</v>
      </c>
      <c r="M398">
        <v>75.69268940916028</v>
      </c>
      <c r="N398">
        <v>57.229047709151814</v>
      </c>
      <c r="O398">
        <v>5.7759259259259252</v>
      </c>
      <c r="P398">
        <v>1.754074074074075</v>
      </c>
      <c r="Q398">
        <v>397</v>
      </c>
      <c r="R398">
        <v>3</v>
      </c>
      <c r="S398" t="s">
        <v>24</v>
      </c>
      <c r="T398" t="s">
        <v>443</v>
      </c>
      <c r="U398">
        <v>5000</v>
      </c>
      <c r="V398">
        <v>1000</v>
      </c>
    </row>
    <row r="399" spans="1:22" x14ac:dyDescent="0.3">
      <c r="A399" t="s">
        <v>505</v>
      </c>
      <c r="B399" t="s">
        <v>445</v>
      </c>
      <c r="C399">
        <v>5.31</v>
      </c>
      <c r="D399">
        <v>9.91</v>
      </c>
      <c r="E399">
        <v>7.51</v>
      </c>
      <c r="F399">
        <v>1.1100000000000001</v>
      </c>
      <c r="G399">
        <v>63.694951664876477</v>
      </c>
      <c r="H399">
        <v>36.684969114619079</v>
      </c>
      <c r="I399">
        <v>43.586109142452159</v>
      </c>
      <c r="J399">
        <v>45.537535638587102</v>
      </c>
      <c r="K399">
        <v>62.068965517241367</v>
      </c>
      <c r="L399">
        <v>14.032880665545411</v>
      </c>
      <c r="M399">
        <v>75.694337710724383</v>
      </c>
      <c r="N399">
        <v>57.209593626284985</v>
      </c>
      <c r="O399">
        <v>5.7759259259259252</v>
      </c>
      <c r="P399">
        <v>1.7340740740740745</v>
      </c>
      <c r="Q399">
        <v>398</v>
      </c>
      <c r="R399">
        <v>4</v>
      </c>
      <c r="S399" t="s">
        <v>24</v>
      </c>
      <c r="T399" t="s">
        <v>443</v>
      </c>
      <c r="U399">
        <v>5000</v>
      </c>
      <c r="V399">
        <v>1000</v>
      </c>
    </row>
    <row r="400" spans="1:22" x14ac:dyDescent="0.3">
      <c r="A400" t="s">
        <v>506</v>
      </c>
      <c r="B400" t="s">
        <v>192</v>
      </c>
      <c r="C400">
        <v>5.04</v>
      </c>
      <c r="D400">
        <v>3.94</v>
      </c>
      <c r="E400">
        <v>4.3</v>
      </c>
      <c r="F400">
        <v>0.39</v>
      </c>
      <c r="G400">
        <v>63.114930182599352</v>
      </c>
      <c r="H400">
        <v>26.441317776252575</v>
      </c>
      <c r="I400">
        <v>32.211197732104893</v>
      </c>
      <c r="J400">
        <v>36.660980235448093</v>
      </c>
      <c r="K400">
        <v>89.65517241379311</v>
      </c>
      <c r="L400">
        <v>19.72006609610138</v>
      </c>
      <c r="M400">
        <v>65.843843592935968</v>
      </c>
      <c r="N400">
        <v>57.205244119406316</v>
      </c>
      <c r="O400">
        <v>4.4280373831775703</v>
      </c>
      <c r="P400">
        <v>-0.12803738317757052</v>
      </c>
      <c r="Q400">
        <v>399</v>
      </c>
      <c r="R400">
        <v>100</v>
      </c>
      <c r="S400" t="s">
        <v>24</v>
      </c>
      <c r="T400" t="s">
        <v>213</v>
      </c>
      <c r="U400">
        <v>5000</v>
      </c>
      <c r="V400">
        <v>1000</v>
      </c>
    </row>
    <row r="401" spans="1:22" x14ac:dyDescent="0.3">
      <c r="A401" t="s">
        <v>507</v>
      </c>
      <c r="B401" t="s">
        <v>424</v>
      </c>
      <c r="C401">
        <v>14.45</v>
      </c>
      <c r="D401">
        <v>17.670000000000002</v>
      </c>
      <c r="E401">
        <v>10.76</v>
      </c>
      <c r="F401">
        <v>1.65</v>
      </c>
      <c r="G401">
        <v>83.329752953813113</v>
      </c>
      <c r="H401">
        <v>50</v>
      </c>
      <c r="I401">
        <v>55.102763997165127</v>
      </c>
      <c r="J401">
        <v>59.21733258934519</v>
      </c>
      <c r="K401">
        <v>41.37931034482758</v>
      </c>
      <c r="L401">
        <v>17.952128647840556</v>
      </c>
      <c r="M401">
        <v>68.906001077927385</v>
      </c>
      <c r="N401">
        <v>57.179994150361338</v>
      </c>
      <c r="O401">
        <v>7.9378947368421047</v>
      </c>
      <c r="P401">
        <v>2.8221052631578951</v>
      </c>
      <c r="Q401">
        <v>400</v>
      </c>
      <c r="R401">
        <v>2</v>
      </c>
      <c r="S401" t="s">
        <v>24</v>
      </c>
      <c r="T401" t="s">
        <v>425</v>
      </c>
      <c r="U401">
        <v>1000</v>
      </c>
      <c r="V401">
        <v>1000</v>
      </c>
    </row>
    <row r="402" spans="1:22" x14ac:dyDescent="0.3">
      <c r="A402" t="s">
        <v>508</v>
      </c>
      <c r="B402" t="s">
        <v>410</v>
      </c>
      <c r="C402">
        <v>5.72</v>
      </c>
      <c r="D402">
        <v>4.76</v>
      </c>
      <c r="E402">
        <v>4.42</v>
      </c>
      <c r="F402">
        <v>0.43</v>
      </c>
      <c r="G402">
        <v>64.575725026852851</v>
      </c>
      <c r="H402">
        <v>27.848318462594374</v>
      </c>
      <c r="I402">
        <v>32.636428065201983</v>
      </c>
      <c r="J402">
        <v>37.587854576749876</v>
      </c>
      <c r="K402">
        <v>88.122605363984675</v>
      </c>
      <c r="L402">
        <v>19.966417959945645</v>
      </c>
      <c r="M402">
        <v>65.417149648218412</v>
      </c>
      <c r="N402">
        <v>57.178866041425707</v>
      </c>
      <c r="O402">
        <v>4.4264935064935065</v>
      </c>
      <c r="P402">
        <v>-6.4935064935065512E-3</v>
      </c>
      <c r="Q402">
        <v>401</v>
      </c>
      <c r="R402">
        <v>4</v>
      </c>
      <c r="S402" t="s">
        <v>24</v>
      </c>
      <c r="T402" t="s">
        <v>499</v>
      </c>
      <c r="U402">
        <v>1000</v>
      </c>
      <c r="V402">
        <v>1000</v>
      </c>
    </row>
    <row r="403" spans="1:22" x14ac:dyDescent="0.3">
      <c r="A403" t="s">
        <v>509</v>
      </c>
      <c r="B403" t="s">
        <v>410</v>
      </c>
      <c r="C403">
        <v>5.96</v>
      </c>
      <c r="D403">
        <v>5.0199999999999996</v>
      </c>
      <c r="E403">
        <v>5.08</v>
      </c>
      <c r="F403">
        <v>0.52</v>
      </c>
      <c r="G403">
        <v>65.091299677765832</v>
      </c>
      <c r="H403">
        <v>28.294440631434458</v>
      </c>
      <c r="I403">
        <v>34.975194897236001</v>
      </c>
      <c r="J403">
        <v>38.994189573601503</v>
      </c>
      <c r="K403">
        <v>84.674329501915707</v>
      </c>
      <c r="L403">
        <v>19.602810514428182</v>
      </c>
      <c r="M403">
        <v>66.046936217864982</v>
      </c>
      <c r="N403">
        <v>57.177411216745924</v>
      </c>
      <c r="O403">
        <v>4.4264935064935065</v>
      </c>
      <c r="P403">
        <v>0.65350649350649359</v>
      </c>
      <c r="Q403">
        <v>402</v>
      </c>
      <c r="R403">
        <v>5</v>
      </c>
      <c r="S403" t="s">
        <v>24</v>
      </c>
      <c r="T403" t="s">
        <v>499</v>
      </c>
      <c r="U403">
        <v>1000</v>
      </c>
      <c r="V403">
        <v>1000</v>
      </c>
    </row>
    <row r="404" spans="1:22" x14ac:dyDescent="0.3">
      <c r="A404" t="s">
        <v>510</v>
      </c>
      <c r="B404" t="s">
        <v>410</v>
      </c>
      <c r="C404">
        <v>5.86</v>
      </c>
      <c r="D404">
        <v>4.8499999999999996</v>
      </c>
      <c r="E404">
        <v>4.4800000000000004</v>
      </c>
      <c r="F404">
        <v>0.44</v>
      </c>
      <c r="G404">
        <v>64.876476906552099</v>
      </c>
      <c r="H404">
        <v>28.002745367192865</v>
      </c>
      <c r="I404">
        <v>32.849043231750528</v>
      </c>
      <c r="J404">
        <v>37.800640607343546</v>
      </c>
      <c r="K404">
        <v>87.739463601532563</v>
      </c>
      <c r="L404">
        <v>20.037112185569413</v>
      </c>
      <c r="M404">
        <v>65.294703657636305</v>
      </c>
      <c r="N404">
        <v>57.158862118463986</v>
      </c>
      <c r="O404">
        <v>4.4264935064935065</v>
      </c>
      <c r="P404">
        <v>5.3506493506493946E-2</v>
      </c>
      <c r="Q404">
        <v>403</v>
      </c>
      <c r="R404">
        <v>6</v>
      </c>
      <c r="S404" t="s">
        <v>24</v>
      </c>
      <c r="T404" t="s">
        <v>411</v>
      </c>
      <c r="U404">
        <v>5000</v>
      </c>
      <c r="V404">
        <v>1000</v>
      </c>
    </row>
    <row r="405" spans="1:22" x14ac:dyDescent="0.3">
      <c r="A405" t="s">
        <v>511</v>
      </c>
      <c r="B405" t="s">
        <v>410</v>
      </c>
      <c r="C405">
        <v>5.77</v>
      </c>
      <c r="D405">
        <v>4.9400000000000004</v>
      </c>
      <c r="E405">
        <v>5.04</v>
      </c>
      <c r="F405">
        <v>0.52</v>
      </c>
      <c r="G405">
        <v>64.683136412459717</v>
      </c>
      <c r="H405">
        <v>28.15717227179136</v>
      </c>
      <c r="I405">
        <v>34.8334514528703</v>
      </c>
      <c r="J405">
        <v>38.800504690464507</v>
      </c>
      <c r="K405">
        <v>84.674329501915707</v>
      </c>
      <c r="L405">
        <v>19.44960347623158</v>
      </c>
      <c r="M405">
        <v>66.312298592098642</v>
      </c>
      <c r="N405">
        <v>57.146909368735841</v>
      </c>
      <c r="O405">
        <v>4.4264935064935065</v>
      </c>
      <c r="P405">
        <v>0.61350649350649356</v>
      </c>
      <c r="Q405">
        <v>404</v>
      </c>
      <c r="R405">
        <v>7</v>
      </c>
      <c r="S405" t="s">
        <v>24</v>
      </c>
      <c r="T405" t="s">
        <v>499</v>
      </c>
      <c r="U405">
        <v>1000</v>
      </c>
      <c r="V405">
        <v>1000</v>
      </c>
    </row>
    <row r="406" spans="1:22" x14ac:dyDescent="0.3">
      <c r="A406" t="s">
        <v>512</v>
      </c>
      <c r="B406" t="s">
        <v>77</v>
      </c>
      <c r="C406">
        <v>6.54</v>
      </c>
      <c r="D406">
        <v>18.170000000000002</v>
      </c>
      <c r="E406">
        <v>9.94</v>
      </c>
      <c r="F406">
        <v>1.84</v>
      </c>
      <c r="G406">
        <v>66.337271750805584</v>
      </c>
      <c r="H406">
        <v>50.857927247769396</v>
      </c>
      <c r="I406">
        <v>52.197023387668317</v>
      </c>
      <c r="J406">
        <v>54.623344218326096</v>
      </c>
      <c r="K406">
        <v>34.099616858237546</v>
      </c>
      <c r="L406">
        <v>8.5766146049084639</v>
      </c>
      <c r="M406">
        <v>85.144867747361261</v>
      </c>
      <c r="N406">
        <v>57.122793260562744</v>
      </c>
      <c r="O406">
        <v>9.0435999999999996</v>
      </c>
      <c r="P406">
        <v>0.89639999999999986</v>
      </c>
      <c r="Q406">
        <v>405</v>
      </c>
      <c r="R406">
        <v>9</v>
      </c>
      <c r="S406" t="s">
        <v>24</v>
      </c>
      <c r="T406" t="s">
        <v>78</v>
      </c>
      <c r="U406">
        <v>5000</v>
      </c>
      <c r="V406">
        <v>1000</v>
      </c>
    </row>
    <row r="407" spans="1:22" x14ac:dyDescent="0.3">
      <c r="A407" t="s">
        <v>513</v>
      </c>
      <c r="B407" t="s">
        <v>410</v>
      </c>
      <c r="C407">
        <v>5.86</v>
      </c>
      <c r="D407">
        <v>4.8499999999999996</v>
      </c>
      <c r="E407">
        <v>4.4400000000000004</v>
      </c>
      <c r="F407">
        <v>0.44</v>
      </c>
      <c r="G407">
        <v>64.876476906552099</v>
      </c>
      <c r="H407">
        <v>28.002745367192865</v>
      </c>
      <c r="I407">
        <v>32.707299787384834</v>
      </c>
      <c r="J407">
        <v>37.729768885160695</v>
      </c>
      <c r="K407">
        <v>87.739463601532563</v>
      </c>
      <c r="L407">
        <v>20.069300213898998</v>
      </c>
      <c r="M407">
        <v>65.238952357173986</v>
      </c>
      <c r="N407">
        <v>57.109488432256988</v>
      </c>
      <c r="O407">
        <v>4.4264935064935065</v>
      </c>
      <c r="P407">
        <v>1.3506493506493911E-2</v>
      </c>
      <c r="Q407">
        <v>406</v>
      </c>
      <c r="R407">
        <v>8</v>
      </c>
      <c r="S407" t="s">
        <v>24</v>
      </c>
      <c r="T407" t="s">
        <v>411</v>
      </c>
      <c r="U407">
        <v>5000</v>
      </c>
      <c r="V407">
        <v>1000</v>
      </c>
    </row>
    <row r="408" spans="1:22" x14ac:dyDescent="0.3">
      <c r="A408" t="s">
        <v>514</v>
      </c>
      <c r="B408" t="s">
        <v>410</v>
      </c>
      <c r="C408">
        <v>5.72</v>
      </c>
      <c r="D408">
        <v>4.76</v>
      </c>
      <c r="E408">
        <v>4.3600000000000003</v>
      </c>
      <c r="F408">
        <v>0.43</v>
      </c>
      <c r="G408">
        <v>64.575725026852851</v>
      </c>
      <c r="H408">
        <v>27.848318462594374</v>
      </c>
      <c r="I408">
        <v>32.423812898653438</v>
      </c>
      <c r="J408">
        <v>37.481546993475604</v>
      </c>
      <c r="K408">
        <v>88.122605363984675</v>
      </c>
      <c r="L408">
        <v>20.014923581210599</v>
      </c>
      <c r="M408">
        <v>65.333135447734804</v>
      </c>
      <c r="N408">
        <v>57.104708699667675</v>
      </c>
      <c r="O408">
        <v>4.4264935064935065</v>
      </c>
      <c r="P408">
        <v>-6.649350649350616E-2</v>
      </c>
      <c r="Q408">
        <v>407</v>
      </c>
      <c r="R408">
        <v>9</v>
      </c>
      <c r="S408" t="s">
        <v>24</v>
      </c>
      <c r="T408" t="s">
        <v>499</v>
      </c>
      <c r="U408">
        <v>1000</v>
      </c>
      <c r="V408">
        <v>1000</v>
      </c>
    </row>
    <row r="409" spans="1:22" x14ac:dyDescent="0.3">
      <c r="A409" t="s">
        <v>515</v>
      </c>
      <c r="B409" t="s">
        <v>410</v>
      </c>
      <c r="C409">
        <v>5.86</v>
      </c>
      <c r="D409">
        <v>4.8499999999999996</v>
      </c>
      <c r="E409">
        <v>4.43</v>
      </c>
      <c r="F409">
        <v>0.44</v>
      </c>
      <c r="G409">
        <v>64.876476906552099</v>
      </c>
      <c r="H409">
        <v>28.002745367192865</v>
      </c>
      <c r="I409">
        <v>32.671863926293412</v>
      </c>
      <c r="J409">
        <v>37.712050954614988</v>
      </c>
      <c r="K409">
        <v>87.739463601532563</v>
      </c>
      <c r="L409">
        <v>20.077391277105363</v>
      </c>
      <c r="M409">
        <v>65.224938224613311</v>
      </c>
      <c r="N409">
        <v>57.097125933843962</v>
      </c>
      <c r="O409">
        <v>4.4264935064935065</v>
      </c>
      <c r="P409">
        <v>3.5064935064932357E-3</v>
      </c>
      <c r="Q409">
        <v>408</v>
      </c>
      <c r="R409">
        <v>10</v>
      </c>
      <c r="S409" t="s">
        <v>24</v>
      </c>
      <c r="T409" t="s">
        <v>411</v>
      </c>
      <c r="U409">
        <v>5000</v>
      </c>
      <c r="V409">
        <v>1000</v>
      </c>
    </row>
    <row r="410" spans="1:22" x14ac:dyDescent="0.3">
      <c r="A410" t="s">
        <v>516</v>
      </c>
      <c r="B410" t="s">
        <v>410</v>
      </c>
      <c r="C410">
        <v>5.74</v>
      </c>
      <c r="D410">
        <v>4.7699999999999996</v>
      </c>
      <c r="E410">
        <v>4.3499999999999996</v>
      </c>
      <c r="F410">
        <v>0.43</v>
      </c>
      <c r="G410">
        <v>64.618689581095595</v>
      </c>
      <c r="H410">
        <v>27.865477007549767</v>
      </c>
      <c r="I410">
        <v>32.388377037562009</v>
      </c>
      <c r="J410">
        <v>37.477569537265055</v>
      </c>
      <c r="K410">
        <v>88.122605363984675</v>
      </c>
      <c r="L410">
        <v>20.041824209269599</v>
      </c>
      <c r="M410">
        <v>65.286542193181106</v>
      </c>
      <c r="N410">
        <v>57.091071657923976</v>
      </c>
      <c r="O410">
        <v>4.4264935064935065</v>
      </c>
      <c r="P410">
        <v>-7.6493506493506835E-2</v>
      </c>
      <c r="Q410">
        <v>409</v>
      </c>
      <c r="R410">
        <v>11</v>
      </c>
      <c r="S410" t="s">
        <v>24</v>
      </c>
      <c r="T410" t="s">
        <v>499</v>
      </c>
      <c r="U410">
        <v>1000</v>
      </c>
      <c r="V410">
        <v>1000</v>
      </c>
    </row>
    <row r="411" spans="1:22" x14ac:dyDescent="0.3">
      <c r="A411" t="s">
        <v>517</v>
      </c>
      <c r="B411" t="s">
        <v>410</v>
      </c>
      <c r="C411">
        <v>5.86</v>
      </c>
      <c r="D411">
        <v>4.8499999999999996</v>
      </c>
      <c r="E411">
        <v>4.42</v>
      </c>
      <c r="F411">
        <v>0.44</v>
      </c>
      <c r="G411">
        <v>64.876476906552099</v>
      </c>
      <c r="H411">
        <v>28.002745367192865</v>
      </c>
      <c r="I411">
        <v>32.636428065201983</v>
      </c>
      <c r="J411">
        <v>37.694333024069273</v>
      </c>
      <c r="K411">
        <v>87.739463601532563</v>
      </c>
      <c r="L411">
        <v>20.085499920237677</v>
      </c>
      <c r="M411">
        <v>65.210893642727711</v>
      </c>
      <c r="N411">
        <v>57.084755823099705</v>
      </c>
      <c r="O411">
        <v>4.4264935064935065</v>
      </c>
      <c r="P411">
        <v>-6.4935064935065512E-3</v>
      </c>
      <c r="Q411">
        <v>410</v>
      </c>
      <c r="R411">
        <v>12</v>
      </c>
      <c r="S411" t="s">
        <v>24</v>
      </c>
      <c r="T411" t="s">
        <v>411</v>
      </c>
      <c r="U411">
        <v>5000</v>
      </c>
      <c r="V411">
        <v>1000</v>
      </c>
    </row>
    <row r="412" spans="1:22" x14ac:dyDescent="0.3">
      <c r="A412" t="s">
        <v>518</v>
      </c>
      <c r="B412" t="s">
        <v>358</v>
      </c>
      <c r="C412">
        <v>5.47</v>
      </c>
      <c r="D412">
        <v>3.94</v>
      </c>
      <c r="E412">
        <v>5.53</v>
      </c>
      <c r="F412">
        <v>0.54</v>
      </c>
      <c r="G412">
        <v>64.038668098818476</v>
      </c>
      <c r="H412">
        <v>26.441317776252575</v>
      </c>
      <c r="I412">
        <v>36.569808646350104</v>
      </c>
      <c r="J412">
        <v>39.025033275814522</v>
      </c>
      <c r="K412">
        <v>83.908045977011497</v>
      </c>
      <c r="L412">
        <v>19.453728512390867</v>
      </c>
      <c r="M412">
        <v>66.305153819887693</v>
      </c>
      <c r="N412">
        <v>57.065816587132055</v>
      </c>
      <c r="O412">
        <v>5.0554237288135591</v>
      </c>
      <c r="P412">
        <v>0.47457627118644119</v>
      </c>
      <c r="Q412">
        <v>411</v>
      </c>
      <c r="R412">
        <v>6</v>
      </c>
      <c r="S412" t="s">
        <v>24</v>
      </c>
      <c r="T412" t="s">
        <v>359</v>
      </c>
      <c r="U412">
        <v>5000</v>
      </c>
      <c r="V412">
        <v>1000</v>
      </c>
    </row>
    <row r="413" spans="1:22" x14ac:dyDescent="0.3">
      <c r="A413" t="s">
        <v>519</v>
      </c>
      <c r="B413" t="s">
        <v>520</v>
      </c>
      <c r="C413">
        <v>3.7</v>
      </c>
      <c r="D413">
        <v>2.92</v>
      </c>
      <c r="E413">
        <v>5.4</v>
      </c>
      <c r="F413">
        <v>0.52</v>
      </c>
      <c r="G413">
        <v>60.236305048335126</v>
      </c>
      <c r="H413">
        <v>24.691146190803025</v>
      </c>
      <c r="I413">
        <v>36.109142452161585</v>
      </c>
      <c r="J413">
        <v>37.509176092988724</v>
      </c>
      <c r="K413">
        <v>84.674329501915707</v>
      </c>
      <c r="L413">
        <v>18.147308945468961</v>
      </c>
      <c r="M413">
        <v>68.567938885798583</v>
      </c>
      <c r="N413">
        <v>57.065155143422935</v>
      </c>
      <c r="O413">
        <v>4.625</v>
      </c>
      <c r="P413">
        <v>0.77500000000000036</v>
      </c>
      <c r="Q413">
        <v>412</v>
      </c>
      <c r="R413">
        <v>1</v>
      </c>
      <c r="S413" t="s">
        <v>24</v>
      </c>
      <c r="T413" t="s">
        <v>521</v>
      </c>
      <c r="U413">
        <v>10000</v>
      </c>
      <c r="V413">
        <v>1000</v>
      </c>
    </row>
    <row r="414" spans="1:22" x14ac:dyDescent="0.3">
      <c r="A414" t="s">
        <v>522</v>
      </c>
      <c r="B414" t="s">
        <v>520</v>
      </c>
      <c r="C414">
        <v>3.7</v>
      </c>
      <c r="D414">
        <v>2.92</v>
      </c>
      <c r="E414">
        <v>5.4</v>
      </c>
      <c r="F414">
        <v>0.52</v>
      </c>
      <c r="G414">
        <v>60.236305048335126</v>
      </c>
      <c r="H414">
        <v>24.691146190803025</v>
      </c>
      <c r="I414">
        <v>36.109142452161585</v>
      </c>
      <c r="J414">
        <v>37.509176092988724</v>
      </c>
      <c r="K414">
        <v>84.674329501915707</v>
      </c>
      <c r="L414">
        <v>18.147308945468961</v>
      </c>
      <c r="M414">
        <v>68.567938885798583</v>
      </c>
      <c r="N414">
        <v>57.065155143422935</v>
      </c>
      <c r="O414">
        <v>4.625</v>
      </c>
      <c r="P414">
        <v>0.77500000000000036</v>
      </c>
      <c r="Q414">
        <v>412</v>
      </c>
      <c r="R414">
        <v>1</v>
      </c>
      <c r="S414" t="s">
        <v>24</v>
      </c>
      <c r="T414" t="s">
        <v>521</v>
      </c>
      <c r="U414">
        <v>10000</v>
      </c>
      <c r="V414">
        <v>1000</v>
      </c>
    </row>
    <row r="415" spans="1:22" x14ac:dyDescent="0.3">
      <c r="A415" t="s">
        <v>523</v>
      </c>
      <c r="B415" t="s">
        <v>520</v>
      </c>
      <c r="C415">
        <v>3.7</v>
      </c>
      <c r="D415">
        <v>2.92</v>
      </c>
      <c r="E415">
        <v>5.4</v>
      </c>
      <c r="F415">
        <v>0.52</v>
      </c>
      <c r="G415">
        <v>60.236305048335126</v>
      </c>
      <c r="H415">
        <v>24.691146190803025</v>
      </c>
      <c r="I415">
        <v>36.109142452161585</v>
      </c>
      <c r="J415">
        <v>37.509176092988724</v>
      </c>
      <c r="K415">
        <v>84.674329501915707</v>
      </c>
      <c r="L415">
        <v>18.147308945468961</v>
      </c>
      <c r="M415">
        <v>68.567938885798583</v>
      </c>
      <c r="N415">
        <v>57.065155143422935</v>
      </c>
      <c r="O415">
        <v>4.625</v>
      </c>
      <c r="P415">
        <v>0.77500000000000036</v>
      </c>
      <c r="Q415">
        <v>412</v>
      </c>
      <c r="R415">
        <v>1</v>
      </c>
      <c r="S415" t="s">
        <v>24</v>
      </c>
      <c r="T415" t="s">
        <v>521</v>
      </c>
      <c r="U415">
        <v>10000</v>
      </c>
      <c r="V415">
        <v>1000</v>
      </c>
    </row>
    <row r="416" spans="1:22" x14ac:dyDescent="0.3">
      <c r="A416" t="s">
        <v>524</v>
      </c>
      <c r="B416" t="s">
        <v>410</v>
      </c>
      <c r="C416">
        <v>5.73</v>
      </c>
      <c r="D416">
        <v>4.76</v>
      </c>
      <c r="E416">
        <v>4.33</v>
      </c>
      <c r="F416">
        <v>0.43</v>
      </c>
      <c r="G416">
        <v>64.59720730397423</v>
      </c>
      <c r="H416">
        <v>27.848318462594374</v>
      </c>
      <c r="I416">
        <v>32.317505315379158</v>
      </c>
      <c r="J416">
        <v>37.432689657262742</v>
      </c>
      <c r="K416">
        <v>88.122605363984675</v>
      </c>
      <c r="L416">
        <v>20.051739835875033</v>
      </c>
      <c r="M416">
        <v>65.269367824111626</v>
      </c>
      <c r="N416">
        <v>57.064338125655439</v>
      </c>
      <c r="O416">
        <v>4.4264935064935065</v>
      </c>
      <c r="P416">
        <v>-9.6493506493506409E-2</v>
      </c>
      <c r="Q416">
        <v>415</v>
      </c>
      <c r="R416">
        <v>13</v>
      </c>
      <c r="S416" t="s">
        <v>24</v>
      </c>
      <c r="T416" t="s">
        <v>499</v>
      </c>
      <c r="U416">
        <v>1000</v>
      </c>
      <c r="V416">
        <v>1000</v>
      </c>
    </row>
    <row r="417" spans="1:22" x14ac:dyDescent="0.3">
      <c r="A417" t="s">
        <v>525</v>
      </c>
      <c r="B417" t="s">
        <v>410</v>
      </c>
      <c r="C417">
        <v>5.72</v>
      </c>
      <c r="D417">
        <v>4.72</v>
      </c>
      <c r="E417">
        <v>4.33</v>
      </c>
      <c r="F417">
        <v>0.43</v>
      </c>
      <c r="G417">
        <v>64.575725026852851</v>
      </c>
      <c r="H417">
        <v>27.779684282772827</v>
      </c>
      <c r="I417">
        <v>32.317505315379158</v>
      </c>
      <c r="J417">
        <v>37.407802947891994</v>
      </c>
      <c r="K417">
        <v>88.122605363984675</v>
      </c>
      <c r="L417">
        <v>20.062955802164641</v>
      </c>
      <c r="M417">
        <v>65.249941200642041</v>
      </c>
      <c r="N417">
        <v>57.047038115102673</v>
      </c>
      <c r="O417">
        <v>4.4264935064935065</v>
      </c>
      <c r="P417">
        <v>-9.6493506493506409E-2</v>
      </c>
      <c r="Q417">
        <v>416</v>
      </c>
      <c r="R417">
        <v>14</v>
      </c>
      <c r="S417" t="s">
        <v>24</v>
      </c>
      <c r="T417" t="s">
        <v>499</v>
      </c>
      <c r="U417">
        <v>1000</v>
      </c>
      <c r="V417">
        <v>1000</v>
      </c>
    </row>
    <row r="418" spans="1:22" x14ac:dyDescent="0.3">
      <c r="A418" t="s">
        <v>526</v>
      </c>
      <c r="B418" t="s">
        <v>410</v>
      </c>
      <c r="C418">
        <v>5.36</v>
      </c>
      <c r="D418">
        <v>4.5199999999999996</v>
      </c>
      <c r="E418">
        <v>4.08</v>
      </c>
      <c r="F418">
        <v>0.4</v>
      </c>
      <c r="G418">
        <v>63.802363050483343</v>
      </c>
      <c r="H418">
        <v>27.436513383665069</v>
      </c>
      <c r="I418">
        <v>31.431608788093545</v>
      </c>
      <c r="J418">
        <v>36.707231019242961</v>
      </c>
      <c r="K418">
        <v>89.272030651340998</v>
      </c>
      <c r="L418">
        <v>19.942841409037559</v>
      </c>
      <c r="M418">
        <v>65.457985432258454</v>
      </c>
      <c r="N418">
        <v>57.036119530521347</v>
      </c>
      <c r="O418">
        <v>4.4264935064935065</v>
      </c>
      <c r="P418">
        <v>-0.34649350649350641</v>
      </c>
      <c r="Q418">
        <v>417</v>
      </c>
      <c r="R418">
        <v>15</v>
      </c>
      <c r="S418" t="s">
        <v>24</v>
      </c>
      <c r="T418" t="s">
        <v>411</v>
      </c>
      <c r="U418">
        <v>5000</v>
      </c>
      <c r="V418">
        <v>1000</v>
      </c>
    </row>
    <row r="419" spans="1:22" x14ac:dyDescent="0.3">
      <c r="A419" t="s">
        <v>527</v>
      </c>
      <c r="B419" t="s">
        <v>358</v>
      </c>
      <c r="C419">
        <v>5.48</v>
      </c>
      <c r="D419">
        <v>3.94</v>
      </c>
      <c r="E419">
        <v>5.5</v>
      </c>
      <c r="F419">
        <v>0.54</v>
      </c>
      <c r="G419">
        <v>64.060150375939855</v>
      </c>
      <c r="H419">
        <v>26.441317776252575</v>
      </c>
      <c r="I419">
        <v>36.463501063075832</v>
      </c>
      <c r="J419">
        <v>38.97617593960166</v>
      </c>
      <c r="K419">
        <v>83.908045977011497</v>
      </c>
      <c r="L419">
        <v>19.481597202210999</v>
      </c>
      <c r="M419">
        <v>66.256883833178861</v>
      </c>
      <c r="N419">
        <v>57.02932042234842</v>
      </c>
      <c r="O419">
        <v>5.0554237288135591</v>
      </c>
      <c r="P419">
        <v>0.44457627118644094</v>
      </c>
      <c r="Q419">
        <v>418</v>
      </c>
      <c r="R419">
        <v>7</v>
      </c>
      <c r="S419" t="s">
        <v>24</v>
      </c>
      <c r="T419" t="s">
        <v>359</v>
      </c>
      <c r="U419">
        <v>5000</v>
      </c>
      <c r="V419">
        <v>1000</v>
      </c>
    </row>
    <row r="420" spans="1:22" x14ac:dyDescent="0.3">
      <c r="A420" t="s">
        <v>528</v>
      </c>
      <c r="B420" t="s">
        <v>405</v>
      </c>
      <c r="C420">
        <v>13.91</v>
      </c>
      <c r="D420">
        <v>18.52</v>
      </c>
      <c r="E420">
        <v>11.44</v>
      </c>
      <c r="F420">
        <v>1.82</v>
      </c>
      <c r="G420">
        <v>82.169709989258848</v>
      </c>
      <c r="H420">
        <v>51.458476321207968</v>
      </c>
      <c r="I420">
        <v>57.512402551381989</v>
      </c>
      <c r="J420">
        <v>60.627686169905161</v>
      </c>
      <c r="K420">
        <v>34.865900383141771</v>
      </c>
      <c r="L420">
        <v>16.267619710639849</v>
      </c>
      <c r="M420">
        <v>71.823656142962861</v>
      </c>
      <c r="N420">
        <v>56.98623221647874</v>
      </c>
      <c r="O420">
        <v>12.057857142857143</v>
      </c>
      <c r="P420">
        <v>-0.61785714285714377</v>
      </c>
      <c r="Q420">
        <v>419</v>
      </c>
      <c r="R420">
        <v>4</v>
      </c>
      <c r="S420" t="s">
        <v>24</v>
      </c>
      <c r="T420" t="s">
        <v>406</v>
      </c>
      <c r="U420">
        <v>1000</v>
      </c>
      <c r="V420">
        <v>1000</v>
      </c>
    </row>
    <row r="421" spans="1:22" x14ac:dyDescent="0.3">
      <c r="A421" t="s">
        <v>529</v>
      </c>
      <c r="B421" t="s">
        <v>155</v>
      </c>
      <c r="C421">
        <v>5.24</v>
      </c>
      <c r="D421">
        <v>3.32</v>
      </c>
      <c r="E421">
        <v>7.76</v>
      </c>
      <c r="F421">
        <v>0.75</v>
      </c>
      <c r="G421">
        <v>63.544575725026853</v>
      </c>
      <c r="H421">
        <v>25.377487989018533</v>
      </c>
      <c r="I421">
        <v>44.472005669737769</v>
      </c>
      <c r="J421">
        <v>42.558164376579811</v>
      </c>
      <c r="K421">
        <v>75.862068965517238</v>
      </c>
      <c r="L421">
        <v>19.083544919735459</v>
      </c>
      <c r="M421">
        <v>66.946330610495252</v>
      </c>
      <c r="N421">
        <v>56.981182082293031</v>
      </c>
      <c r="O421">
        <v>5.2086538461538465</v>
      </c>
      <c r="P421">
        <v>2.5513461538461533</v>
      </c>
      <c r="Q421">
        <v>420</v>
      </c>
      <c r="R421">
        <v>4</v>
      </c>
      <c r="S421" t="s">
        <v>24</v>
      </c>
      <c r="T421" t="s">
        <v>45</v>
      </c>
      <c r="U421">
        <v>5000</v>
      </c>
      <c r="V421">
        <v>1000</v>
      </c>
    </row>
    <row r="422" spans="1:22" x14ac:dyDescent="0.3">
      <c r="A422" t="s">
        <v>530</v>
      </c>
      <c r="B422" t="s">
        <v>155</v>
      </c>
      <c r="C422">
        <v>5.24</v>
      </c>
      <c r="D422">
        <v>3.32</v>
      </c>
      <c r="E422">
        <v>7.76</v>
      </c>
      <c r="F422">
        <v>0.75</v>
      </c>
      <c r="G422">
        <v>63.544575725026853</v>
      </c>
      <c r="H422">
        <v>25.377487989018533</v>
      </c>
      <c r="I422">
        <v>44.472005669737769</v>
      </c>
      <c r="J422">
        <v>42.558164376579811</v>
      </c>
      <c r="K422">
        <v>75.862068965517238</v>
      </c>
      <c r="L422">
        <v>19.083544919735459</v>
      </c>
      <c r="M422">
        <v>66.946330610495252</v>
      </c>
      <c r="N422">
        <v>56.981182082293031</v>
      </c>
      <c r="O422">
        <v>5.2086538461538465</v>
      </c>
      <c r="P422">
        <v>2.5513461538461533</v>
      </c>
      <c r="Q422">
        <v>420</v>
      </c>
      <c r="R422">
        <v>4</v>
      </c>
      <c r="S422" t="s">
        <v>24</v>
      </c>
      <c r="T422" t="s">
        <v>45</v>
      </c>
      <c r="U422">
        <v>5000</v>
      </c>
      <c r="V422">
        <v>1000</v>
      </c>
    </row>
    <row r="423" spans="1:22" x14ac:dyDescent="0.3">
      <c r="A423" t="s">
        <v>531</v>
      </c>
      <c r="B423" t="s">
        <v>155</v>
      </c>
      <c r="C423">
        <v>5.24</v>
      </c>
      <c r="D423">
        <v>3.32</v>
      </c>
      <c r="E423">
        <v>7.76</v>
      </c>
      <c r="F423">
        <v>0.75</v>
      </c>
      <c r="G423">
        <v>63.544575725026853</v>
      </c>
      <c r="H423">
        <v>25.377487989018533</v>
      </c>
      <c r="I423">
        <v>44.472005669737769</v>
      </c>
      <c r="J423">
        <v>42.558164376579811</v>
      </c>
      <c r="K423">
        <v>75.862068965517238</v>
      </c>
      <c r="L423">
        <v>19.083544919735459</v>
      </c>
      <c r="M423">
        <v>66.946330610495252</v>
      </c>
      <c r="N423">
        <v>56.981182082293031</v>
      </c>
      <c r="O423">
        <v>5.2086538461538465</v>
      </c>
      <c r="P423">
        <v>2.5513461538461533</v>
      </c>
      <c r="Q423">
        <v>420</v>
      </c>
      <c r="R423">
        <v>4</v>
      </c>
      <c r="S423" t="s">
        <v>24</v>
      </c>
      <c r="T423" t="s">
        <v>45</v>
      </c>
      <c r="U423">
        <v>5000</v>
      </c>
      <c r="V423">
        <v>1000</v>
      </c>
    </row>
    <row r="424" spans="1:22" x14ac:dyDescent="0.3">
      <c r="A424" t="s">
        <v>532</v>
      </c>
      <c r="B424" t="s">
        <v>520</v>
      </c>
      <c r="C424">
        <v>3.7</v>
      </c>
      <c r="D424">
        <v>2.92</v>
      </c>
      <c r="E424">
        <v>5.32</v>
      </c>
      <c r="F424">
        <v>0.52</v>
      </c>
      <c r="G424">
        <v>60.236305048335126</v>
      </c>
      <c r="H424">
        <v>24.691146190803025</v>
      </c>
      <c r="I424">
        <v>35.825655563430189</v>
      </c>
      <c r="J424">
        <v>37.367432648623023</v>
      </c>
      <c r="K424">
        <v>84.674329501915707</v>
      </c>
      <c r="L424">
        <v>18.181104776897747</v>
      </c>
      <c r="M424">
        <v>68.509402788679893</v>
      </c>
      <c r="N424">
        <v>56.979649396960411</v>
      </c>
      <c r="O424">
        <v>4.625</v>
      </c>
      <c r="P424">
        <v>0.69500000000000028</v>
      </c>
      <c r="Q424">
        <v>423</v>
      </c>
      <c r="R424">
        <v>4</v>
      </c>
      <c r="S424" t="s">
        <v>24</v>
      </c>
      <c r="T424" t="s">
        <v>521</v>
      </c>
      <c r="U424">
        <v>10000</v>
      </c>
      <c r="V424">
        <v>1000</v>
      </c>
    </row>
    <row r="425" spans="1:22" x14ac:dyDescent="0.3">
      <c r="A425" t="s">
        <v>533</v>
      </c>
      <c r="B425" t="s">
        <v>148</v>
      </c>
      <c r="C425">
        <v>-1.59</v>
      </c>
      <c r="D425">
        <v>13.92</v>
      </c>
      <c r="E425">
        <v>11.93</v>
      </c>
      <c r="F425">
        <v>1.77</v>
      </c>
      <c r="G425">
        <v>48.872180451127818</v>
      </c>
      <c r="H425">
        <v>43.565545641729585</v>
      </c>
      <c r="I425">
        <v>59.248759744861786</v>
      </c>
      <c r="J425">
        <v>52.468479655175329</v>
      </c>
      <c r="K425">
        <v>36.781609195402297</v>
      </c>
      <c r="L425">
        <v>7.9770188191260853</v>
      </c>
      <c r="M425">
        <v>86.183398112340527</v>
      </c>
      <c r="N425">
        <v>56.975491654523367</v>
      </c>
      <c r="O425">
        <v>10.461</v>
      </c>
      <c r="P425">
        <v>1.4689999999999994</v>
      </c>
      <c r="Q425">
        <v>424</v>
      </c>
      <c r="R425">
        <v>11</v>
      </c>
      <c r="S425" t="s">
        <v>24</v>
      </c>
      <c r="T425" t="s">
        <v>107</v>
      </c>
      <c r="U425">
        <v>5000</v>
      </c>
      <c r="V425">
        <v>1000</v>
      </c>
    </row>
    <row r="426" spans="1:22" x14ac:dyDescent="0.3">
      <c r="A426" t="s">
        <v>534</v>
      </c>
      <c r="B426" t="s">
        <v>161</v>
      </c>
      <c r="C426">
        <v>4.63</v>
      </c>
      <c r="D426">
        <v>3.15</v>
      </c>
      <c r="E426">
        <v>4.26</v>
      </c>
      <c r="F426">
        <v>0.38</v>
      </c>
      <c r="G426">
        <v>62.234156820622985</v>
      </c>
      <c r="H426">
        <v>25.085792724776944</v>
      </c>
      <c r="I426">
        <v>32.069454287739184</v>
      </c>
      <c r="J426">
        <v>36.007296325427276</v>
      </c>
      <c r="K426">
        <v>90.038314176245223</v>
      </c>
      <c r="L426">
        <v>19.742854246203045</v>
      </c>
      <c r="M426">
        <v>65.804373359149366</v>
      </c>
      <c r="N426">
        <v>56.964320046562285</v>
      </c>
      <c r="O426">
        <v>4.9189795918367345</v>
      </c>
      <c r="P426">
        <v>-0.65897959183673471</v>
      </c>
      <c r="Q426">
        <v>425</v>
      </c>
      <c r="R426">
        <v>4</v>
      </c>
      <c r="S426" t="s">
        <v>24</v>
      </c>
      <c r="T426" t="s">
        <v>535</v>
      </c>
      <c r="U426">
        <v>5000</v>
      </c>
      <c r="V426">
        <v>1000</v>
      </c>
    </row>
    <row r="427" spans="1:22" x14ac:dyDescent="0.3">
      <c r="A427" t="s">
        <v>536</v>
      </c>
      <c r="B427" t="s">
        <v>35</v>
      </c>
      <c r="C427">
        <v>0.99</v>
      </c>
      <c r="D427">
        <v>12.7</v>
      </c>
      <c r="E427">
        <v>8.64</v>
      </c>
      <c r="F427">
        <v>1.56</v>
      </c>
      <c r="G427">
        <v>54.41460794844253</v>
      </c>
      <c r="H427">
        <v>41.472203157172274</v>
      </c>
      <c r="I427">
        <v>47.590361445783131</v>
      </c>
      <c r="J427">
        <v>47.119763259731755</v>
      </c>
      <c r="K427">
        <v>44.827586206896555</v>
      </c>
      <c r="L427">
        <v>6.4744117230145841</v>
      </c>
      <c r="M427">
        <v>88.785989946619182</v>
      </c>
      <c r="N427">
        <v>56.963275668244805</v>
      </c>
      <c r="O427">
        <v>9.2084615384615383</v>
      </c>
      <c r="P427">
        <v>-0.56846153846153769</v>
      </c>
      <c r="Q427">
        <v>426</v>
      </c>
      <c r="R427">
        <v>8</v>
      </c>
      <c r="S427" t="s">
        <v>24</v>
      </c>
      <c r="T427" t="s">
        <v>87</v>
      </c>
      <c r="U427">
        <v>5000</v>
      </c>
      <c r="V427">
        <v>1000</v>
      </c>
    </row>
    <row r="428" spans="1:22" x14ac:dyDescent="0.3">
      <c r="A428" t="s">
        <v>537</v>
      </c>
      <c r="B428" t="s">
        <v>35</v>
      </c>
      <c r="C428">
        <v>0.99</v>
      </c>
      <c r="D428">
        <v>12.7</v>
      </c>
      <c r="E428">
        <v>8.64</v>
      </c>
      <c r="F428">
        <v>1.56</v>
      </c>
      <c r="G428">
        <v>54.41460794844253</v>
      </c>
      <c r="H428">
        <v>41.472203157172274</v>
      </c>
      <c r="I428">
        <v>47.590361445783131</v>
      </c>
      <c r="J428">
        <v>47.119763259731755</v>
      </c>
      <c r="K428">
        <v>44.827586206896555</v>
      </c>
      <c r="L428">
        <v>6.4744117230145841</v>
      </c>
      <c r="M428">
        <v>88.785989946619182</v>
      </c>
      <c r="N428">
        <v>56.963275668244805</v>
      </c>
      <c r="O428">
        <v>9.2084615384615383</v>
      </c>
      <c r="P428">
        <v>-0.56846153846153769</v>
      </c>
      <c r="Q428">
        <v>426</v>
      </c>
      <c r="R428">
        <v>8</v>
      </c>
      <c r="S428" t="s">
        <v>24</v>
      </c>
      <c r="T428" t="s">
        <v>87</v>
      </c>
      <c r="U428">
        <v>5000</v>
      </c>
      <c r="V428">
        <v>1000</v>
      </c>
    </row>
    <row r="429" spans="1:22" x14ac:dyDescent="0.3">
      <c r="A429" t="s">
        <v>538</v>
      </c>
      <c r="B429" t="s">
        <v>358</v>
      </c>
      <c r="C429">
        <v>5.47</v>
      </c>
      <c r="D429">
        <v>3.94</v>
      </c>
      <c r="E429">
        <v>5.43</v>
      </c>
      <c r="F429">
        <v>0.54</v>
      </c>
      <c r="G429">
        <v>64.038668098818476</v>
      </c>
      <c r="H429">
        <v>26.441317776252575</v>
      </c>
      <c r="I429">
        <v>36.215450035435858</v>
      </c>
      <c r="J429">
        <v>38.847853970357392</v>
      </c>
      <c r="K429">
        <v>83.908045977011497</v>
      </c>
      <c r="L429">
        <v>19.507374144582244</v>
      </c>
      <c r="M429">
        <v>66.212236859328087</v>
      </c>
      <c r="N429">
        <v>56.953997694263592</v>
      </c>
      <c r="O429">
        <v>5.0554237288135591</v>
      </c>
      <c r="P429">
        <v>0.37457627118644066</v>
      </c>
      <c r="Q429">
        <v>428</v>
      </c>
      <c r="R429">
        <v>8</v>
      </c>
      <c r="S429" t="s">
        <v>24</v>
      </c>
      <c r="T429" t="s">
        <v>359</v>
      </c>
      <c r="U429">
        <v>5000</v>
      </c>
      <c r="V429">
        <v>1000</v>
      </c>
    </row>
    <row r="430" spans="1:22" x14ac:dyDescent="0.3">
      <c r="A430" t="s">
        <v>539</v>
      </c>
      <c r="B430" t="s">
        <v>77</v>
      </c>
      <c r="C430">
        <v>6.61</v>
      </c>
      <c r="D430">
        <v>18.190000000000001</v>
      </c>
      <c r="E430">
        <v>9.7799999999999994</v>
      </c>
      <c r="F430">
        <v>1.84</v>
      </c>
      <c r="G430">
        <v>66.487647690655209</v>
      </c>
      <c r="H430">
        <v>50.892244337680168</v>
      </c>
      <c r="I430">
        <v>51.630049610205518</v>
      </c>
      <c r="J430">
        <v>54.380227644537854</v>
      </c>
      <c r="K430">
        <v>34.099616858237546</v>
      </c>
      <c r="L430">
        <v>8.7987611162247692</v>
      </c>
      <c r="M430">
        <v>84.760098703037244</v>
      </c>
      <c r="N430">
        <v>56.905042712587623</v>
      </c>
      <c r="O430">
        <v>9.0435999999999996</v>
      </c>
      <c r="P430">
        <v>0.73639999999999972</v>
      </c>
      <c r="Q430">
        <v>429</v>
      </c>
      <c r="R430">
        <v>10</v>
      </c>
      <c r="S430" t="s">
        <v>24</v>
      </c>
      <c r="T430" t="s">
        <v>78</v>
      </c>
      <c r="U430">
        <v>5000</v>
      </c>
      <c r="V430">
        <v>1000</v>
      </c>
    </row>
    <row r="431" spans="1:22" x14ac:dyDescent="0.3">
      <c r="A431" t="s">
        <v>540</v>
      </c>
      <c r="B431" t="s">
        <v>148</v>
      </c>
      <c r="C431">
        <v>0.56999999999999995</v>
      </c>
      <c r="D431">
        <v>13.19</v>
      </c>
      <c r="E431">
        <v>9.83</v>
      </c>
      <c r="F431">
        <v>1.7</v>
      </c>
      <c r="G431">
        <v>53.512352309344791</v>
      </c>
      <c r="H431">
        <v>42.312971859986277</v>
      </c>
      <c r="I431">
        <v>51.807228915662648</v>
      </c>
      <c r="J431">
        <v>49.299976477696163</v>
      </c>
      <c r="K431">
        <v>39.463601532567047</v>
      </c>
      <c r="L431">
        <v>6.0342699817572019</v>
      </c>
      <c r="M431">
        <v>89.548337805008799</v>
      </c>
      <c r="N431">
        <v>56.902973073242045</v>
      </c>
      <c r="O431">
        <v>10.461</v>
      </c>
      <c r="P431">
        <v>-0.63100000000000023</v>
      </c>
      <c r="Q431">
        <v>430</v>
      </c>
      <c r="R431">
        <v>12</v>
      </c>
      <c r="S431" t="s">
        <v>24</v>
      </c>
      <c r="T431" t="s">
        <v>107</v>
      </c>
      <c r="U431">
        <v>1000</v>
      </c>
      <c r="V431">
        <v>1000</v>
      </c>
    </row>
    <row r="432" spans="1:22" x14ac:dyDescent="0.3">
      <c r="A432" t="s">
        <v>541</v>
      </c>
      <c r="B432" t="s">
        <v>161</v>
      </c>
      <c r="C432">
        <v>4.62</v>
      </c>
      <c r="D432">
        <v>3.06</v>
      </c>
      <c r="E432">
        <v>4.24</v>
      </c>
      <c r="F432">
        <v>0.38</v>
      </c>
      <c r="G432">
        <v>62.212674543501613</v>
      </c>
      <c r="H432">
        <v>24.931365820178453</v>
      </c>
      <c r="I432">
        <v>31.998582565556344</v>
      </c>
      <c r="J432">
        <v>35.921235937532032</v>
      </c>
      <c r="K432">
        <v>90.038314176245223</v>
      </c>
      <c r="L432">
        <v>19.802074330322139</v>
      </c>
      <c r="M432">
        <v>65.701801164626602</v>
      </c>
      <c r="N432">
        <v>56.895646803983972</v>
      </c>
      <c r="O432">
        <v>4.9189795918367345</v>
      </c>
      <c r="P432">
        <v>-0.67897959183673429</v>
      </c>
      <c r="Q432">
        <v>431</v>
      </c>
      <c r="R432">
        <v>5</v>
      </c>
      <c r="S432" t="s">
        <v>24</v>
      </c>
      <c r="T432" t="s">
        <v>535</v>
      </c>
      <c r="U432">
        <v>5000</v>
      </c>
      <c r="V432">
        <v>1000</v>
      </c>
    </row>
    <row r="433" spans="1:22" x14ac:dyDescent="0.3">
      <c r="A433" t="s">
        <v>542</v>
      </c>
      <c r="B433" t="s">
        <v>148</v>
      </c>
      <c r="C433">
        <v>0.56999999999999995</v>
      </c>
      <c r="D433">
        <v>13.18</v>
      </c>
      <c r="E433">
        <v>9.82</v>
      </c>
      <c r="F433">
        <v>1.7</v>
      </c>
      <c r="G433">
        <v>53.512352309344791</v>
      </c>
      <c r="H433">
        <v>42.295813315030891</v>
      </c>
      <c r="I433">
        <v>51.771793054571226</v>
      </c>
      <c r="J433">
        <v>49.277110983663839</v>
      </c>
      <c r="K433">
        <v>39.463601532567047</v>
      </c>
      <c r="L433">
        <v>6.0364791829139541</v>
      </c>
      <c r="M433">
        <v>89.54451135636117</v>
      </c>
      <c r="N433">
        <v>56.890583714063972</v>
      </c>
      <c r="O433">
        <v>10.461</v>
      </c>
      <c r="P433">
        <v>-0.64100000000000001</v>
      </c>
      <c r="Q433">
        <v>432</v>
      </c>
      <c r="R433">
        <v>13</v>
      </c>
      <c r="S433" t="s">
        <v>24</v>
      </c>
      <c r="T433" t="s">
        <v>107</v>
      </c>
      <c r="U433">
        <v>1000</v>
      </c>
      <c r="V433">
        <v>1000</v>
      </c>
    </row>
    <row r="434" spans="1:22" x14ac:dyDescent="0.3">
      <c r="A434" t="s">
        <v>543</v>
      </c>
      <c r="B434" t="s">
        <v>272</v>
      </c>
      <c r="C434">
        <v>3.48</v>
      </c>
      <c r="D434">
        <v>14.55</v>
      </c>
      <c r="E434">
        <v>9.98</v>
      </c>
      <c r="F434">
        <v>1.75</v>
      </c>
      <c r="G434">
        <v>59.763694951664867</v>
      </c>
      <c r="H434">
        <v>44.64653397391902</v>
      </c>
      <c r="I434">
        <v>52.338766832034025</v>
      </c>
      <c r="J434">
        <v>51.516082598525692</v>
      </c>
      <c r="K434">
        <v>37.547892720306521</v>
      </c>
      <c r="L434">
        <v>7.5589743567081769</v>
      </c>
      <c r="M434">
        <v>86.907472361071171</v>
      </c>
      <c r="N434">
        <v>56.871882569607273</v>
      </c>
      <c r="O434">
        <v>10.044583333333334</v>
      </c>
      <c r="P434">
        <v>-6.4583333333333215E-2</v>
      </c>
      <c r="Q434">
        <v>433</v>
      </c>
      <c r="R434">
        <v>9</v>
      </c>
      <c r="S434" t="s">
        <v>24</v>
      </c>
      <c r="T434" t="s">
        <v>273</v>
      </c>
      <c r="U434">
        <v>1000</v>
      </c>
      <c r="V434">
        <v>1000</v>
      </c>
    </row>
    <row r="435" spans="1:22" x14ac:dyDescent="0.3">
      <c r="A435" t="s">
        <v>544</v>
      </c>
      <c r="B435" t="s">
        <v>395</v>
      </c>
      <c r="C435">
        <v>5.33</v>
      </c>
      <c r="D435">
        <v>3.93</v>
      </c>
      <c r="E435">
        <v>5.82</v>
      </c>
      <c r="F435">
        <v>0.6</v>
      </c>
      <c r="G435">
        <v>63.737916219119214</v>
      </c>
      <c r="H435">
        <v>26.424159231297189</v>
      </c>
      <c r="I435">
        <v>37.597448618001415</v>
      </c>
      <c r="J435">
        <v>39.473555322213713</v>
      </c>
      <c r="K435">
        <v>81.609195402298852</v>
      </c>
      <c r="L435">
        <v>19.150643603938242</v>
      </c>
      <c r="M435">
        <v>66.830112280335015</v>
      </c>
      <c r="N435">
        <v>56.84660458176532</v>
      </c>
      <c r="O435">
        <v>5.2778260869565221</v>
      </c>
      <c r="P435">
        <v>0.54217391304347817</v>
      </c>
      <c r="Q435">
        <v>434</v>
      </c>
      <c r="R435">
        <v>8</v>
      </c>
      <c r="S435" t="s">
        <v>24</v>
      </c>
      <c r="T435" t="s">
        <v>45</v>
      </c>
      <c r="U435">
        <v>5000</v>
      </c>
      <c r="V435">
        <v>1000</v>
      </c>
    </row>
    <row r="436" spans="1:22" x14ac:dyDescent="0.3">
      <c r="A436" t="s">
        <v>545</v>
      </c>
      <c r="B436" t="s">
        <v>358</v>
      </c>
      <c r="C436">
        <v>5.47</v>
      </c>
      <c r="D436">
        <v>3.94</v>
      </c>
      <c r="E436">
        <v>5.33</v>
      </c>
      <c r="F436">
        <v>0.54</v>
      </c>
      <c r="G436">
        <v>64.038668098818476</v>
      </c>
      <c r="H436">
        <v>26.441317776252575</v>
      </c>
      <c r="I436">
        <v>35.861091424521611</v>
      </c>
      <c r="J436">
        <v>38.670674664900275</v>
      </c>
      <c r="K436">
        <v>83.908045977011497</v>
      </c>
      <c r="L436">
        <v>19.563012353666501</v>
      </c>
      <c r="M436">
        <v>66.115868654352013</v>
      </c>
      <c r="N436">
        <v>56.841315990291022</v>
      </c>
      <c r="O436">
        <v>5.0554237288135591</v>
      </c>
      <c r="P436">
        <v>0.27457627118644101</v>
      </c>
      <c r="Q436">
        <v>435</v>
      </c>
      <c r="R436">
        <v>9</v>
      </c>
      <c r="S436" t="s">
        <v>24</v>
      </c>
      <c r="T436" t="s">
        <v>359</v>
      </c>
      <c r="U436">
        <v>5000</v>
      </c>
      <c r="V436">
        <v>1000</v>
      </c>
    </row>
    <row r="437" spans="1:22" x14ac:dyDescent="0.3">
      <c r="A437" t="s">
        <v>546</v>
      </c>
      <c r="B437" t="s">
        <v>148</v>
      </c>
      <c r="C437">
        <v>-3.66</v>
      </c>
      <c r="D437">
        <v>19.84</v>
      </c>
      <c r="E437">
        <v>13.39</v>
      </c>
      <c r="F437">
        <v>1.94</v>
      </c>
      <c r="G437">
        <v>44.425349087003219</v>
      </c>
      <c r="H437">
        <v>53.723404255319153</v>
      </c>
      <c r="I437">
        <v>64.422395464209785</v>
      </c>
      <c r="J437">
        <v>57.213288826101284</v>
      </c>
      <c r="K437">
        <v>30.268199233716466</v>
      </c>
      <c r="L437">
        <v>10.006698644850491</v>
      </c>
      <c r="M437">
        <v>82.667889531088321</v>
      </c>
      <c r="N437">
        <v>56.840666604251837</v>
      </c>
      <c r="O437">
        <v>10.461</v>
      </c>
      <c r="P437">
        <v>2.9290000000000003</v>
      </c>
      <c r="Q437">
        <v>436</v>
      </c>
      <c r="R437">
        <v>14</v>
      </c>
      <c r="S437" t="s">
        <v>24</v>
      </c>
      <c r="T437" t="s">
        <v>78</v>
      </c>
      <c r="U437">
        <v>5000</v>
      </c>
      <c r="V437">
        <v>1000</v>
      </c>
    </row>
    <row r="438" spans="1:22" x14ac:dyDescent="0.3">
      <c r="A438" t="s">
        <v>547</v>
      </c>
      <c r="B438" t="s">
        <v>202</v>
      </c>
      <c r="C438">
        <v>9</v>
      </c>
      <c r="D438">
        <v>17.18</v>
      </c>
      <c r="E438">
        <v>9.9</v>
      </c>
      <c r="F438">
        <v>1.73</v>
      </c>
      <c r="G438">
        <v>71.621911922663799</v>
      </c>
      <c r="H438">
        <v>49.159231297186004</v>
      </c>
      <c r="I438">
        <v>52.055279943302615</v>
      </c>
      <c r="J438">
        <v>55.099791745339871</v>
      </c>
      <c r="K438">
        <v>38.314176245210717</v>
      </c>
      <c r="L438">
        <v>12.218921158451</v>
      </c>
      <c r="M438">
        <v>78.8362077398845</v>
      </c>
      <c r="N438">
        <v>56.837491868943744</v>
      </c>
      <c r="O438">
        <v>10.023387096774194</v>
      </c>
      <c r="P438">
        <v>-0.12338709677419324</v>
      </c>
      <c r="Q438">
        <v>437</v>
      </c>
      <c r="R438">
        <v>14</v>
      </c>
      <c r="S438" t="s">
        <v>24</v>
      </c>
      <c r="T438" t="s">
        <v>107</v>
      </c>
      <c r="U438">
        <v>1000</v>
      </c>
      <c r="V438">
        <v>1000</v>
      </c>
    </row>
    <row r="439" spans="1:22" x14ac:dyDescent="0.3">
      <c r="A439" t="s">
        <v>548</v>
      </c>
      <c r="B439" t="s">
        <v>148</v>
      </c>
      <c r="C439">
        <v>-3.66</v>
      </c>
      <c r="D439">
        <v>19.850000000000001</v>
      </c>
      <c r="E439">
        <v>13.28</v>
      </c>
      <c r="F439">
        <v>1.94</v>
      </c>
      <c r="G439">
        <v>44.425349087003219</v>
      </c>
      <c r="H439">
        <v>53.740562800274546</v>
      </c>
      <c r="I439">
        <v>64.03260099220411</v>
      </c>
      <c r="J439">
        <v>57.023539153585062</v>
      </c>
      <c r="K439">
        <v>30.268199233716466</v>
      </c>
      <c r="L439">
        <v>9.8076805272029777</v>
      </c>
      <c r="M439">
        <v>83.012599022480529</v>
      </c>
      <c r="N439">
        <v>56.831969140841778</v>
      </c>
      <c r="O439">
        <v>10.461</v>
      </c>
      <c r="P439">
        <v>2.8189999999999991</v>
      </c>
      <c r="Q439">
        <v>438</v>
      </c>
      <c r="R439">
        <v>15</v>
      </c>
      <c r="S439" t="s">
        <v>24</v>
      </c>
      <c r="T439" t="s">
        <v>78</v>
      </c>
      <c r="U439">
        <v>5000</v>
      </c>
      <c r="V439">
        <v>1000</v>
      </c>
    </row>
    <row r="440" spans="1:22" x14ac:dyDescent="0.3">
      <c r="A440" t="s">
        <v>549</v>
      </c>
      <c r="B440" t="s">
        <v>192</v>
      </c>
      <c r="C440">
        <v>5.21</v>
      </c>
      <c r="D440">
        <v>3.98</v>
      </c>
      <c r="E440">
        <v>3.18</v>
      </c>
      <c r="F440">
        <v>0.28000000000000003</v>
      </c>
      <c r="G440">
        <v>63.480128893662723</v>
      </c>
      <c r="H440">
        <v>26.509951956074129</v>
      </c>
      <c r="I440">
        <v>28.242381289865342</v>
      </c>
      <c r="J440">
        <v>34.770202010487452</v>
      </c>
      <c r="K440">
        <v>93.869731800766274</v>
      </c>
      <c r="L440">
        <v>20.862622679416074</v>
      </c>
      <c r="M440">
        <v>63.864877540112616</v>
      </c>
      <c r="N440">
        <v>56.818753340463445</v>
      </c>
      <c r="O440">
        <v>4.4280373831775703</v>
      </c>
      <c r="P440">
        <v>-1.2480373831775702</v>
      </c>
      <c r="Q440">
        <v>439</v>
      </c>
      <c r="R440">
        <v>101</v>
      </c>
      <c r="S440" t="s">
        <v>24</v>
      </c>
      <c r="T440" t="s">
        <v>213</v>
      </c>
      <c r="U440">
        <v>1000</v>
      </c>
      <c r="V440">
        <v>1000</v>
      </c>
    </row>
    <row r="441" spans="1:22" x14ac:dyDescent="0.3">
      <c r="A441" t="s">
        <v>550</v>
      </c>
      <c r="B441" t="s">
        <v>551</v>
      </c>
      <c r="C441">
        <v>5.73</v>
      </c>
      <c r="D441">
        <v>2.15</v>
      </c>
      <c r="E441">
        <v>4.99</v>
      </c>
      <c r="F441">
        <v>0.39</v>
      </c>
      <c r="G441">
        <v>64.59720730397423</v>
      </c>
      <c r="H441">
        <v>23.369938229238162</v>
      </c>
      <c r="I441">
        <v>34.656272147413183</v>
      </c>
      <c r="J441">
        <v>37.258559003272886</v>
      </c>
      <c r="K441">
        <v>89.65517241379311</v>
      </c>
      <c r="L441">
        <v>21.305432197457023</v>
      </c>
      <c r="M441">
        <v>63.097908956790604</v>
      </c>
      <c r="N441">
        <v>56.817549844282368</v>
      </c>
      <c r="O441">
        <v>3.9855555555555551</v>
      </c>
      <c r="P441">
        <v>1.0044444444444451</v>
      </c>
      <c r="Q441">
        <v>440</v>
      </c>
      <c r="R441">
        <v>1</v>
      </c>
      <c r="S441" t="s">
        <v>24</v>
      </c>
      <c r="T441" t="s">
        <v>45</v>
      </c>
      <c r="U441">
        <v>5000</v>
      </c>
      <c r="V441">
        <v>1000</v>
      </c>
    </row>
    <row r="442" spans="1:22" x14ac:dyDescent="0.3">
      <c r="A442" t="s">
        <v>552</v>
      </c>
      <c r="B442" t="s">
        <v>161</v>
      </c>
      <c r="C442">
        <v>4.62</v>
      </c>
      <c r="D442">
        <v>3.06</v>
      </c>
      <c r="E442">
        <v>4.16</v>
      </c>
      <c r="F442">
        <v>0.38</v>
      </c>
      <c r="G442">
        <v>62.212674543501613</v>
      </c>
      <c r="H442">
        <v>24.931365820178453</v>
      </c>
      <c r="I442">
        <v>31.715095676824944</v>
      </c>
      <c r="J442">
        <v>35.77949249316633</v>
      </c>
      <c r="K442">
        <v>90.038314176245223</v>
      </c>
      <c r="L442">
        <v>19.857900558807202</v>
      </c>
      <c r="M442">
        <v>65.605107300495519</v>
      </c>
      <c r="N442">
        <v>56.80060161576835</v>
      </c>
      <c r="O442">
        <v>4.9189795918367345</v>
      </c>
      <c r="P442">
        <v>-0.75897959183673436</v>
      </c>
      <c r="Q442">
        <v>441</v>
      </c>
      <c r="R442">
        <v>6</v>
      </c>
      <c r="S442" t="s">
        <v>24</v>
      </c>
      <c r="T442" t="s">
        <v>535</v>
      </c>
      <c r="U442">
        <v>5000</v>
      </c>
      <c r="V442">
        <v>1000</v>
      </c>
    </row>
    <row r="443" spans="1:22" x14ac:dyDescent="0.3">
      <c r="A443" t="s">
        <v>553</v>
      </c>
      <c r="B443" t="s">
        <v>410</v>
      </c>
      <c r="C443">
        <v>5.36</v>
      </c>
      <c r="D443">
        <v>4.53</v>
      </c>
      <c r="E443">
        <v>3.88</v>
      </c>
      <c r="F443">
        <v>0.4</v>
      </c>
      <c r="G443">
        <v>63.802363050483343</v>
      </c>
      <c r="H443">
        <v>27.453671928620459</v>
      </c>
      <c r="I443">
        <v>30.722891566265055</v>
      </c>
      <c r="J443">
        <v>36.358019971815338</v>
      </c>
      <c r="K443">
        <v>89.272030651340998</v>
      </c>
      <c r="L443">
        <v>20.108731838793172</v>
      </c>
      <c r="M443">
        <v>65.170654779432283</v>
      </c>
      <c r="N443">
        <v>56.789681343600989</v>
      </c>
      <c r="O443">
        <v>4.4264935064935065</v>
      </c>
      <c r="P443">
        <v>-0.54649350649350659</v>
      </c>
      <c r="Q443">
        <v>442</v>
      </c>
      <c r="R443">
        <v>16</v>
      </c>
      <c r="S443" t="s">
        <v>24</v>
      </c>
      <c r="T443" t="s">
        <v>411</v>
      </c>
      <c r="U443">
        <v>5000</v>
      </c>
      <c r="V443">
        <v>1000</v>
      </c>
    </row>
    <row r="444" spans="1:22" x14ac:dyDescent="0.3">
      <c r="A444" t="s">
        <v>554</v>
      </c>
      <c r="B444" t="s">
        <v>161</v>
      </c>
      <c r="C444">
        <v>4.62</v>
      </c>
      <c r="D444">
        <v>3.06</v>
      </c>
      <c r="E444">
        <v>4.1500000000000004</v>
      </c>
      <c r="F444">
        <v>0.38</v>
      </c>
      <c r="G444">
        <v>62.212674543501613</v>
      </c>
      <c r="H444">
        <v>24.931365820178453</v>
      </c>
      <c r="I444">
        <v>31.679659815733519</v>
      </c>
      <c r="J444">
        <v>35.761774562620616</v>
      </c>
      <c r="K444">
        <v>90.038314176245223</v>
      </c>
      <c r="L444">
        <v>19.864962624095551</v>
      </c>
      <c r="M444">
        <v>65.592875444609746</v>
      </c>
      <c r="N444">
        <v>56.78868468652405</v>
      </c>
      <c r="O444">
        <v>4.9189795918367345</v>
      </c>
      <c r="P444">
        <v>-0.76897959183673414</v>
      </c>
      <c r="Q444">
        <v>443</v>
      </c>
      <c r="R444">
        <v>7</v>
      </c>
      <c r="S444" t="s">
        <v>24</v>
      </c>
      <c r="T444" t="s">
        <v>535</v>
      </c>
      <c r="U444">
        <v>5000</v>
      </c>
      <c r="V444">
        <v>1000</v>
      </c>
    </row>
    <row r="445" spans="1:22" x14ac:dyDescent="0.3">
      <c r="A445" t="s">
        <v>555</v>
      </c>
      <c r="B445" t="s">
        <v>395</v>
      </c>
      <c r="C445">
        <v>5.37</v>
      </c>
      <c r="D445">
        <v>4</v>
      </c>
      <c r="E445">
        <v>5.74</v>
      </c>
      <c r="F445">
        <v>0.6</v>
      </c>
      <c r="G445">
        <v>63.823845327604722</v>
      </c>
      <c r="H445">
        <v>26.544269045984905</v>
      </c>
      <c r="I445">
        <v>37.313961729270019</v>
      </c>
      <c r="J445">
        <v>39.385030643951424</v>
      </c>
      <c r="K445">
        <v>81.609195402298852</v>
      </c>
      <c r="L445">
        <v>19.185615343388438</v>
      </c>
      <c r="M445">
        <v>66.769539450778211</v>
      </c>
      <c r="N445">
        <v>56.787199035244981</v>
      </c>
      <c r="O445">
        <v>5.2778260869565221</v>
      </c>
      <c r="P445">
        <v>0.4621739130434781</v>
      </c>
      <c r="Q445">
        <v>444</v>
      </c>
      <c r="R445">
        <v>9</v>
      </c>
      <c r="S445" t="s">
        <v>24</v>
      </c>
      <c r="T445" t="s">
        <v>45</v>
      </c>
      <c r="U445">
        <v>5000</v>
      </c>
      <c r="V445">
        <v>1000</v>
      </c>
    </row>
    <row r="446" spans="1:22" x14ac:dyDescent="0.3">
      <c r="A446" t="s">
        <v>556</v>
      </c>
      <c r="B446" t="s">
        <v>410</v>
      </c>
      <c r="C446">
        <v>5.36</v>
      </c>
      <c r="D446">
        <v>4.5199999999999996</v>
      </c>
      <c r="E446">
        <v>3.87</v>
      </c>
      <c r="F446">
        <v>0.4</v>
      </c>
      <c r="G446">
        <v>63.802363050483343</v>
      </c>
      <c r="H446">
        <v>27.436513383665069</v>
      </c>
      <c r="I446">
        <v>30.687455705173633</v>
      </c>
      <c r="J446">
        <v>36.335154477783007</v>
      </c>
      <c r="K446">
        <v>89.272030651340998</v>
      </c>
      <c r="L446">
        <v>20.123124080088598</v>
      </c>
      <c r="M446">
        <v>65.145726686273832</v>
      </c>
      <c r="N446">
        <v>56.772016573295211</v>
      </c>
      <c r="O446">
        <v>4.4264935064935065</v>
      </c>
      <c r="P446">
        <v>-0.55649350649350637</v>
      </c>
      <c r="Q446">
        <v>445</v>
      </c>
      <c r="R446">
        <v>17</v>
      </c>
      <c r="S446" t="s">
        <v>24</v>
      </c>
      <c r="T446" t="s">
        <v>411</v>
      </c>
      <c r="U446">
        <v>5000</v>
      </c>
      <c r="V446">
        <v>1000</v>
      </c>
    </row>
    <row r="447" spans="1:22" x14ac:dyDescent="0.3">
      <c r="A447" t="s">
        <v>557</v>
      </c>
      <c r="B447" t="s">
        <v>410</v>
      </c>
      <c r="C447">
        <v>5.37</v>
      </c>
      <c r="D447">
        <v>4.5199999999999996</v>
      </c>
      <c r="E447">
        <v>3.87</v>
      </c>
      <c r="F447">
        <v>0.4</v>
      </c>
      <c r="G447">
        <v>63.823845327604722</v>
      </c>
      <c r="H447">
        <v>27.436513383665069</v>
      </c>
      <c r="I447">
        <v>30.687455705173633</v>
      </c>
      <c r="J447">
        <v>36.339450933207281</v>
      </c>
      <c r="K447">
        <v>89.272030651340998</v>
      </c>
      <c r="L447">
        <v>20.135486374333354</v>
      </c>
      <c r="M447">
        <v>65.124314564543795</v>
      </c>
      <c r="N447">
        <v>56.768811770574843</v>
      </c>
      <c r="O447">
        <v>4.4264935064935065</v>
      </c>
      <c r="P447">
        <v>-0.55649350649350637</v>
      </c>
      <c r="Q447">
        <v>446</v>
      </c>
      <c r="R447">
        <v>18</v>
      </c>
      <c r="S447" t="s">
        <v>24</v>
      </c>
      <c r="T447" t="s">
        <v>411</v>
      </c>
      <c r="U447">
        <v>5000</v>
      </c>
      <c r="V447">
        <v>1000</v>
      </c>
    </row>
    <row r="448" spans="1:22" x14ac:dyDescent="0.3">
      <c r="A448" t="s">
        <v>558</v>
      </c>
      <c r="B448" t="s">
        <v>410</v>
      </c>
      <c r="C448">
        <v>5.9</v>
      </c>
      <c r="D448">
        <v>4.88</v>
      </c>
      <c r="E448">
        <v>4.47</v>
      </c>
      <c r="F448">
        <v>0.48</v>
      </c>
      <c r="G448">
        <v>64.962406015037587</v>
      </c>
      <c r="H448">
        <v>28.05422100205903</v>
      </c>
      <c r="I448">
        <v>32.813607370659106</v>
      </c>
      <c r="J448">
        <v>37.815551188954785</v>
      </c>
      <c r="K448">
        <v>86.206896551724128</v>
      </c>
      <c r="L448">
        <v>20.076566496933111</v>
      </c>
      <c r="M448">
        <v>65.226366785776747</v>
      </c>
      <c r="N448">
        <v>56.766091428852612</v>
      </c>
      <c r="O448">
        <v>4.4264935064935065</v>
      </c>
      <c r="P448">
        <v>4.3506493506493271E-2</v>
      </c>
      <c r="Q448">
        <v>447</v>
      </c>
      <c r="R448">
        <v>19</v>
      </c>
      <c r="S448" t="s">
        <v>24</v>
      </c>
      <c r="T448" t="s">
        <v>499</v>
      </c>
      <c r="U448">
        <v>5000</v>
      </c>
      <c r="V448">
        <v>1000</v>
      </c>
    </row>
    <row r="449" spans="1:22" x14ac:dyDescent="0.3">
      <c r="A449" t="s">
        <v>559</v>
      </c>
      <c r="B449" t="s">
        <v>195</v>
      </c>
      <c r="C449">
        <v>7.35</v>
      </c>
      <c r="D449">
        <v>18.809999999999999</v>
      </c>
      <c r="E449">
        <v>11.63</v>
      </c>
      <c r="F449">
        <v>2.09</v>
      </c>
      <c r="G449">
        <v>68.077336197636939</v>
      </c>
      <c r="H449">
        <v>51.95607412491421</v>
      </c>
      <c r="I449">
        <v>58.185683912119067</v>
      </c>
      <c r="J449">
        <v>58.295131433061186</v>
      </c>
      <c r="K449">
        <v>24.521072796934874</v>
      </c>
      <c r="L449">
        <v>8.1296567563442039</v>
      </c>
      <c r="M449">
        <v>85.919021449916244</v>
      </c>
      <c r="N449">
        <v>56.757589278243373</v>
      </c>
      <c r="O449">
        <v>10.412619047619048</v>
      </c>
      <c r="P449">
        <v>1.2173809523809531</v>
      </c>
      <c r="Q449">
        <v>448</v>
      </c>
      <c r="R449">
        <v>14</v>
      </c>
      <c r="S449" t="s">
        <v>24</v>
      </c>
      <c r="T449" t="s">
        <v>196</v>
      </c>
      <c r="U449">
        <v>1000</v>
      </c>
      <c r="V449">
        <v>1000</v>
      </c>
    </row>
    <row r="450" spans="1:22" x14ac:dyDescent="0.3">
      <c r="A450" t="s">
        <v>560</v>
      </c>
      <c r="B450" t="s">
        <v>51</v>
      </c>
      <c r="C450">
        <v>8.7799999999999994</v>
      </c>
      <c r="D450">
        <v>23.08</v>
      </c>
      <c r="E450">
        <v>9.25</v>
      </c>
      <c r="F450">
        <v>1.9</v>
      </c>
      <c r="G450">
        <v>71.149301825993547</v>
      </c>
      <c r="H450">
        <v>59.282772820864793</v>
      </c>
      <c r="I450">
        <v>49.751948972360026</v>
      </c>
      <c r="J450">
        <v>56.89066669763816</v>
      </c>
      <c r="K450">
        <v>31.800766283524908</v>
      </c>
      <c r="L450">
        <v>10.719902230615164</v>
      </c>
      <c r="M450">
        <v>81.432584684403594</v>
      </c>
      <c r="N450">
        <v>56.753671090801205</v>
      </c>
      <c r="O450">
        <v>12.127586206896551</v>
      </c>
      <c r="P450">
        <v>-2.8775862068965505</v>
      </c>
      <c r="Q450">
        <v>449</v>
      </c>
      <c r="R450">
        <v>21</v>
      </c>
      <c r="S450" t="s">
        <v>24</v>
      </c>
      <c r="T450" t="s">
        <v>52</v>
      </c>
      <c r="U450">
        <v>5000</v>
      </c>
      <c r="V450">
        <v>1000</v>
      </c>
    </row>
    <row r="451" spans="1:22" x14ac:dyDescent="0.3">
      <c r="A451" t="s">
        <v>561</v>
      </c>
      <c r="B451" t="s">
        <v>395</v>
      </c>
      <c r="C451">
        <v>5.33</v>
      </c>
      <c r="D451">
        <v>3.93</v>
      </c>
      <c r="E451">
        <v>5.72</v>
      </c>
      <c r="F451">
        <v>0.6</v>
      </c>
      <c r="G451">
        <v>63.737916219119214</v>
      </c>
      <c r="H451">
        <v>26.424159231297189</v>
      </c>
      <c r="I451">
        <v>37.243090007087162</v>
      </c>
      <c r="J451">
        <v>39.296376016756582</v>
      </c>
      <c r="K451">
        <v>81.609195402298852</v>
      </c>
      <c r="L451">
        <v>19.197836421861677</v>
      </c>
      <c r="M451">
        <v>66.748371921939281</v>
      </c>
      <c r="N451">
        <v>56.737579839437828</v>
      </c>
      <c r="O451">
        <v>5.2778260869565221</v>
      </c>
      <c r="P451">
        <v>0.44217391304347764</v>
      </c>
      <c r="Q451">
        <v>450</v>
      </c>
      <c r="R451">
        <v>10</v>
      </c>
      <c r="S451" t="s">
        <v>24</v>
      </c>
      <c r="T451" t="s">
        <v>45</v>
      </c>
      <c r="U451">
        <v>5000</v>
      </c>
      <c r="V451">
        <v>1000</v>
      </c>
    </row>
    <row r="452" spans="1:22" x14ac:dyDescent="0.3">
      <c r="A452" t="s">
        <v>562</v>
      </c>
      <c r="B452" t="s">
        <v>410</v>
      </c>
      <c r="C452">
        <v>5.77</v>
      </c>
      <c r="D452">
        <v>4.75</v>
      </c>
      <c r="E452">
        <v>4.54</v>
      </c>
      <c r="F452">
        <v>0.49</v>
      </c>
      <c r="G452">
        <v>64.683136412459717</v>
      </c>
      <c r="H452">
        <v>27.831159917638988</v>
      </c>
      <c r="I452">
        <v>33.061658398299073</v>
      </c>
      <c r="J452">
        <v>37.816804456933177</v>
      </c>
      <c r="K452">
        <v>85.82375478927203</v>
      </c>
      <c r="L452">
        <v>19.938840478368896</v>
      </c>
      <c r="M452">
        <v>65.464915247454144</v>
      </c>
      <c r="N452">
        <v>56.730569737648132</v>
      </c>
      <c r="O452">
        <v>4.4264935064935065</v>
      </c>
      <c r="P452">
        <v>0.11350649350649356</v>
      </c>
      <c r="Q452">
        <v>451</v>
      </c>
      <c r="R452">
        <v>20</v>
      </c>
      <c r="S452" t="s">
        <v>24</v>
      </c>
      <c r="T452" t="s">
        <v>411</v>
      </c>
      <c r="U452">
        <v>5000</v>
      </c>
      <c r="V452">
        <v>1000</v>
      </c>
    </row>
    <row r="453" spans="1:22" x14ac:dyDescent="0.3">
      <c r="A453" t="s">
        <v>563</v>
      </c>
      <c r="B453" t="s">
        <v>410</v>
      </c>
      <c r="C453">
        <v>5.9</v>
      </c>
      <c r="D453">
        <v>4.88</v>
      </c>
      <c r="E453">
        <v>4.4400000000000004</v>
      </c>
      <c r="F453">
        <v>0.48</v>
      </c>
      <c r="G453">
        <v>64.962406015037587</v>
      </c>
      <c r="H453">
        <v>28.05422100205903</v>
      </c>
      <c r="I453">
        <v>32.707299787384834</v>
      </c>
      <c r="J453">
        <v>37.762397397317642</v>
      </c>
      <c r="K453">
        <v>86.206896551724128</v>
      </c>
      <c r="L453">
        <v>20.100817317097114</v>
      </c>
      <c r="M453">
        <v>65.184363133127476</v>
      </c>
      <c r="N453">
        <v>56.729013619871722</v>
      </c>
      <c r="O453">
        <v>4.4264935064935065</v>
      </c>
      <c r="P453">
        <v>1.3506493506493911E-2</v>
      </c>
      <c r="Q453">
        <v>452</v>
      </c>
      <c r="R453">
        <v>21</v>
      </c>
      <c r="S453" t="s">
        <v>24</v>
      </c>
      <c r="T453" t="s">
        <v>499</v>
      </c>
      <c r="U453">
        <v>5000</v>
      </c>
      <c r="V453">
        <v>1000</v>
      </c>
    </row>
    <row r="454" spans="1:22" x14ac:dyDescent="0.3">
      <c r="A454" t="s">
        <v>564</v>
      </c>
      <c r="B454" t="s">
        <v>410</v>
      </c>
      <c r="C454">
        <v>5.86</v>
      </c>
      <c r="D454">
        <v>4.8600000000000003</v>
      </c>
      <c r="E454">
        <v>4.41</v>
      </c>
      <c r="F454">
        <v>0.48</v>
      </c>
      <c r="G454">
        <v>64.876476906552099</v>
      </c>
      <c r="H454">
        <v>28.019903912148251</v>
      </c>
      <c r="I454">
        <v>32.600992204110554</v>
      </c>
      <c r="J454">
        <v>37.681762657010175</v>
      </c>
      <c r="K454">
        <v>86.206896551724128</v>
      </c>
      <c r="L454">
        <v>20.087725338325853</v>
      </c>
      <c r="M454">
        <v>65.207039105530896</v>
      </c>
      <c r="N454">
        <v>56.694365242818847</v>
      </c>
      <c r="O454">
        <v>4.4264935064935065</v>
      </c>
      <c r="P454">
        <v>-1.6493506493506338E-2</v>
      </c>
      <c r="Q454">
        <v>453</v>
      </c>
      <c r="R454">
        <v>22</v>
      </c>
      <c r="S454" t="s">
        <v>24</v>
      </c>
      <c r="T454" t="s">
        <v>499</v>
      </c>
      <c r="U454">
        <v>5000</v>
      </c>
      <c r="V454">
        <v>1000</v>
      </c>
    </row>
    <row r="455" spans="1:22" x14ac:dyDescent="0.3">
      <c r="A455" t="s">
        <v>565</v>
      </c>
      <c r="B455" t="s">
        <v>395</v>
      </c>
      <c r="C455">
        <v>5.34</v>
      </c>
      <c r="D455">
        <v>3.93</v>
      </c>
      <c r="E455">
        <v>5.67</v>
      </c>
      <c r="F455">
        <v>0.6</v>
      </c>
      <c r="G455">
        <v>63.759398496240593</v>
      </c>
      <c r="H455">
        <v>26.424159231297189</v>
      </c>
      <c r="I455">
        <v>37.065910701630045</v>
      </c>
      <c r="J455">
        <v>39.212082819452299</v>
      </c>
      <c r="K455">
        <v>81.609195402298852</v>
      </c>
      <c r="L455">
        <v>19.234124431887221</v>
      </c>
      <c r="M455">
        <v>66.685519244869468</v>
      </c>
      <c r="N455">
        <v>56.679720071518233</v>
      </c>
      <c r="O455">
        <v>5.2778260869565221</v>
      </c>
      <c r="P455">
        <v>0.39217391304347782</v>
      </c>
      <c r="Q455">
        <v>454</v>
      </c>
      <c r="R455">
        <v>11</v>
      </c>
      <c r="S455" t="s">
        <v>24</v>
      </c>
      <c r="T455" t="s">
        <v>45</v>
      </c>
      <c r="U455">
        <v>5000</v>
      </c>
      <c r="V455">
        <v>1000</v>
      </c>
    </row>
    <row r="456" spans="1:22" x14ac:dyDescent="0.3">
      <c r="A456" t="s">
        <v>566</v>
      </c>
      <c r="B456" t="s">
        <v>410</v>
      </c>
      <c r="C456">
        <v>5.78</v>
      </c>
      <c r="D456">
        <v>4.76</v>
      </c>
      <c r="E456">
        <v>4.4800000000000004</v>
      </c>
      <c r="F456">
        <v>0.49</v>
      </c>
      <c r="G456">
        <v>64.704618689581096</v>
      </c>
      <c r="H456">
        <v>27.848318462594374</v>
      </c>
      <c r="I456">
        <v>32.849043231750528</v>
      </c>
      <c r="J456">
        <v>37.719940892569795</v>
      </c>
      <c r="K456">
        <v>85.82375478927203</v>
      </c>
      <c r="L456">
        <v>19.992381058744066</v>
      </c>
      <c r="M456">
        <v>65.372180241977617</v>
      </c>
      <c r="N456">
        <v>56.658954204097313</v>
      </c>
      <c r="O456">
        <v>4.4264935064935065</v>
      </c>
      <c r="P456">
        <v>5.3506493506493946E-2</v>
      </c>
      <c r="Q456">
        <v>455</v>
      </c>
      <c r="R456">
        <v>23</v>
      </c>
      <c r="S456" t="s">
        <v>24</v>
      </c>
      <c r="T456" t="s">
        <v>411</v>
      </c>
      <c r="U456">
        <v>5000</v>
      </c>
      <c r="V456">
        <v>1000</v>
      </c>
    </row>
    <row r="457" spans="1:22" x14ac:dyDescent="0.3">
      <c r="A457" t="s">
        <v>567</v>
      </c>
      <c r="B457" t="s">
        <v>410</v>
      </c>
      <c r="C457">
        <v>5.78</v>
      </c>
      <c r="D457">
        <v>4.75</v>
      </c>
      <c r="E457">
        <v>4.4800000000000004</v>
      </c>
      <c r="F457">
        <v>0.49</v>
      </c>
      <c r="G457">
        <v>64.704618689581096</v>
      </c>
      <c r="H457">
        <v>27.831159917638988</v>
      </c>
      <c r="I457">
        <v>32.849043231750528</v>
      </c>
      <c r="J457">
        <v>37.714793329083179</v>
      </c>
      <c r="K457">
        <v>85.82375478927203</v>
      </c>
      <c r="L457">
        <v>19.998369944029982</v>
      </c>
      <c r="M457">
        <v>65.361807188381704</v>
      </c>
      <c r="N457">
        <v>56.653787158955026</v>
      </c>
      <c r="O457">
        <v>4.4264935064935065</v>
      </c>
      <c r="P457">
        <v>5.3506493506493946E-2</v>
      </c>
      <c r="Q457">
        <v>456</v>
      </c>
      <c r="R457">
        <v>24</v>
      </c>
      <c r="S457" t="s">
        <v>24</v>
      </c>
      <c r="T457" t="s">
        <v>411</v>
      </c>
      <c r="U457">
        <v>5000</v>
      </c>
      <c r="V457">
        <v>1000</v>
      </c>
    </row>
    <row r="458" spans="1:22" x14ac:dyDescent="0.3">
      <c r="A458" t="s">
        <v>568</v>
      </c>
      <c r="B458" t="s">
        <v>410</v>
      </c>
      <c r="C458">
        <v>5.9</v>
      </c>
      <c r="D458">
        <v>4.88</v>
      </c>
      <c r="E458">
        <v>4.37</v>
      </c>
      <c r="F458">
        <v>0.48</v>
      </c>
      <c r="G458">
        <v>64.962406015037587</v>
      </c>
      <c r="H458">
        <v>28.05422100205903</v>
      </c>
      <c r="I458">
        <v>32.459248759744867</v>
      </c>
      <c r="J458">
        <v>37.638371883497662</v>
      </c>
      <c r="K458">
        <v>86.206896551724128</v>
      </c>
      <c r="L458">
        <v>20.158015866566686</v>
      </c>
      <c r="M458">
        <v>65.085292339326926</v>
      </c>
      <c r="N458">
        <v>56.642233164511595</v>
      </c>
      <c r="O458">
        <v>4.4264935064935065</v>
      </c>
      <c r="P458">
        <v>-5.6493506493506374E-2</v>
      </c>
      <c r="Q458">
        <v>457</v>
      </c>
      <c r="R458">
        <v>25</v>
      </c>
      <c r="S458" t="s">
        <v>24</v>
      </c>
      <c r="T458" t="s">
        <v>499</v>
      </c>
      <c r="U458">
        <v>5000</v>
      </c>
      <c r="V458">
        <v>1000</v>
      </c>
    </row>
    <row r="459" spans="1:22" x14ac:dyDescent="0.3">
      <c r="A459" t="s">
        <v>569</v>
      </c>
      <c r="B459" t="s">
        <v>262</v>
      </c>
      <c r="C459">
        <v>5.53</v>
      </c>
      <c r="D459">
        <v>4.5199999999999996</v>
      </c>
      <c r="E459">
        <v>3.72</v>
      </c>
      <c r="F459">
        <v>0.39</v>
      </c>
      <c r="G459">
        <v>64.167561761546722</v>
      </c>
      <c r="H459">
        <v>27.436513383665069</v>
      </c>
      <c r="I459">
        <v>30.155917788802267</v>
      </c>
      <c r="J459">
        <v>36.142425261809997</v>
      </c>
      <c r="K459">
        <v>89.65517241379311</v>
      </c>
      <c r="L459">
        <v>20.466871609936248</v>
      </c>
      <c r="M459">
        <v>64.550338499601395</v>
      </c>
      <c r="N459">
        <v>56.622590359253628</v>
      </c>
      <c r="O459">
        <v>4.4728846153846158</v>
      </c>
      <c r="P459">
        <v>-0.7528846153846156</v>
      </c>
      <c r="Q459">
        <v>458</v>
      </c>
      <c r="R459">
        <v>32</v>
      </c>
      <c r="S459" t="s">
        <v>24</v>
      </c>
      <c r="T459" t="s">
        <v>263</v>
      </c>
      <c r="U459">
        <v>5000</v>
      </c>
      <c r="V459">
        <v>1000</v>
      </c>
    </row>
    <row r="460" spans="1:22" x14ac:dyDescent="0.3">
      <c r="A460" t="s">
        <v>570</v>
      </c>
      <c r="B460" t="s">
        <v>262</v>
      </c>
      <c r="C460">
        <v>5.51</v>
      </c>
      <c r="D460">
        <v>4.47</v>
      </c>
      <c r="E460">
        <v>3.73</v>
      </c>
      <c r="F460">
        <v>0.39</v>
      </c>
      <c r="G460">
        <v>64.124597207303964</v>
      </c>
      <c r="H460">
        <v>27.350720658888129</v>
      </c>
      <c r="I460">
        <v>30.191353649893692</v>
      </c>
      <c r="J460">
        <v>36.125812464074073</v>
      </c>
      <c r="K460">
        <v>89.65517241379311</v>
      </c>
      <c r="L460">
        <v>20.460743756904517</v>
      </c>
      <c r="M460">
        <v>64.560952252393662</v>
      </c>
      <c r="N460">
        <v>56.61693739858373</v>
      </c>
      <c r="O460">
        <v>4.4728846153846158</v>
      </c>
      <c r="P460">
        <v>-0.74288461538461581</v>
      </c>
      <c r="Q460">
        <v>459</v>
      </c>
      <c r="R460">
        <v>33</v>
      </c>
      <c r="S460" t="s">
        <v>24</v>
      </c>
      <c r="T460" t="s">
        <v>263</v>
      </c>
      <c r="U460">
        <v>5000</v>
      </c>
      <c r="V460">
        <v>1000</v>
      </c>
    </row>
    <row r="461" spans="1:22" x14ac:dyDescent="0.3">
      <c r="A461" t="s">
        <v>571</v>
      </c>
      <c r="B461" t="s">
        <v>358</v>
      </c>
      <c r="C461">
        <v>5.47</v>
      </c>
      <c r="D461">
        <v>3.94</v>
      </c>
      <c r="E461">
        <v>5.12</v>
      </c>
      <c r="F461">
        <v>0.54</v>
      </c>
      <c r="G461">
        <v>64.038668098818476</v>
      </c>
      <c r="H461">
        <v>26.441317776252575</v>
      </c>
      <c r="I461">
        <v>35.116938341601703</v>
      </c>
      <c r="J461">
        <v>38.298598123440314</v>
      </c>
      <c r="K461">
        <v>83.908045977011497</v>
      </c>
      <c r="L461">
        <v>19.68626253516706</v>
      </c>
      <c r="M461">
        <v>65.902393077950961</v>
      </c>
      <c r="N461">
        <v>56.601908825460775</v>
      </c>
      <c r="O461">
        <v>5.0554237288135591</v>
      </c>
      <c r="P461">
        <v>6.4576271186441048E-2</v>
      </c>
      <c r="Q461">
        <v>460</v>
      </c>
      <c r="R461">
        <v>10</v>
      </c>
      <c r="S461" t="s">
        <v>24</v>
      </c>
      <c r="T461" t="s">
        <v>359</v>
      </c>
      <c r="U461">
        <v>5000</v>
      </c>
      <c r="V461">
        <v>1000</v>
      </c>
    </row>
    <row r="462" spans="1:22" x14ac:dyDescent="0.3">
      <c r="A462" t="s">
        <v>572</v>
      </c>
      <c r="B462" t="s">
        <v>272</v>
      </c>
      <c r="C462">
        <v>3.49</v>
      </c>
      <c r="D462">
        <v>14.55</v>
      </c>
      <c r="E462">
        <v>9.64</v>
      </c>
      <c r="F462">
        <v>1.75</v>
      </c>
      <c r="G462">
        <v>59.785177228786246</v>
      </c>
      <c r="H462">
        <v>44.64653397391902</v>
      </c>
      <c r="I462">
        <v>51.133947554925584</v>
      </c>
      <c r="J462">
        <v>50.917969415395746</v>
      </c>
      <c r="K462">
        <v>37.547892720306521</v>
      </c>
      <c r="L462">
        <v>7.5950513432437559</v>
      </c>
      <c r="M462">
        <v>86.844985187407559</v>
      </c>
      <c r="N462">
        <v>56.557204184626393</v>
      </c>
      <c r="O462">
        <v>10.044583333333334</v>
      </c>
      <c r="P462">
        <v>-0.40458333333333307</v>
      </c>
      <c r="Q462">
        <v>461</v>
      </c>
      <c r="R462">
        <v>10</v>
      </c>
      <c r="S462" t="s">
        <v>24</v>
      </c>
      <c r="T462" t="s">
        <v>273</v>
      </c>
      <c r="U462">
        <v>1000</v>
      </c>
      <c r="V462">
        <v>1000</v>
      </c>
    </row>
    <row r="463" spans="1:22" x14ac:dyDescent="0.3">
      <c r="A463" t="s">
        <v>573</v>
      </c>
      <c r="B463" t="s">
        <v>262</v>
      </c>
      <c r="C463">
        <v>5.5</v>
      </c>
      <c r="D463">
        <v>4.49</v>
      </c>
      <c r="E463">
        <v>3.67</v>
      </c>
      <c r="F463">
        <v>0.39</v>
      </c>
      <c r="G463">
        <v>64.103114930182585</v>
      </c>
      <c r="H463">
        <v>27.385037748798908</v>
      </c>
      <c r="I463">
        <v>29.978738483345147</v>
      </c>
      <c r="J463">
        <v>36.025503552348766</v>
      </c>
      <c r="K463">
        <v>89.65517241379311</v>
      </c>
      <c r="L463">
        <v>20.49153298024946</v>
      </c>
      <c r="M463">
        <v>64.50762375323464</v>
      </c>
      <c r="N463">
        <v>56.553450817931321</v>
      </c>
      <c r="O463">
        <v>4.4728846153846158</v>
      </c>
      <c r="P463">
        <v>-0.80288461538461586</v>
      </c>
      <c r="Q463">
        <v>462</v>
      </c>
      <c r="R463">
        <v>34</v>
      </c>
      <c r="S463" t="s">
        <v>24</v>
      </c>
      <c r="T463" t="s">
        <v>263</v>
      </c>
      <c r="U463">
        <v>5000</v>
      </c>
      <c r="V463">
        <v>1000</v>
      </c>
    </row>
    <row r="464" spans="1:22" x14ac:dyDescent="0.3">
      <c r="A464" t="s">
        <v>574</v>
      </c>
      <c r="B464" t="s">
        <v>358</v>
      </c>
      <c r="C464">
        <v>4.88</v>
      </c>
      <c r="D464">
        <v>3.61</v>
      </c>
      <c r="E464">
        <v>5.31</v>
      </c>
      <c r="F464">
        <v>0.56999999999999995</v>
      </c>
      <c r="G464">
        <v>62.771213748657352</v>
      </c>
      <c r="H464">
        <v>25.875085792724782</v>
      </c>
      <c r="I464">
        <v>35.790219702338767</v>
      </c>
      <c r="J464">
        <v>38.211878338718293</v>
      </c>
      <c r="K464">
        <v>82.758620689655174</v>
      </c>
      <c r="L464">
        <v>19.094537518679722</v>
      </c>
      <c r="M464">
        <v>66.927290870616559</v>
      </c>
      <c r="N464">
        <v>56.52741705942708</v>
      </c>
      <c r="O464">
        <v>5.0554237288135591</v>
      </c>
      <c r="P464">
        <v>0.25457627118644055</v>
      </c>
      <c r="Q464">
        <v>463</v>
      </c>
      <c r="R464">
        <v>11</v>
      </c>
      <c r="S464" t="s">
        <v>24</v>
      </c>
      <c r="T464" t="s">
        <v>575</v>
      </c>
      <c r="U464">
        <v>1000</v>
      </c>
      <c r="V464">
        <v>1000</v>
      </c>
    </row>
    <row r="465" spans="1:22" x14ac:dyDescent="0.3">
      <c r="A465" t="s">
        <v>576</v>
      </c>
      <c r="B465" t="s">
        <v>395</v>
      </c>
      <c r="C465">
        <v>5.42</v>
      </c>
      <c r="D465">
        <v>3.56</v>
      </c>
      <c r="E465">
        <v>5.88</v>
      </c>
      <c r="F465">
        <v>0.62</v>
      </c>
      <c r="G465">
        <v>63.931256713211596</v>
      </c>
      <c r="H465">
        <v>25.789293067947845</v>
      </c>
      <c r="I465">
        <v>37.810063784549961</v>
      </c>
      <c r="J465">
        <v>39.428071155301652</v>
      </c>
      <c r="K465">
        <v>80.842911877394627</v>
      </c>
      <c r="L465">
        <v>19.500534348892867</v>
      </c>
      <c r="M465">
        <v>66.224083732975487</v>
      </c>
      <c r="N465">
        <v>56.480784480243358</v>
      </c>
      <c r="O465">
        <v>5.2778260869565221</v>
      </c>
      <c r="P465">
        <v>0.60217391304347778</v>
      </c>
      <c r="Q465">
        <v>464</v>
      </c>
      <c r="R465">
        <v>12</v>
      </c>
      <c r="S465" t="s">
        <v>24</v>
      </c>
      <c r="T465" t="s">
        <v>577</v>
      </c>
      <c r="U465">
        <v>5000</v>
      </c>
      <c r="V465">
        <v>1000</v>
      </c>
    </row>
    <row r="466" spans="1:22" x14ac:dyDescent="0.3">
      <c r="A466" t="s">
        <v>578</v>
      </c>
      <c r="B466" t="s">
        <v>358</v>
      </c>
      <c r="C466">
        <v>5.52</v>
      </c>
      <c r="D466">
        <v>3.47</v>
      </c>
      <c r="E466">
        <v>5.77</v>
      </c>
      <c r="F466">
        <v>0.6</v>
      </c>
      <c r="G466">
        <v>64.146079484425343</v>
      </c>
      <c r="H466">
        <v>25.634866163349351</v>
      </c>
      <c r="I466">
        <v>37.420269312544292</v>
      </c>
      <c r="J466">
        <v>39.229810402162016</v>
      </c>
      <c r="K466">
        <v>81.609195402298852</v>
      </c>
      <c r="L466">
        <v>19.732706387255888</v>
      </c>
      <c r="M466">
        <v>65.821949966433891</v>
      </c>
      <c r="N466">
        <v>56.472691543264197</v>
      </c>
      <c r="O466">
        <v>5.0554237288135591</v>
      </c>
      <c r="P466">
        <v>0.71457627118644051</v>
      </c>
      <c r="Q466">
        <v>465</v>
      </c>
      <c r="R466">
        <v>12</v>
      </c>
      <c r="S466" t="s">
        <v>24</v>
      </c>
      <c r="T466" t="s">
        <v>359</v>
      </c>
      <c r="U466">
        <v>1000</v>
      </c>
      <c r="V466">
        <v>1000</v>
      </c>
    </row>
    <row r="467" spans="1:22" x14ac:dyDescent="0.3">
      <c r="A467" t="s">
        <v>579</v>
      </c>
      <c r="B467" t="s">
        <v>358</v>
      </c>
      <c r="C467">
        <v>5.52</v>
      </c>
      <c r="D467">
        <v>3.47</v>
      </c>
      <c r="E467">
        <v>5.77</v>
      </c>
      <c r="F467">
        <v>0.6</v>
      </c>
      <c r="G467">
        <v>64.146079484425343</v>
      </c>
      <c r="H467">
        <v>25.634866163349351</v>
      </c>
      <c r="I467">
        <v>37.420269312544292</v>
      </c>
      <c r="J467">
        <v>39.229810402162016</v>
      </c>
      <c r="K467">
        <v>81.609195402298852</v>
      </c>
      <c r="L467">
        <v>19.732706387255888</v>
      </c>
      <c r="M467">
        <v>65.821949966433891</v>
      </c>
      <c r="N467">
        <v>56.472691543264197</v>
      </c>
      <c r="O467">
        <v>5.0554237288135591</v>
      </c>
      <c r="P467">
        <v>0.71457627118644051</v>
      </c>
      <c r="Q467">
        <v>465</v>
      </c>
      <c r="R467">
        <v>12</v>
      </c>
      <c r="S467" t="s">
        <v>24</v>
      </c>
      <c r="T467" t="s">
        <v>359</v>
      </c>
      <c r="U467">
        <v>1000</v>
      </c>
      <c r="V467">
        <v>1000</v>
      </c>
    </row>
    <row r="468" spans="1:22" x14ac:dyDescent="0.3">
      <c r="A468" t="s">
        <v>580</v>
      </c>
      <c r="B468" t="s">
        <v>358</v>
      </c>
      <c r="C468">
        <v>4.88</v>
      </c>
      <c r="D468">
        <v>3.61</v>
      </c>
      <c r="E468">
        <v>5.26</v>
      </c>
      <c r="F468">
        <v>0.56999999999999995</v>
      </c>
      <c r="G468">
        <v>62.771213748657352</v>
      </c>
      <c r="H468">
        <v>25.875085792724782</v>
      </c>
      <c r="I468">
        <v>35.613040396881637</v>
      </c>
      <c r="J468">
        <v>38.123288685989721</v>
      </c>
      <c r="K468">
        <v>82.758620689655174</v>
      </c>
      <c r="L468">
        <v>19.121185448860423</v>
      </c>
      <c r="M468">
        <v>66.88113530162704</v>
      </c>
      <c r="N468">
        <v>56.471583340815414</v>
      </c>
      <c r="O468">
        <v>5.0554237288135591</v>
      </c>
      <c r="P468">
        <v>0.20457627118644073</v>
      </c>
      <c r="Q468">
        <v>467</v>
      </c>
      <c r="R468">
        <v>14</v>
      </c>
      <c r="S468" t="s">
        <v>24</v>
      </c>
      <c r="T468" t="s">
        <v>575</v>
      </c>
      <c r="U468">
        <v>20000</v>
      </c>
      <c r="V468">
        <v>1000</v>
      </c>
    </row>
    <row r="469" spans="1:22" x14ac:dyDescent="0.3">
      <c r="A469" t="s">
        <v>581</v>
      </c>
      <c r="B469" t="s">
        <v>395</v>
      </c>
      <c r="C469">
        <v>5.42</v>
      </c>
      <c r="D469">
        <v>3.56</v>
      </c>
      <c r="E469">
        <v>5.87</v>
      </c>
      <c r="F469">
        <v>0.62</v>
      </c>
      <c r="G469">
        <v>63.931256713211596</v>
      </c>
      <c r="H469">
        <v>25.789293067947845</v>
      </c>
      <c r="I469">
        <v>37.774627923458539</v>
      </c>
      <c r="J469">
        <v>39.410353224755944</v>
      </c>
      <c r="K469">
        <v>80.842911877394627</v>
      </c>
      <c r="L469">
        <v>19.504815097646528</v>
      </c>
      <c r="M469">
        <v>66.216669258639698</v>
      </c>
      <c r="N469">
        <v>56.470071896386557</v>
      </c>
      <c r="O469">
        <v>5.2778260869565221</v>
      </c>
      <c r="P469">
        <v>0.592173913043478</v>
      </c>
      <c r="Q469">
        <v>468</v>
      </c>
      <c r="R469">
        <v>13</v>
      </c>
      <c r="S469" t="s">
        <v>24</v>
      </c>
      <c r="T469" t="s">
        <v>577</v>
      </c>
      <c r="U469">
        <v>5000</v>
      </c>
      <c r="V469">
        <v>1000</v>
      </c>
    </row>
    <row r="470" spans="1:22" x14ac:dyDescent="0.3">
      <c r="A470" t="s">
        <v>582</v>
      </c>
      <c r="B470" t="s">
        <v>192</v>
      </c>
      <c r="C470">
        <v>5.21</v>
      </c>
      <c r="D470">
        <v>3.93</v>
      </c>
      <c r="E470">
        <v>2.92</v>
      </c>
      <c r="F470">
        <v>0.28000000000000003</v>
      </c>
      <c r="G470">
        <v>63.480128893662723</v>
      </c>
      <c r="H470">
        <v>26.424159231297189</v>
      </c>
      <c r="I470">
        <v>27.321048901488304</v>
      </c>
      <c r="J470">
        <v>34.28379799886585</v>
      </c>
      <c r="K470">
        <v>93.869731800766274</v>
      </c>
      <c r="L470">
        <v>21.140121272827486</v>
      </c>
      <c r="M470">
        <v>63.384235877295154</v>
      </c>
      <c r="N470">
        <v>56.455390918948282</v>
      </c>
      <c r="O470">
        <v>4.4280373831775703</v>
      </c>
      <c r="P470">
        <v>-1.5080373831775704</v>
      </c>
      <c r="Q470">
        <v>469</v>
      </c>
      <c r="R470">
        <v>102</v>
      </c>
      <c r="S470" t="s">
        <v>24</v>
      </c>
      <c r="T470" t="s">
        <v>213</v>
      </c>
      <c r="U470">
        <v>1000</v>
      </c>
      <c r="V470">
        <v>1000</v>
      </c>
    </row>
    <row r="471" spans="1:22" x14ac:dyDescent="0.3">
      <c r="A471" t="s">
        <v>583</v>
      </c>
      <c r="B471" t="s">
        <v>192</v>
      </c>
      <c r="C471">
        <v>5.2</v>
      </c>
      <c r="D471">
        <v>3.92</v>
      </c>
      <c r="E471">
        <v>2.92</v>
      </c>
      <c r="F471">
        <v>0.28000000000000003</v>
      </c>
      <c r="G471">
        <v>63.458646616541344</v>
      </c>
      <c r="H471">
        <v>26.407000686341803</v>
      </c>
      <c r="I471">
        <v>27.321048901488304</v>
      </c>
      <c r="J471">
        <v>34.274353979954967</v>
      </c>
      <c r="K471">
        <v>93.869731800766274</v>
      </c>
      <c r="L471">
        <v>21.132857193209393</v>
      </c>
      <c r="M471">
        <v>63.396817632263911</v>
      </c>
      <c r="N471">
        <v>56.453814348235035</v>
      </c>
      <c r="O471">
        <v>4.4280373831775703</v>
      </c>
      <c r="P471">
        <v>-1.5080373831775704</v>
      </c>
      <c r="Q471">
        <v>470</v>
      </c>
      <c r="R471">
        <v>103</v>
      </c>
      <c r="S471" t="s">
        <v>24</v>
      </c>
      <c r="T471" t="s">
        <v>213</v>
      </c>
      <c r="U471">
        <v>1000</v>
      </c>
      <c r="V471">
        <v>1000</v>
      </c>
    </row>
    <row r="472" spans="1:22" x14ac:dyDescent="0.3">
      <c r="A472" t="s">
        <v>584</v>
      </c>
      <c r="B472" t="s">
        <v>585</v>
      </c>
      <c r="C472">
        <v>2.66</v>
      </c>
      <c r="D472">
        <v>13.23</v>
      </c>
      <c r="E472">
        <v>10.31</v>
      </c>
      <c r="F472">
        <v>1.75</v>
      </c>
      <c r="G472">
        <v>58.002148227712134</v>
      </c>
      <c r="H472">
        <v>42.381606039807828</v>
      </c>
      <c r="I472">
        <v>53.508150248051024</v>
      </c>
      <c r="J472">
        <v>51.068986581510288</v>
      </c>
      <c r="K472">
        <v>37.547892720306521</v>
      </c>
      <c r="L472">
        <v>8.0415311778218648</v>
      </c>
      <c r="M472">
        <v>86.071659429363336</v>
      </c>
      <c r="N472">
        <v>56.439381328172608</v>
      </c>
      <c r="O472">
        <v>6.6483333333333334</v>
      </c>
      <c r="P472">
        <v>3.6616666666666671</v>
      </c>
      <c r="Q472">
        <v>471</v>
      </c>
      <c r="R472">
        <v>1</v>
      </c>
      <c r="S472" t="s">
        <v>24</v>
      </c>
      <c r="T472" t="s">
        <v>425</v>
      </c>
      <c r="U472">
        <v>5000</v>
      </c>
      <c r="V472">
        <v>1000</v>
      </c>
    </row>
    <row r="473" spans="1:22" x14ac:dyDescent="0.3">
      <c r="A473" t="s">
        <v>586</v>
      </c>
      <c r="B473" t="s">
        <v>262</v>
      </c>
      <c r="C473">
        <v>5.82</v>
      </c>
      <c r="D473">
        <v>4.59</v>
      </c>
      <c r="E473">
        <v>3.59</v>
      </c>
      <c r="F473">
        <v>0.39</v>
      </c>
      <c r="G473">
        <v>64.790547798066584</v>
      </c>
      <c r="H473">
        <v>27.556623198352781</v>
      </c>
      <c r="I473">
        <v>29.695251594613747</v>
      </c>
      <c r="J473">
        <v>36.072722316426024</v>
      </c>
      <c r="K473">
        <v>89.65517241379311</v>
      </c>
      <c r="L473">
        <v>20.907011137106444</v>
      </c>
      <c r="M473">
        <v>63.787994476123274</v>
      </c>
      <c r="N473">
        <v>56.397152880692104</v>
      </c>
      <c r="O473">
        <v>4.4728846153846158</v>
      </c>
      <c r="P473">
        <v>-0.88288461538461593</v>
      </c>
      <c r="Q473">
        <v>472</v>
      </c>
      <c r="R473">
        <v>35</v>
      </c>
      <c r="S473" t="s">
        <v>24</v>
      </c>
      <c r="T473" t="s">
        <v>263</v>
      </c>
      <c r="U473">
        <v>5000</v>
      </c>
      <c r="V473">
        <v>1000</v>
      </c>
    </row>
    <row r="474" spans="1:22" x14ac:dyDescent="0.3">
      <c r="A474" t="s">
        <v>587</v>
      </c>
      <c r="B474" t="s">
        <v>192</v>
      </c>
      <c r="C474">
        <v>4.8099999999999996</v>
      </c>
      <c r="D474">
        <v>3.77</v>
      </c>
      <c r="E474">
        <v>2.82</v>
      </c>
      <c r="F474">
        <v>0.28000000000000003</v>
      </c>
      <c r="G474">
        <v>62.620837808807728</v>
      </c>
      <c r="H474">
        <v>26.149622512010986</v>
      </c>
      <c r="I474">
        <v>26.966690290574057</v>
      </c>
      <c r="J474">
        <v>33.852399460651867</v>
      </c>
      <c r="K474">
        <v>93.869731800766274</v>
      </c>
      <c r="L474">
        <v>20.824806442606036</v>
      </c>
      <c r="M474">
        <v>63.930377183618653</v>
      </c>
      <c r="N474">
        <v>56.37622697642216</v>
      </c>
      <c r="O474">
        <v>4.4280373831775703</v>
      </c>
      <c r="P474">
        <v>-1.6080373831775705</v>
      </c>
      <c r="Q474">
        <v>473</v>
      </c>
      <c r="R474">
        <v>104</v>
      </c>
      <c r="S474" t="s">
        <v>24</v>
      </c>
      <c r="T474" t="s">
        <v>213</v>
      </c>
      <c r="U474">
        <v>1000</v>
      </c>
      <c r="V474">
        <v>1000</v>
      </c>
    </row>
    <row r="475" spans="1:22" x14ac:dyDescent="0.3">
      <c r="A475" t="s">
        <v>588</v>
      </c>
      <c r="B475" t="s">
        <v>272</v>
      </c>
      <c r="C475">
        <v>3.76</v>
      </c>
      <c r="D475">
        <v>14.65</v>
      </c>
      <c r="E475">
        <v>11.53</v>
      </c>
      <c r="F475">
        <v>1.92</v>
      </c>
      <c r="G475">
        <v>60.365198711063371</v>
      </c>
      <c r="H475">
        <v>44.818119423472893</v>
      </c>
      <c r="I475">
        <v>57.831325301204807</v>
      </c>
      <c r="J475">
        <v>54.434138219856948</v>
      </c>
      <c r="K475">
        <v>31.034482758620683</v>
      </c>
      <c r="L475">
        <v>8.3414199035900509</v>
      </c>
      <c r="M475">
        <v>85.552236919715739</v>
      </c>
      <c r="N475">
        <v>56.363749029512583</v>
      </c>
      <c r="O475">
        <v>10.044583333333334</v>
      </c>
      <c r="P475">
        <v>1.4854166666666657</v>
      </c>
      <c r="Q475">
        <v>474</v>
      </c>
      <c r="R475">
        <v>11</v>
      </c>
      <c r="S475" t="s">
        <v>24</v>
      </c>
      <c r="T475" t="s">
        <v>273</v>
      </c>
      <c r="U475">
        <v>1000</v>
      </c>
      <c r="V475">
        <v>1000</v>
      </c>
    </row>
    <row r="476" spans="1:22" x14ac:dyDescent="0.3">
      <c r="A476" t="s">
        <v>589</v>
      </c>
      <c r="B476" t="s">
        <v>161</v>
      </c>
      <c r="C476">
        <v>4.5</v>
      </c>
      <c r="D476">
        <v>3.32</v>
      </c>
      <c r="E476">
        <v>5.17</v>
      </c>
      <c r="F476">
        <v>0.56999999999999995</v>
      </c>
      <c r="G476">
        <v>61.954887218045108</v>
      </c>
      <c r="H476">
        <v>25.377487989018533</v>
      </c>
      <c r="I476">
        <v>35.294117647058819</v>
      </c>
      <c r="J476">
        <v>37.651282663843986</v>
      </c>
      <c r="K476">
        <v>82.758620689655174</v>
      </c>
      <c r="L476">
        <v>18.916669510652707</v>
      </c>
      <c r="M476">
        <v>67.23536729756043</v>
      </c>
      <c r="N476">
        <v>56.324138328725894</v>
      </c>
      <c r="O476">
        <v>4.9189795918367345</v>
      </c>
      <c r="P476">
        <v>0.25102040816326543</v>
      </c>
      <c r="Q476">
        <v>475</v>
      </c>
      <c r="R476">
        <v>8</v>
      </c>
      <c r="S476" t="s">
        <v>24</v>
      </c>
      <c r="T476" t="s">
        <v>535</v>
      </c>
      <c r="U476">
        <v>1000</v>
      </c>
      <c r="V476">
        <v>1000</v>
      </c>
    </row>
    <row r="477" spans="1:22" x14ac:dyDescent="0.3">
      <c r="A477" t="s">
        <v>590</v>
      </c>
      <c r="B477" t="s">
        <v>358</v>
      </c>
      <c r="C477">
        <v>5.51</v>
      </c>
      <c r="D477">
        <v>3.47</v>
      </c>
      <c r="E477">
        <v>5.62</v>
      </c>
      <c r="F477">
        <v>0.6</v>
      </c>
      <c r="G477">
        <v>64.124597207303964</v>
      </c>
      <c r="H477">
        <v>25.634866163349351</v>
      </c>
      <c r="I477">
        <v>36.888731396172922</v>
      </c>
      <c r="J477">
        <v>38.95974498855206</v>
      </c>
      <c r="K477">
        <v>81.609195402298852</v>
      </c>
      <c r="L477">
        <v>19.79015439133163</v>
      </c>
      <c r="M477">
        <v>65.722447104581292</v>
      </c>
      <c r="N477">
        <v>56.312783120996073</v>
      </c>
      <c r="O477">
        <v>5.0554237288135591</v>
      </c>
      <c r="P477">
        <v>0.56457627118644105</v>
      </c>
      <c r="Q477">
        <v>476</v>
      </c>
      <c r="R477">
        <v>15</v>
      </c>
      <c r="S477" t="s">
        <v>24</v>
      </c>
      <c r="T477" t="s">
        <v>359</v>
      </c>
      <c r="U477">
        <v>1000</v>
      </c>
      <c r="V477">
        <v>1000</v>
      </c>
    </row>
    <row r="478" spans="1:22" x14ac:dyDescent="0.3">
      <c r="A478" t="s">
        <v>591</v>
      </c>
      <c r="B478" t="s">
        <v>592</v>
      </c>
      <c r="C478">
        <v>-0.51</v>
      </c>
      <c r="D478">
        <v>18.09</v>
      </c>
      <c r="E478">
        <v>11.49</v>
      </c>
      <c r="F478">
        <v>2.12</v>
      </c>
      <c r="G478">
        <v>51.192266380236305</v>
      </c>
      <c r="H478">
        <v>50.720658888126295</v>
      </c>
      <c r="I478">
        <v>57.689581856839126</v>
      </c>
      <c r="J478">
        <v>54.299441870904715</v>
      </c>
      <c r="K478">
        <v>23.371647509578541</v>
      </c>
      <c r="L478">
        <v>3.8945134350127768</v>
      </c>
      <c r="M478">
        <v>93.254504859798274</v>
      </c>
      <c r="N478">
        <v>56.306259027796557</v>
      </c>
      <c r="O478">
        <v>12.223750000000001</v>
      </c>
      <c r="P478">
        <v>-0.73375000000000057</v>
      </c>
      <c r="Q478">
        <v>477</v>
      </c>
      <c r="R478">
        <v>1</v>
      </c>
      <c r="S478" t="s">
        <v>24</v>
      </c>
      <c r="T478" t="s">
        <v>593</v>
      </c>
      <c r="U478">
        <v>5000</v>
      </c>
      <c r="V478">
        <v>1000</v>
      </c>
    </row>
    <row r="479" spans="1:22" x14ac:dyDescent="0.3">
      <c r="A479" t="s">
        <v>594</v>
      </c>
      <c r="B479" t="s">
        <v>592</v>
      </c>
      <c r="C479">
        <v>-0.51</v>
      </c>
      <c r="D479">
        <v>18.09</v>
      </c>
      <c r="E479">
        <v>11.49</v>
      </c>
      <c r="F479">
        <v>2.12</v>
      </c>
      <c r="G479">
        <v>51.192266380236305</v>
      </c>
      <c r="H479">
        <v>50.720658888126295</v>
      </c>
      <c r="I479">
        <v>57.689581856839126</v>
      </c>
      <c r="J479">
        <v>54.299441870904715</v>
      </c>
      <c r="K479">
        <v>23.371647509578541</v>
      </c>
      <c r="L479">
        <v>3.8945134350127768</v>
      </c>
      <c r="M479">
        <v>93.254504859798274</v>
      </c>
      <c r="N479">
        <v>56.306259027796557</v>
      </c>
      <c r="O479">
        <v>12.223750000000001</v>
      </c>
      <c r="P479">
        <v>-0.73375000000000057</v>
      </c>
      <c r="Q479">
        <v>477</v>
      </c>
      <c r="R479">
        <v>1</v>
      </c>
      <c r="S479" t="s">
        <v>24</v>
      </c>
      <c r="T479" t="s">
        <v>593</v>
      </c>
      <c r="U479">
        <v>5000</v>
      </c>
      <c r="V479">
        <v>1000</v>
      </c>
    </row>
    <row r="480" spans="1:22" x14ac:dyDescent="0.3">
      <c r="A480" t="s">
        <v>595</v>
      </c>
      <c r="B480" t="s">
        <v>592</v>
      </c>
      <c r="C480">
        <v>-3.33</v>
      </c>
      <c r="D480">
        <v>18.760000000000002</v>
      </c>
      <c r="E480">
        <v>14.08</v>
      </c>
      <c r="F480">
        <v>1.99</v>
      </c>
      <c r="G480">
        <v>45.13426423200859</v>
      </c>
      <c r="H480">
        <v>51.870281400137273</v>
      </c>
      <c r="I480">
        <v>66.867469879518069</v>
      </c>
      <c r="J480">
        <v>58.021672206201934</v>
      </c>
      <c r="K480">
        <v>28.352490421455933</v>
      </c>
      <c r="L480">
        <v>11.125210239903591</v>
      </c>
      <c r="M480">
        <v>80.730570619601437</v>
      </c>
      <c r="N480">
        <v>56.281601363365311</v>
      </c>
      <c r="O480">
        <v>12.223750000000001</v>
      </c>
      <c r="P480">
        <v>1.8562499999999993</v>
      </c>
      <c r="Q480">
        <v>479</v>
      </c>
      <c r="R480">
        <v>3</v>
      </c>
      <c r="S480" t="s">
        <v>24</v>
      </c>
      <c r="T480" t="s">
        <v>593</v>
      </c>
      <c r="U480">
        <v>5000</v>
      </c>
      <c r="V480">
        <v>1000</v>
      </c>
    </row>
    <row r="481" spans="1:22" x14ac:dyDescent="0.3">
      <c r="A481" t="s">
        <v>596</v>
      </c>
      <c r="B481" t="s">
        <v>202</v>
      </c>
      <c r="C481">
        <v>3.59</v>
      </c>
      <c r="D481">
        <v>15.53</v>
      </c>
      <c r="E481">
        <v>10.25</v>
      </c>
      <c r="F481">
        <v>1.9</v>
      </c>
      <c r="G481">
        <v>60</v>
      </c>
      <c r="H481">
        <v>46.328071379547019</v>
      </c>
      <c r="I481">
        <v>53.295535081502479</v>
      </c>
      <c r="J481">
        <v>52.546188954615346</v>
      </c>
      <c r="K481">
        <v>31.800766283524908</v>
      </c>
      <c r="L481">
        <v>6.8363858931966899</v>
      </c>
      <c r="M481">
        <v>88.159032292836187</v>
      </c>
      <c r="N481">
        <v>56.26304412139794</v>
      </c>
      <c r="O481">
        <v>10.023387096774194</v>
      </c>
      <c r="P481">
        <v>0.22661290322580641</v>
      </c>
      <c r="Q481">
        <v>480</v>
      </c>
      <c r="R481">
        <v>15</v>
      </c>
      <c r="S481" t="s">
        <v>24</v>
      </c>
      <c r="T481" t="s">
        <v>78</v>
      </c>
      <c r="U481">
        <v>1000</v>
      </c>
      <c r="V481">
        <v>1000</v>
      </c>
    </row>
    <row r="482" spans="1:22" x14ac:dyDescent="0.3">
      <c r="A482" t="s">
        <v>597</v>
      </c>
      <c r="B482" t="s">
        <v>170</v>
      </c>
      <c r="C482">
        <v>9.44</v>
      </c>
      <c r="D482">
        <v>10.57</v>
      </c>
      <c r="E482">
        <v>6.2</v>
      </c>
      <c r="F482">
        <v>0.94</v>
      </c>
      <c r="G482">
        <v>72.567132116004302</v>
      </c>
      <c r="H482">
        <v>37.817433081674679</v>
      </c>
      <c r="I482">
        <v>38.944011339475551</v>
      </c>
      <c r="J482">
        <v>45.330662017441043</v>
      </c>
      <c r="K482">
        <v>68.582375478927204</v>
      </c>
      <c r="L482">
        <v>19.745569175135966</v>
      </c>
      <c r="M482">
        <v>65.799670964298627</v>
      </c>
      <c r="N482">
        <v>56.260842619526983</v>
      </c>
      <c r="O482">
        <v>6.9120588235294118</v>
      </c>
      <c r="P482">
        <v>-0.71205882352941163</v>
      </c>
      <c r="Q482">
        <v>481</v>
      </c>
      <c r="R482">
        <v>5</v>
      </c>
      <c r="S482" t="s">
        <v>24</v>
      </c>
      <c r="T482" t="s">
        <v>598</v>
      </c>
      <c r="U482">
        <v>1000</v>
      </c>
      <c r="V482">
        <v>1000</v>
      </c>
    </row>
    <row r="483" spans="1:22" x14ac:dyDescent="0.3">
      <c r="A483" t="s">
        <v>599</v>
      </c>
      <c r="B483" t="s">
        <v>170</v>
      </c>
      <c r="C483">
        <v>9.44</v>
      </c>
      <c r="D483">
        <v>10.57</v>
      </c>
      <c r="E483">
        <v>6.2</v>
      </c>
      <c r="F483">
        <v>0.94</v>
      </c>
      <c r="G483">
        <v>72.567132116004302</v>
      </c>
      <c r="H483">
        <v>37.817433081674679</v>
      </c>
      <c r="I483">
        <v>38.944011339475551</v>
      </c>
      <c r="J483">
        <v>45.330662017441043</v>
      </c>
      <c r="K483">
        <v>68.582375478927204</v>
      </c>
      <c r="L483">
        <v>19.745569175135966</v>
      </c>
      <c r="M483">
        <v>65.799670964298627</v>
      </c>
      <c r="N483">
        <v>56.260842619526983</v>
      </c>
      <c r="O483">
        <v>6.9120588235294118</v>
      </c>
      <c r="P483">
        <v>-0.71205882352941163</v>
      </c>
      <c r="Q483">
        <v>481</v>
      </c>
      <c r="R483">
        <v>5</v>
      </c>
      <c r="S483" t="s">
        <v>24</v>
      </c>
      <c r="T483" t="s">
        <v>598</v>
      </c>
      <c r="U483">
        <v>1000</v>
      </c>
      <c r="V483">
        <v>1000</v>
      </c>
    </row>
    <row r="484" spans="1:22" x14ac:dyDescent="0.3">
      <c r="A484" t="s">
        <v>600</v>
      </c>
      <c r="B484" t="s">
        <v>262</v>
      </c>
      <c r="C484">
        <v>5.82</v>
      </c>
      <c r="D484">
        <v>4.37</v>
      </c>
      <c r="E484">
        <v>4.4800000000000004</v>
      </c>
      <c r="F484">
        <v>0.51</v>
      </c>
      <c r="G484">
        <v>64.790547798066584</v>
      </c>
      <c r="H484">
        <v>27.179135209334255</v>
      </c>
      <c r="I484">
        <v>32.849043231750528</v>
      </c>
      <c r="J484">
        <v>37.536371738288857</v>
      </c>
      <c r="K484">
        <v>85.057471264367805</v>
      </c>
      <c r="L484">
        <v>20.277351601653599</v>
      </c>
      <c r="M484">
        <v>64.878596782997818</v>
      </c>
      <c r="N484">
        <v>56.252202880985834</v>
      </c>
      <c r="O484">
        <v>4.4728846153846158</v>
      </c>
      <c r="P484">
        <v>7.1153846153846345E-3</v>
      </c>
      <c r="Q484">
        <v>483</v>
      </c>
      <c r="R484">
        <v>36</v>
      </c>
      <c r="S484" t="s">
        <v>24</v>
      </c>
      <c r="T484" t="s">
        <v>263</v>
      </c>
      <c r="U484">
        <v>1000</v>
      </c>
      <c r="V484">
        <v>1000</v>
      </c>
    </row>
    <row r="485" spans="1:22" x14ac:dyDescent="0.3">
      <c r="A485" t="s">
        <v>601</v>
      </c>
      <c r="B485" t="s">
        <v>138</v>
      </c>
      <c r="C485">
        <v>1.77</v>
      </c>
      <c r="D485">
        <v>12.46</v>
      </c>
      <c r="E485">
        <v>11.09</v>
      </c>
      <c r="F485">
        <v>1.77</v>
      </c>
      <c r="G485">
        <v>56.090225563909769</v>
      </c>
      <c r="H485">
        <v>41.060398078242969</v>
      </c>
      <c r="I485">
        <v>56.27214741318214</v>
      </c>
      <c r="J485">
        <v>51.672238242845914</v>
      </c>
      <c r="K485">
        <v>36.781609195402297</v>
      </c>
      <c r="L485">
        <v>8.7304651235121309</v>
      </c>
      <c r="M485">
        <v>84.878390832368893</v>
      </c>
      <c r="N485">
        <v>56.251119128365758</v>
      </c>
      <c r="O485">
        <v>9.219019607843137</v>
      </c>
      <c r="P485">
        <v>1.8709803921568628</v>
      </c>
      <c r="Q485">
        <v>484</v>
      </c>
      <c r="R485">
        <v>7</v>
      </c>
      <c r="S485" t="s">
        <v>24</v>
      </c>
      <c r="T485" t="s">
        <v>134</v>
      </c>
      <c r="U485">
        <v>5000</v>
      </c>
      <c r="V485">
        <v>1000</v>
      </c>
    </row>
    <row r="486" spans="1:22" x14ac:dyDescent="0.3">
      <c r="A486" t="s">
        <v>602</v>
      </c>
      <c r="B486" t="s">
        <v>35</v>
      </c>
      <c r="C486">
        <v>1.1200000000000001</v>
      </c>
      <c r="D486">
        <v>11.17</v>
      </c>
      <c r="E486">
        <v>8</v>
      </c>
      <c r="F486">
        <v>1.47</v>
      </c>
      <c r="G486">
        <v>54.693877551020407</v>
      </c>
      <c r="H486">
        <v>38.846945778997942</v>
      </c>
      <c r="I486">
        <v>45.322466335931963</v>
      </c>
      <c r="J486">
        <v>45.254092411869443</v>
      </c>
      <c r="K486">
        <v>48.275862068965523</v>
      </c>
      <c r="L486">
        <v>7.9674437685778035</v>
      </c>
      <c r="M486">
        <v>86.199982586375199</v>
      </c>
      <c r="N486">
        <v>56.246007369769899</v>
      </c>
      <c r="O486">
        <v>9.2084615384615383</v>
      </c>
      <c r="P486">
        <v>-1.2084615384615383</v>
      </c>
      <c r="Q486">
        <v>485</v>
      </c>
      <c r="R486">
        <v>10</v>
      </c>
      <c r="S486" t="s">
        <v>24</v>
      </c>
      <c r="T486" t="s">
        <v>134</v>
      </c>
      <c r="U486">
        <v>5000</v>
      </c>
      <c r="V486">
        <v>1000</v>
      </c>
    </row>
    <row r="487" spans="1:22" x14ac:dyDescent="0.3">
      <c r="A487" t="s">
        <v>603</v>
      </c>
      <c r="B487" t="s">
        <v>35</v>
      </c>
      <c r="C487">
        <v>1.1200000000000001</v>
      </c>
      <c r="D487">
        <v>11.17</v>
      </c>
      <c r="E487">
        <v>8</v>
      </c>
      <c r="F487">
        <v>1.47</v>
      </c>
      <c r="G487">
        <v>54.693877551020407</v>
      </c>
      <c r="H487">
        <v>38.846945778997942</v>
      </c>
      <c r="I487">
        <v>45.322466335931963</v>
      </c>
      <c r="J487">
        <v>45.254092411869443</v>
      </c>
      <c r="K487">
        <v>48.275862068965523</v>
      </c>
      <c r="L487">
        <v>7.9674437685778035</v>
      </c>
      <c r="M487">
        <v>86.199982586375199</v>
      </c>
      <c r="N487">
        <v>56.246007369769899</v>
      </c>
      <c r="O487">
        <v>9.2084615384615383</v>
      </c>
      <c r="P487">
        <v>-1.2084615384615383</v>
      </c>
      <c r="Q487">
        <v>485</v>
      </c>
      <c r="R487">
        <v>10</v>
      </c>
      <c r="S487" t="s">
        <v>24</v>
      </c>
      <c r="T487" t="s">
        <v>134</v>
      </c>
      <c r="U487">
        <v>5000</v>
      </c>
      <c r="V487">
        <v>1000</v>
      </c>
    </row>
    <row r="488" spans="1:22" x14ac:dyDescent="0.3">
      <c r="A488" t="s">
        <v>604</v>
      </c>
      <c r="B488" t="s">
        <v>229</v>
      </c>
      <c r="C488">
        <v>5.28</v>
      </c>
      <c r="D488">
        <v>4.42</v>
      </c>
      <c r="E488">
        <v>4.93</v>
      </c>
      <c r="F488">
        <v>0.59</v>
      </c>
      <c r="G488">
        <v>63.630504833512347</v>
      </c>
      <c r="H488">
        <v>27.264927934111192</v>
      </c>
      <c r="I488">
        <v>34.443656980864631</v>
      </c>
      <c r="J488">
        <v>38.127407837368139</v>
      </c>
      <c r="K488">
        <v>81.992337164750964</v>
      </c>
      <c r="L488">
        <v>19.260760721938301</v>
      </c>
      <c r="M488">
        <v>66.639383837175856</v>
      </c>
      <c r="N488">
        <v>56.221634169165768</v>
      </c>
      <c r="O488">
        <v>5.1221052631578941</v>
      </c>
      <c r="P488">
        <v>-0.19210526315789433</v>
      </c>
      <c r="Q488">
        <v>487</v>
      </c>
      <c r="R488">
        <v>14</v>
      </c>
      <c r="S488" t="s">
        <v>24</v>
      </c>
      <c r="T488" t="s">
        <v>230</v>
      </c>
      <c r="U488">
        <v>5000</v>
      </c>
      <c r="V488">
        <v>1000</v>
      </c>
    </row>
    <row r="489" spans="1:22" x14ac:dyDescent="0.3">
      <c r="A489" t="s">
        <v>605</v>
      </c>
      <c r="B489" t="s">
        <v>44</v>
      </c>
      <c r="C489">
        <v>2.12</v>
      </c>
      <c r="D489">
        <v>12.36</v>
      </c>
      <c r="E489">
        <v>9.23</v>
      </c>
      <c r="F489">
        <v>1.64</v>
      </c>
      <c r="G489">
        <v>56.84210526315789</v>
      </c>
      <c r="H489">
        <v>40.888812628689095</v>
      </c>
      <c r="I489">
        <v>49.681077250177182</v>
      </c>
      <c r="J489">
        <v>48.475603466326902</v>
      </c>
      <c r="K489">
        <v>41.762452107279692</v>
      </c>
      <c r="L489">
        <v>7.9905338292461385</v>
      </c>
      <c r="M489">
        <v>86.159989428147796</v>
      </c>
      <c r="N489">
        <v>56.218412117020321</v>
      </c>
      <c r="O489">
        <v>7.5967647058823538</v>
      </c>
      <c r="P489">
        <v>1.6332352941176467</v>
      </c>
      <c r="Q489">
        <v>488</v>
      </c>
      <c r="R489">
        <v>20</v>
      </c>
      <c r="S489" t="s">
        <v>24</v>
      </c>
      <c r="T489" t="s">
        <v>112</v>
      </c>
      <c r="U489">
        <v>1000</v>
      </c>
      <c r="V489">
        <v>1000</v>
      </c>
    </row>
    <row r="490" spans="1:22" x14ac:dyDescent="0.3">
      <c r="A490" t="s">
        <v>606</v>
      </c>
      <c r="B490" t="s">
        <v>44</v>
      </c>
      <c r="C490">
        <v>2.12</v>
      </c>
      <c r="D490">
        <v>12.36</v>
      </c>
      <c r="E490">
        <v>9.23</v>
      </c>
      <c r="F490">
        <v>1.64</v>
      </c>
      <c r="G490">
        <v>56.84210526315789</v>
      </c>
      <c r="H490">
        <v>40.888812628689095</v>
      </c>
      <c r="I490">
        <v>49.681077250177182</v>
      </c>
      <c r="J490">
        <v>48.475603466326902</v>
      </c>
      <c r="K490">
        <v>41.762452107279692</v>
      </c>
      <c r="L490">
        <v>7.9905338292461385</v>
      </c>
      <c r="M490">
        <v>86.159989428147796</v>
      </c>
      <c r="N490">
        <v>56.218412117020321</v>
      </c>
      <c r="O490">
        <v>7.5967647058823538</v>
      </c>
      <c r="P490">
        <v>1.6332352941176467</v>
      </c>
      <c r="Q490">
        <v>488</v>
      </c>
      <c r="R490">
        <v>20</v>
      </c>
      <c r="S490" t="s">
        <v>24</v>
      </c>
      <c r="T490" t="s">
        <v>112</v>
      </c>
      <c r="U490">
        <v>1000</v>
      </c>
      <c r="V490">
        <v>1000</v>
      </c>
    </row>
    <row r="491" spans="1:22" x14ac:dyDescent="0.3">
      <c r="A491" t="s">
        <v>607</v>
      </c>
      <c r="B491" t="s">
        <v>44</v>
      </c>
      <c r="C491">
        <v>2.12</v>
      </c>
      <c r="D491">
        <v>12.36</v>
      </c>
      <c r="E491">
        <v>9.23</v>
      </c>
      <c r="F491">
        <v>1.64</v>
      </c>
      <c r="G491">
        <v>56.84210526315789</v>
      </c>
      <c r="H491">
        <v>40.888812628689095</v>
      </c>
      <c r="I491">
        <v>49.681077250177182</v>
      </c>
      <c r="J491">
        <v>48.475603466326902</v>
      </c>
      <c r="K491">
        <v>41.762452107279692</v>
      </c>
      <c r="L491">
        <v>7.9905338292461385</v>
      </c>
      <c r="M491">
        <v>86.159989428147796</v>
      </c>
      <c r="N491">
        <v>56.218412117020321</v>
      </c>
      <c r="O491">
        <v>7.5967647058823538</v>
      </c>
      <c r="P491">
        <v>1.6332352941176467</v>
      </c>
      <c r="Q491">
        <v>488</v>
      </c>
      <c r="R491">
        <v>20</v>
      </c>
      <c r="S491" t="s">
        <v>24</v>
      </c>
      <c r="T491" t="s">
        <v>112</v>
      </c>
      <c r="U491">
        <v>1000</v>
      </c>
      <c r="V491">
        <v>1000</v>
      </c>
    </row>
    <row r="492" spans="1:22" x14ac:dyDescent="0.3">
      <c r="A492" t="s">
        <v>608</v>
      </c>
      <c r="B492" t="s">
        <v>44</v>
      </c>
      <c r="C492">
        <v>0.54</v>
      </c>
      <c r="D492">
        <v>6.99</v>
      </c>
      <c r="E492">
        <v>6.19</v>
      </c>
      <c r="F492">
        <v>1.04</v>
      </c>
      <c r="G492">
        <v>53.447905477980662</v>
      </c>
      <c r="H492">
        <v>31.674673987645853</v>
      </c>
      <c r="I492">
        <v>38.908575478384122</v>
      </c>
      <c r="J492">
        <v>39.646271031081952</v>
      </c>
      <c r="K492">
        <v>64.750957854406124</v>
      </c>
      <c r="L492">
        <v>11.088996476587205</v>
      </c>
      <c r="M492">
        <v>80.793294697598697</v>
      </c>
      <c r="N492">
        <v>56.209198653542181</v>
      </c>
      <c r="O492">
        <v>7.5967647058823538</v>
      </c>
      <c r="P492">
        <v>-1.4067647058823534</v>
      </c>
      <c r="Q492">
        <v>491</v>
      </c>
      <c r="R492">
        <v>23</v>
      </c>
      <c r="S492" t="s">
        <v>24</v>
      </c>
      <c r="T492" t="s">
        <v>425</v>
      </c>
      <c r="U492">
        <v>1000</v>
      </c>
      <c r="V492">
        <v>1000</v>
      </c>
    </row>
    <row r="493" spans="1:22" x14ac:dyDescent="0.3">
      <c r="A493" t="s">
        <v>609</v>
      </c>
      <c r="B493" t="s">
        <v>229</v>
      </c>
      <c r="C493">
        <v>5.31</v>
      </c>
      <c r="D493">
        <v>4.37</v>
      </c>
      <c r="E493">
        <v>4.95</v>
      </c>
      <c r="F493">
        <v>0.59</v>
      </c>
      <c r="G493">
        <v>63.694951664876477</v>
      </c>
      <c r="H493">
        <v>27.179135209334255</v>
      </c>
      <c r="I493">
        <v>34.514528703047482</v>
      </c>
      <c r="J493">
        <v>38.149995247299316</v>
      </c>
      <c r="K493">
        <v>81.992337164750964</v>
      </c>
      <c r="L493">
        <v>19.3162709192436</v>
      </c>
      <c r="M493">
        <v>66.543237355104907</v>
      </c>
      <c r="N493">
        <v>56.208891253613629</v>
      </c>
      <c r="O493">
        <v>5.1221052631578941</v>
      </c>
      <c r="P493">
        <v>-0.17210526315789387</v>
      </c>
      <c r="Q493">
        <v>492</v>
      </c>
      <c r="R493">
        <v>15</v>
      </c>
      <c r="S493" t="s">
        <v>24</v>
      </c>
      <c r="T493" t="s">
        <v>230</v>
      </c>
      <c r="U493">
        <v>5000</v>
      </c>
      <c r="V493">
        <v>1000</v>
      </c>
    </row>
    <row r="494" spans="1:22" x14ac:dyDescent="0.3">
      <c r="A494" t="s">
        <v>610</v>
      </c>
      <c r="B494" t="s">
        <v>383</v>
      </c>
      <c r="C494">
        <v>1.87</v>
      </c>
      <c r="D494">
        <v>8.4</v>
      </c>
      <c r="E494">
        <v>7.05</v>
      </c>
      <c r="F494">
        <v>1.18</v>
      </c>
      <c r="G494">
        <v>56.305048335123523</v>
      </c>
      <c r="H494">
        <v>34.094028826355526</v>
      </c>
      <c r="I494">
        <v>41.956059532246634</v>
      </c>
      <c r="J494">
        <v>42.467248081054677</v>
      </c>
      <c r="K494">
        <v>59.38697318007663</v>
      </c>
      <c r="L494">
        <v>11.262285100460545</v>
      </c>
      <c r="M494">
        <v>80.493149996676379</v>
      </c>
      <c r="N494">
        <v>56.203654834715593</v>
      </c>
      <c r="O494">
        <v>6.1480952380952392</v>
      </c>
      <c r="P494">
        <v>0.90190476190476065</v>
      </c>
      <c r="Q494">
        <v>493</v>
      </c>
      <c r="R494">
        <v>4</v>
      </c>
      <c r="S494" t="s">
        <v>24</v>
      </c>
      <c r="T494" t="s">
        <v>384</v>
      </c>
      <c r="U494">
        <v>1000</v>
      </c>
      <c r="V494">
        <v>1000</v>
      </c>
    </row>
    <row r="495" spans="1:22" x14ac:dyDescent="0.3">
      <c r="A495" t="s">
        <v>611</v>
      </c>
      <c r="B495" t="s">
        <v>44</v>
      </c>
      <c r="C495">
        <v>1.84</v>
      </c>
      <c r="D495">
        <v>5.37</v>
      </c>
      <c r="E495">
        <v>5.8</v>
      </c>
      <c r="F495">
        <v>0.86</v>
      </c>
      <c r="G495">
        <v>56.240601503759393</v>
      </c>
      <c r="H495">
        <v>28.89498970487303</v>
      </c>
      <c r="I495">
        <v>37.526576895818565</v>
      </c>
      <c r="J495">
        <v>38.679905660123069</v>
      </c>
      <c r="K495">
        <v>71.64750957854406</v>
      </c>
      <c r="L495">
        <v>13.979160079185151</v>
      </c>
      <c r="M495">
        <v>75.787384495712743</v>
      </c>
      <c r="N495">
        <v>56.198676348625739</v>
      </c>
      <c r="O495">
        <v>7.5967647058823538</v>
      </c>
      <c r="P495">
        <v>-1.7967647058823539</v>
      </c>
      <c r="Q495">
        <v>494</v>
      </c>
      <c r="R495">
        <v>24</v>
      </c>
      <c r="S495" t="s">
        <v>24</v>
      </c>
      <c r="T495" t="s">
        <v>612</v>
      </c>
      <c r="U495">
        <v>1000</v>
      </c>
      <c r="V495">
        <v>1000</v>
      </c>
    </row>
    <row r="496" spans="1:22" x14ac:dyDescent="0.3">
      <c r="A496" t="s">
        <v>613</v>
      </c>
      <c r="B496" t="s">
        <v>161</v>
      </c>
      <c r="C496">
        <v>4.62</v>
      </c>
      <c r="D496">
        <v>3.45</v>
      </c>
      <c r="E496">
        <v>4.6900000000000004</v>
      </c>
      <c r="F496">
        <v>0.53</v>
      </c>
      <c r="G496">
        <v>62.212674543501613</v>
      </c>
      <c r="H496">
        <v>25.600549073438579</v>
      </c>
      <c r="I496">
        <v>33.59319631467045</v>
      </c>
      <c r="J496">
        <v>36.919297788067126</v>
      </c>
      <c r="K496">
        <v>84.291187739463595</v>
      </c>
      <c r="L496">
        <v>19.250128464718319</v>
      </c>
      <c r="M496">
        <v>66.657799446880006</v>
      </c>
      <c r="N496">
        <v>56.196895690619463</v>
      </c>
      <c r="O496">
        <v>4.9189795918367345</v>
      </c>
      <c r="P496">
        <v>-0.22897959183673411</v>
      </c>
      <c r="Q496">
        <v>495</v>
      </c>
      <c r="R496">
        <v>9</v>
      </c>
      <c r="S496" t="s">
        <v>24</v>
      </c>
      <c r="T496" t="s">
        <v>535</v>
      </c>
      <c r="U496">
        <v>5000</v>
      </c>
      <c r="V496">
        <v>1000</v>
      </c>
    </row>
    <row r="497" spans="1:22" x14ac:dyDescent="0.3">
      <c r="A497" t="s">
        <v>614</v>
      </c>
      <c r="B497" t="s">
        <v>551</v>
      </c>
      <c r="C497">
        <v>5.73</v>
      </c>
      <c r="D497">
        <v>2.15</v>
      </c>
      <c r="E497">
        <v>4.4400000000000004</v>
      </c>
      <c r="F497">
        <v>0.39</v>
      </c>
      <c r="G497">
        <v>64.59720730397423</v>
      </c>
      <c r="H497">
        <v>23.369938229238162</v>
      </c>
      <c r="I497">
        <v>32.707299787384834</v>
      </c>
      <c r="J497">
        <v>36.284072823258711</v>
      </c>
      <c r="K497">
        <v>89.65517241379311</v>
      </c>
      <c r="L497">
        <v>21.617277957091286</v>
      </c>
      <c r="M497">
        <v>62.557776256979146</v>
      </c>
      <c r="N497">
        <v>56.195273579322418</v>
      </c>
      <c r="O497">
        <v>3.9855555555555551</v>
      </c>
      <c r="P497">
        <v>0.45444444444444532</v>
      </c>
      <c r="Q497">
        <v>496</v>
      </c>
      <c r="R497">
        <v>2</v>
      </c>
      <c r="S497" t="s">
        <v>24</v>
      </c>
      <c r="T497" t="s">
        <v>45</v>
      </c>
      <c r="U497">
        <v>5000</v>
      </c>
      <c r="V497">
        <v>1000</v>
      </c>
    </row>
    <row r="498" spans="1:22" x14ac:dyDescent="0.3">
      <c r="A498" t="s">
        <v>615</v>
      </c>
      <c r="B498" t="s">
        <v>383</v>
      </c>
      <c r="C498">
        <v>1.87</v>
      </c>
      <c r="D498">
        <v>8.4</v>
      </c>
      <c r="E498">
        <v>7.03</v>
      </c>
      <c r="F498">
        <v>1.18</v>
      </c>
      <c r="G498">
        <v>56.305048335123523</v>
      </c>
      <c r="H498">
        <v>34.094028826355526</v>
      </c>
      <c r="I498">
        <v>41.885187810063783</v>
      </c>
      <c r="J498">
        <v>42.431812219963255</v>
      </c>
      <c r="K498">
        <v>59.38697318007663</v>
      </c>
      <c r="L498">
        <v>11.26916089371392</v>
      </c>
      <c r="M498">
        <v>80.481240773419188</v>
      </c>
      <c r="N498">
        <v>56.182959598355581</v>
      </c>
      <c r="O498">
        <v>6.1480952380952392</v>
      </c>
      <c r="P498">
        <v>0.88190476190476108</v>
      </c>
      <c r="Q498">
        <v>497</v>
      </c>
      <c r="R498">
        <v>5</v>
      </c>
      <c r="S498" t="s">
        <v>24</v>
      </c>
      <c r="T498" t="s">
        <v>384</v>
      </c>
      <c r="U498">
        <v>1000</v>
      </c>
      <c r="V498">
        <v>1000</v>
      </c>
    </row>
    <row r="499" spans="1:22" x14ac:dyDescent="0.3">
      <c r="A499" t="s">
        <v>616</v>
      </c>
      <c r="B499" t="s">
        <v>272</v>
      </c>
      <c r="C499">
        <v>3.75</v>
      </c>
      <c r="D499">
        <v>14.65</v>
      </c>
      <c r="E499">
        <v>11.22</v>
      </c>
      <c r="F499">
        <v>1.92</v>
      </c>
      <c r="G499">
        <v>60.343716433941999</v>
      </c>
      <c r="H499">
        <v>44.818119423472893</v>
      </c>
      <c r="I499">
        <v>56.732813607370659</v>
      </c>
      <c r="J499">
        <v>53.880585917515596</v>
      </c>
      <c r="K499">
        <v>31.034482758620683</v>
      </c>
      <c r="L499">
        <v>8.124476590835819</v>
      </c>
      <c r="M499">
        <v>85.927993759768384</v>
      </c>
      <c r="N499">
        <v>56.180912088355065</v>
      </c>
      <c r="O499">
        <v>10.044583333333334</v>
      </c>
      <c r="P499">
        <v>1.175416666666667</v>
      </c>
      <c r="Q499">
        <v>498</v>
      </c>
      <c r="R499">
        <v>12</v>
      </c>
      <c r="S499" t="s">
        <v>24</v>
      </c>
      <c r="T499" t="s">
        <v>273</v>
      </c>
      <c r="U499">
        <v>1000</v>
      </c>
      <c r="V499">
        <v>1000</v>
      </c>
    </row>
    <row r="500" spans="1:22" x14ac:dyDescent="0.3">
      <c r="A500" t="s">
        <v>617</v>
      </c>
      <c r="B500" t="s">
        <v>585</v>
      </c>
      <c r="C500">
        <v>2.63</v>
      </c>
      <c r="D500">
        <v>13.15</v>
      </c>
      <c r="E500">
        <v>10.01</v>
      </c>
      <c r="F500">
        <v>1.75</v>
      </c>
      <c r="G500">
        <v>57.937701396348004</v>
      </c>
      <c r="H500">
        <v>42.244337680164726</v>
      </c>
      <c r="I500">
        <v>52.445074415308291</v>
      </c>
      <c r="J500">
        <v>50.483378790973163</v>
      </c>
      <c r="K500">
        <v>37.547892720306521</v>
      </c>
      <c r="L500">
        <v>7.9635172905462088</v>
      </c>
      <c r="M500">
        <v>86.206783445820719</v>
      </c>
      <c r="N500">
        <v>56.180358437018391</v>
      </c>
      <c r="O500">
        <v>6.6483333333333334</v>
      </c>
      <c r="P500">
        <v>3.3616666666666664</v>
      </c>
      <c r="Q500">
        <v>499</v>
      </c>
      <c r="R500">
        <v>2</v>
      </c>
      <c r="S500" t="s">
        <v>24</v>
      </c>
      <c r="T500" t="s">
        <v>425</v>
      </c>
      <c r="U500">
        <v>5000</v>
      </c>
      <c r="V500">
        <v>1000</v>
      </c>
    </row>
    <row r="501" spans="1:22" x14ac:dyDescent="0.3">
      <c r="A501" t="s">
        <v>618</v>
      </c>
      <c r="B501" t="s">
        <v>272</v>
      </c>
      <c r="C501">
        <v>10.67</v>
      </c>
      <c r="D501">
        <v>15.97</v>
      </c>
      <c r="E501">
        <v>11.02</v>
      </c>
      <c r="F501">
        <v>1.81</v>
      </c>
      <c r="G501">
        <v>75.209452201933402</v>
      </c>
      <c r="H501">
        <v>47.083047357584086</v>
      </c>
      <c r="I501">
        <v>56.024096385542165</v>
      </c>
      <c r="J501">
        <v>57.178852840432988</v>
      </c>
      <c r="K501">
        <v>35.249042145593855</v>
      </c>
      <c r="L501">
        <v>14.37077407443155</v>
      </c>
      <c r="M501">
        <v>75.10908915899094</v>
      </c>
      <c r="N501">
        <v>56.178959246362695</v>
      </c>
      <c r="O501">
        <v>10.044583333333334</v>
      </c>
      <c r="P501">
        <v>0.97541666666666593</v>
      </c>
      <c r="Q501">
        <v>500</v>
      </c>
      <c r="R501">
        <v>13</v>
      </c>
      <c r="S501" t="s">
        <v>24</v>
      </c>
      <c r="T501" t="s">
        <v>291</v>
      </c>
      <c r="U501">
        <v>1000</v>
      </c>
      <c r="V501">
        <v>1000</v>
      </c>
    </row>
    <row r="502" spans="1:22" x14ac:dyDescent="0.3">
      <c r="A502" t="s">
        <v>619</v>
      </c>
      <c r="B502" t="s">
        <v>383</v>
      </c>
      <c r="C502">
        <v>1.87</v>
      </c>
      <c r="D502">
        <v>8.4</v>
      </c>
      <c r="E502">
        <v>7.01</v>
      </c>
      <c r="F502">
        <v>1.18</v>
      </c>
      <c r="G502">
        <v>56.305048335123523</v>
      </c>
      <c r="H502">
        <v>34.094028826355526</v>
      </c>
      <c r="I502">
        <v>41.814316087880933</v>
      </c>
      <c r="J502">
        <v>42.396376358871834</v>
      </c>
      <c r="K502">
        <v>59.38697318007663</v>
      </c>
      <c r="L502">
        <v>11.276180973484331</v>
      </c>
      <c r="M502">
        <v>80.469081638583646</v>
      </c>
      <c r="N502">
        <v>56.162201884100988</v>
      </c>
      <c r="O502">
        <v>6.1480952380952392</v>
      </c>
      <c r="P502">
        <v>0.86190476190476062</v>
      </c>
      <c r="Q502">
        <v>501</v>
      </c>
      <c r="R502">
        <v>6</v>
      </c>
      <c r="S502" t="s">
        <v>24</v>
      </c>
      <c r="T502" t="s">
        <v>384</v>
      </c>
      <c r="U502">
        <v>1000</v>
      </c>
      <c r="V502">
        <v>1000</v>
      </c>
    </row>
    <row r="503" spans="1:22" x14ac:dyDescent="0.3">
      <c r="A503" t="s">
        <v>620</v>
      </c>
      <c r="B503" t="s">
        <v>161</v>
      </c>
      <c r="C503">
        <v>5.15</v>
      </c>
      <c r="D503">
        <v>3.75</v>
      </c>
      <c r="E503">
        <v>5.4</v>
      </c>
      <c r="F503">
        <v>0.62</v>
      </c>
      <c r="G503">
        <v>63.351235230934478</v>
      </c>
      <c r="H503">
        <v>26.11530542210021</v>
      </c>
      <c r="I503">
        <v>36.109142452161585</v>
      </c>
      <c r="J503">
        <v>38.559409898897755</v>
      </c>
      <c r="K503">
        <v>80.842911877394627</v>
      </c>
      <c r="L503">
        <v>19.272272250909808</v>
      </c>
      <c r="M503">
        <v>66.619445284124396</v>
      </c>
      <c r="N503">
        <v>56.145294239828637</v>
      </c>
      <c r="O503">
        <v>4.9189795918367345</v>
      </c>
      <c r="P503">
        <v>0.48102040816326586</v>
      </c>
      <c r="Q503">
        <v>502</v>
      </c>
      <c r="R503">
        <v>10</v>
      </c>
      <c r="S503" t="s">
        <v>24</v>
      </c>
      <c r="T503" t="s">
        <v>535</v>
      </c>
      <c r="U503">
        <v>1000</v>
      </c>
      <c r="V503">
        <v>1000</v>
      </c>
    </row>
    <row r="504" spans="1:22" x14ac:dyDescent="0.3">
      <c r="A504" t="s">
        <v>621</v>
      </c>
      <c r="B504" t="s">
        <v>358</v>
      </c>
      <c r="C504">
        <v>4.88</v>
      </c>
      <c r="D504">
        <v>3.61</v>
      </c>
      <c r="E504">
        <v>4.97</v>
      </c>
      <c r="F504">
        <v>0.56999999999999995</v>
      </c>
      <c r="G504">
        <v>62.771213748657352</v>
      </c>
      <c r="H504">
        <v>25.875085792724782</v>
      </c>
      <c r="I504">
        <v>34.585400425230326</v>
      </c>
      <c r="J504">
        <v>37.609468700164072</v>
      </c>
      <c r="K504">
        <v>82.758620689655174</v>
      </c>
      <c r="L504">
        <v>19.285719724884807</v>
      </c>
      <c r="M504">
        <v>66.596153575966241</v>
      </c>
      <c r="N504">
        <v>56.14342791648739</v>
      </c>
      <c r="O504">
        <v>5.0554237288135591</v>
      </c>
      <c r="P504">
        <v>-8.5423728813559308E-2</v>
      </c>
      <c r="Q504">
        <v>503</v>
      </c>
      <c r="R504">
        <v>16</v>
      </c>
      <c r="S504" t="s">
        <v>24</v>
      </c>
      <c r="T504" t="s">
        <v>575</v>
      </c>
      <c r="U504">
        <v>20000</v>
      </c>
      <c r="V504">
        <v>1000</v>
      </c>
    </row>
    <row r="505" spans="1:22" x14ac:dyDescent="0.3">
      <c r="A505" t="s">
        <v>622</v>
      </c>
      <c r="B505" t="s">
        <v>358</v>
      </c>
      <c r="C505">
        <v>4.88</v>
      </c>
      <c r="D505">
        <v>3.61</v>
      </c>
      <c r="E505">
        <v>4.97</v>
      </c>
      <c r="F505">
        <v>0.56999999999999995</v>
      </c>
      <c r="G505">
        <v>62.771213748657352</v>
      </c>
      <c r="H505">
        <v>25.875085792724782</v>
      </c>
      <c r="I505">
        <v>34.585400425230326</v>
      </c>
      <c r="J505">
        <v>37.609468700164072</v>
      </c>
      <c r="K505">
        <v>82.758620689655174</v>
      </c>
      <c r="L505">
        <v>19.285719724884807</v>
      </c>
      <c r="M505">
        <v>66.596153575966241</v>
      </c>
      <c r="N505">
        <v>56.14342791648739</v>
      </c>
      <c r="O505">
        <v>5.0554237288135591</v>
      </c>
      <c r="P505">
        <v>-8.5423728813559308E-2</v>
      </c>
      <c r="Q505">
        <v>503</v>
      </c>
      <c r="R505">
        <v>16</v>
      </c>
      <c r="S505" t="s">
        <v>24</v>
      </c>
      <c r="T505" t="s">
        <v>575</v>
      </c>
      <c r="U505">
        <v>20000</v>
      </c>
      <c r="V505">
        <v>1000</v>
      </c>
    </row>
    <row r="506" spans="1:22" x14ac:dyDescent="0.3">
      <c r="A506" t="s">
        <v>623</v>
      </c>
      <c r="B506" t="s">
        <v>358</v>
      </c>
      <c r="C506">
        <v>5.9</v>
      </c>
      <c r="D506">
        <v>4.5</v>
      </c>
      <c r="E506">
        <v>5.74</v>
      </c>
      <c r="F506">
        <v>0.68</v>
      </c>
      <c r="G506">
        <v>64.962406015037587</v>
      </c>
      <c r="H506">
        <v>27.402196293754294</v>
      </c>
      <c r="I506">
        <v>37.313961729270019</v>
      </c>
      <c r="J506">
        <v>39.870120955768812</v>
      </c>
      <c r="K506">
        <v>78.544061302681996</v>
      </c>
      <c r="L506">
        <v>19.46556326686807</v>
      </c>
      <c r="M506">
        <v>66.284655423838075</v>
      </c>
      <c r="N506">
        <v>56.142239659514424</v>
      </c>
      <c r="O506">
        <v>5.0554237288135591</v>
      </c>
      <c r="P506">
        <v>0.68457627118644115</v>
      </c>
      <c r="Q506">
        <v>505</v>
      </c>
      <c r="R506">
        <v>18</v>
      </c>
      <c r="S506" t="s">
        <v>24</v>
      </c>
      <c r="T506" t="s">
        <v>359</v>
      </c>
      <c r="U506">
        <v>5000</v>
      </c>
      <c r="V506">
        <v>1000</v>
      </c>
    </row>
    <row r="507" spans="1:22" x14ac:dyDescent="0.3">
      <c r="A507" t="s">
        <v>624</v>
      </c>
      <c r="B507" t="s">
        <v>138</v>
      </c>
      <c r="C507">
        <v>8.16</v>
      </c>
      <c r="D507">
        <v>15.78</v>
      </c>
      <c r="E507">
        <v>10.48</v>
      </c>
      <c r="F507">
        <v>1.82</v>
      </c>
      <c r="G507">
        <v>69.817400644468307</v>
      </c>
      <c r="H507">
        <v>46.75703500343171</v>
      </c>
      <c r="I507">
        <v>54.110559886605245</v>
      </c>
      <c r="J507">
        <v>55.045870573225798</v>
      </c>
      <c r="K507">
        <v>34.865900383141771</v>
      </c>
      <c r="L507">
        <v>11.779640899298967</v>
      </c>
      <c r="M507">
        <v>79.597063467497847</v>
      </c>
      <c r="N507">
        <v>56.138676249272805</v>
      </c>
      <c r="O507">
        <v>9.219019607843137</v>
      </c>
      <c r="P507">
        <v>1.2609803921568634</v>
      </c>
      <c r="Q507">
        <v>506</v>
      </c>
      <c r="R507">
        <v>8</v>
      </c>
      <c r="S507" t="s">
        <v>24</v>
      </c>
      <c r="T507" t="s">
        <v>176</v>
      </c>
      <c r="U507">
        <v>1000</v>
      </c>
      <c r="V507">
        <v>1000</v>
      </c>
    </row>
    <row r="508" spans="1:22" x14ac:dyDescent="0.3">
      <c r="A508" t="s">
        <v>625</v>
      </c>
      <c r="B508" t="s">
        <v>138</v>
      </c>
      <c r="C508">
        <v>8.16</v>
      </c>
      <c r="D508">
        <v>15.78</v>
      </c>
      <c r="E508">
        <v>10.48</v>
      </c>
      <c r="F508">
        <v>1.82</v>
      </c>
      <c r="G508">
        <v>69.817400644468307</v>
      </c>
      <c r="H508">
        <v>46.75703500343171</v>
      </c>
      <c r="I508">
        <v>54.110559886605245</v>
      </c>
      <c r="J508">
        <v>55.045870573225798</v>
      </c>
      <c r="K508">
        <v>34.865900383141771</v>
      </c>
      <c r="L508">
        <v>11.779640899298967</v>
      </c>
      <c r="M508">
        <v>79.597063467497847</v>
      </c>
      <c r="N508">
        <v>56.138676249272805</v>
      </c>
      <c r="O508">
        <v>9.219019607843137</v>
      </c>
      <c r="P508">
        <v>1.2609803921568634</v>
      </c>
      <c r="Q508">
        <v>506</v>
      </c>
      <c r="R508">
        <v>8</v>
      </c>
      <c r="S508" t="s">
        <v>24</v>
      </c>
      <c r="T508" t="s">
        <v>176</v>
      </c>
      <c r="U508">
        <v>1000</v>
      </c>
      <c r="V508">
        <v>1000</v>
      </c>
    </row>
    <row r="509" spans="1:22" x14ac:dyDescent="0.3">
      <c r="A509" t="s">
        <v>626</v>
      </c>
      <c r="B509" t="s">
        <v>358</v>
      </c>
      <c r="C509">
        <v>4.88</v>
      </c>
      <c r="D509">
        <v>3.61</v>
      </c>
      <c r="E509">
        <v>4.96</v>
      </c>
      <c r="F509">
        <v>0.56999999999999995</v>
      </c>
      <c r="G509">
        <v>62.771213748657352</v>
      </c>
      <c r="H509">
        <v>25.875085792724782</v>
      </c>
      <c r="I509">
        <v>34.549964564138904</v>
      </c>
      <c r="J509">
        <v>37.591750769618358</v>
      </c>
      <c r="K509">
        <v>82.758620689655174</v>
      </c>
      <c r="L509">
        <v>19.291693745296893</v>
      </c>
      <c r="M509">
        <v>66.585806269087058</v>
      </c>
      <c r="N509">
        <v>56.131982124494741</v>
      </c>
      <c r="O509">
        <v>5.0554237288135591</v>
      </c>
      <c r="P509">
        <v>-9.5423728813559094E-2</v>
      </c>
      <c r="Q509">
        <v>508</v>
      </c>
      <c r="R509">
        <v>19</v>
      </c>
      <c r="S509" t="s">
        <v>24</v>
      </c>
      <c r="T509" t="s">
        <v>575</v>
      </c>
      <c r="U509">
        <v>20000</v>
      </c>
      <c r="V509">
        <v>1000</v>
      </c>
    </row>
    <row r="510" spans="1:22" x14ac:dyDescent="0.3">
      <c r="A510" t="s">
        <v>627</v>
      </c>
      <c r="B510" t="s">
        <v>272</v>
      </c>
      <c r="C510">
        <v>9.56</v>
      </c>
      <c r="D510">
        <v>15.92</v>
      </c>
      <c r="E510">
        <v>10.52</v>
      </c>
      <c r="F510">
        <v>1.79</v>
      </c>
      <c r="G510">
        <v>72.824919441460793</v>
      </c>
      <c r="H510">
        <v>46.997254632807142</v>
      </c>
      <c r="I510">
        <v>54.252303330970932</v>
      </c>
      <c r="J510">
        <v>55.79031194361977</v>
      </c>
      <c r="K510">
        <v>36.015325670498079</v>
      </c>
      <c r="L510">
        <v>13.320698619495163</v>
      </c>
      <c r="M510">
        <v>76.92787319872177</v>
      </c>
      <c r="N510">
        <v>56.130955689114842</v>
      </c>
      <c r="O510">
        <v>10.044583333333334</v>
      </c>
      <c r="P510">
        <v>0.47541666666666593</v>
      </c>
      <c r="Q510">
        <v>509</v>
      </c>
      <c r="R510">
        <v>14</v>
      </c>
      <c r="S510" t="s">
        <v>24</v>
      </c>
      <c r="T510" t="s">
        <v>273</v>
      </c>
      <c r="U510">
        <v>1000</v>
      </c>
      <c r="V510">
        <v>1000</v>
      </c>
    </row>
    <row r="511" spans="1:22" x14ac:dyDescent="0.3">
      <c r="A511" t="s">
        <v>628</v>
      </c>
      <c r="B511" t="s">
        <v>592</v>
      </c>
      <c r="C511">
        <v>-3.33</v>
      </c>
      <c r="D511">
        <v>18.37</v>
      </c>
      <c r="E511">
        <v>13.63</v>
      </c>
      <c r="F511">
        <v>1.99</v>
      </c>
      <c r="G511">
        <v>45.13426423200859</v>
      </c>
      <c r="H511">
        <v>51.201098146877143</v>
      </c>
      <c r="I511">
        <v>65.272856130403966</v>
      </c>
      <c r="J511">
        <v>57.023610355666847</v>
      </c>
      <c r="K511">
        <v>28.352490421455933</v>
      </c>
      <c r="L511">
        <v>10.331051335235813</v>
      </c>
      <c r="M511">
        <v>82.106094191769287</v>
      </c>
      <c r="N511">
        <v>56.126451331139734</v>
      </c>
      <c r="O511">
        <v>12.223750000000001</v>
      </c>
      <c r="P511">
        <v>1.40625</v>
      </c>
      <c r="Q511">
        <v>510</v>
      </c>
      <c r="R511">
        <v>4</v>
      </c>
      <c r="S511" t="s">
        <v>24</v>
      </c>
      <c r="T511" t="s">
        <v>593</v>
      </c>
      <c r="U511">
        <v>5000</v>
      </c>
      <c r="V511">
        <v>1000</v>
      </c>
    </row>
    <row r="512" spans="1:22" x14ac:dyDescent="0.3">
      <c r="A512" t="s">
        <v>629</v>
      </c>
      <c r="B512" t="s">
        <v>358</v>
      </c>
      <c r="C512">
        <v>5.79</v>
      </c>
      <c r="D512">
        <v>4.37</v>
      </c>
      <c r="E512">
        <v>5.76</v>
      </c>
      <c r="F512">
        <v>0.68</v>
      </c>
      <c r="G512">
        <v>64.726100966702475</v>
      </c>
      <c r="H512">
        <v>27.179135209334255</v>
      </c>
      <c r="I512">
        <v>37.38483345145287</v>
      </c>
      <c r="J512">
        <v>39.791377481867208</v>
      </c>
      <c r="K512">
        <v>78.544061302681996</v>
      </c>
      <c r="L512">
        <v>19.414238003480023</v>
      </c>
      <c r="M512">
        <v>66.373553387738042</v>
      </c>
      <c r="N512">
        <v>56.125092413538617</v>
      </c>
      <c r="O512">
        <v>5.0554237288135591</v>
      </c>
      <c r="P512">
        <v>0.70457627118644073</v>
      </c>
      <c r="Q512">
        <v>511</v>
      </c>
      <c r="R512">
        <v>20</v>
      </c>
      <c r="S512" t="s">
        <v>24</v>
      </c>
      <c r="T512" t="s">
        <v>359</v>
      </c>
      <c r="U512">
        <v>1000</v>
      </c>
      <c r="V512">
        <v>1000</v>
      </c>
    </row>
    <row r="513" spans="1:22" x14ac:dyDescent="0.3">
      <c r="A513" t="s">
        <v>630</v>
      </c>
      <c r="B513" t="s">
        <v>195</v>
      </c>
      <c r="C513">
        <v>10.130000000000001</v>
      </c>
      <c r="D513">
        <v>16.75</v>
      </c>
      <c r="E513">
        <v>12.26</v>
      </c>
      <c r="F513">
        <v>2.0099999999999998</v>
      </c>
      <c r="G513">
        <v>74.049409237379166</v>
      </c>
      <c r="H513">
        <v>48.421413864104331</v>
      </c>
      <c r="I513">
        <v>60.418143160878813</v>
      </c>
      <c r="J513">
        <v>59.54537758714654</v>
      </c>
      <c r="K513">
        <v>27.586206896551737</v>
      </c>
      <c r="L513">
        <v>12.822682217598059</v>
      </c>
      <c r="M513">
        <v>77.790462909810202</v>
      </c>
      <c r="N513">
        <v>56.116856245163753</v>
      </c>
      <c r="O513">
        <v>10.412619047619048</v>
      </c>
      <c r="P513">
        <v>1.8473809523809521</v>
      </c>
      <c r="Q513">
        <v>512</v>
      </c>
      <c r="R513">
        <v>15</v>
      </c>
      <c r="S513" t="s">
        <v>24</v>
      </c>
      <c r="T513" t="s">
        <v>196</v>
      </c>
      <c r="U513">
        <v>5000</v>
      </c>
      <c r="V513">
        <v>1000</v>
      </c>
    </row>
    <row r="514" spans="1:22" x14ac:dyDescent="0.3">
      <c r="A514" t="s">
        <v>631</v>
      </c>
      <c r="B514" t="s">
        <v>170</v>
      </c>
      <c r="C514">
        <v>8.93</v>
      </c>
      <c r="D514">
        <v>10.98</v>
      </c>
      <c r="E514">
        <v>9.32</v>
      </c>
      <c r="F514">
        <v>1.38</v>
      </c>
      <c r="G514">
        <v>71.471535982814174</v>
      </c>
      <c r="H514">
        <v>38.52093342484558</v>
      </c>
      <c r="I514">
        <v>50</v>
      </c>
      <c r="J514">
        <v>50.850587224016508</v>
      </c>
      <c r="K514">
        <v>51.724137931034477</v>
      </c>
      <c r="L514">
        <v>16.725918190198698</v>
      </c>
      <c r="M514">
        <v>71.029859891335377</v>
      </c>
      <c r="N514">
        <v>56.113793067600717</v>
      </c>
      <c r="O514">
        <v>6.9120588235294118</v>
      </c>
      <c r="P514">
        <v>2.4079411764705885</v>
      </c>
      <c r="Q514">
        <v>513</v>
      </c>
      <c r="R514">
        <v>7</v>
      </c>
      <c r="S514" t="s">
        <v>24</v>
      </c>
      <c r="T514" t="s">
        <v>632</v>
      </c>
      <c r="U514">
        <v>1000</v>
      </c>
      <c r="V514">
        <v>1000</v>
      </c>
    </row>
    <row r="515" spans="1:22" x14ac:dyDescent="0.3">
      <c r="A515" t="s">
        <v>633</v>
      </c>
      <c r="B515" t="s">
        <v>229</v>
      </c>
      <c r="C515">
        <v>5.28</v>
      </c>
      <c r="D515">
        <v>4.34</v>
      </c>
      <c r="E515">
        <v>4.87</v>
      </c>
      <c r="F515">
        <v>0.59</v>
      </c>
      <c r="G515">
        <v>63.630504833512347</v>
      </c>
      <c r="H515">
        <v>27.127659574468087</v>
      </c>
      <c r="I515">
        <v>34.231041814316086</v>
      </c>
      <c r="J515">
        <v>37.979919746200935</v>
      </c>
      <c r="K515">
        <v>81.992337164750964</v>
      </c>
      <c r="L515">
        <v>19.353053923813533</v>
      </c>
      <c r="M515">
        <v>66.479527322334746</v>
      </c>
      <c r="N515">
        <v>56.107925994871898</v>
      </c>
      <c r="O515">
        <v>5.1221052631578941</v>
      </c>
      <c r="P515">
        <v>-0.25210526315789394</v>
      </c>
      <c r="Q515">
        <v>514</v>
      </c>
      <c r="R515">
        <v>16</v>
      </c>
      <c r="S515" t="s">
        <v>24</v>
      </c>
      <c r="T515" t="s">
        <v>230</v>
      </c>
      <c r="U515">
        <v>5000</v>
      </c>
      <c r="V515">
        <v>1000</v>
      </c>
    </row>
    <row r="516" spans="1:22" x14ac:dyDescent="0.3">
      <c r="A516" t="s">
        <v>634</v>
      </c>
      <c r="B516" t="s">
        <v>170</v>
      </c>
      <c r="C516">
        <v>8.93</v>
      </c>
      <c r="D516">
        <v>10.98</v>
      </c>
      <c r="E516">
        <v>9.31</v>
      </c>
      <c r="F516">
        <v>1.38</v>
      </c>
      <c r="G516">
        <v>71.471535982814174</v>
      </c>
      <c r="H516">
        <v>38.52093342484558</v>
      </c>
      <c r="I516">
        <v>49.964564138908571</v>
      </c>
      <c r="J516">
        <v>50.832869293470793</v>
      </c>
      <c r="K516">
        <v>51.724137931034477</v>
      </c>
      <c r="L516">
        <v>16.729458701880748</v>
      </c>
      <c r="M516">
        <v>71.02372754521727</v>
      </c>
      <c r="N516">
        <v>56.103401015798333</v>
      </c>
      <c r="O516">
        <v>6.9120588235294118</v>
      </c>
      <c r="P516">
        <v>2.3979411764705887</v>
      </c>
      <c r="Q516">
        <v>515</v>
      </c>
      <c r="R516">
        <v>8</v>
      </c>
      <c r="S516" t="s">
        <v>24</v>
      </c>
      <c r="T516" t="s">
        <v>632</v>
      </c>
      <c r="U516">
        <v>1000</v>
      </c>
      <c r="V516">
        <v>1000</v>
      </c>
    </row>
    <row r="517" spans="1:22" x14ac:dyDescent="0.3">
      <c r="A517" t="s">
        <v>635</v>
      </c>
      <c r="B517" t="s">
        <v>126</v>
      </c>
      <c r="C517">
        <v>3.43</v>
      </c>
      <c r="D517">
        <v>18.77</v>
      </c>
      <c r="E517">
        <v>10.86</v>
      </c>
      <c r="F517">
        <v>2.19</v>
      </c>
      <c r="G517">
        <v>59.656283566058001</v>
      </c>
      <c r="H517">
        <v>51.887439945092659</v>
      </c>
      <c r="I517">
        <v>55.457122608079381</v>
      </c>
      <c r="J517">
        <v>55.226050000779082</v>
      </c>
      <c r="K517">
        <v>20.68965517241379</v>
      </c>
      <c r="L517">
        <v>3.8886698298272844</v>
      </c>
      <c r="M517">
        <v>93.264626280878929</v>
      </c>
      <c r="N517">
        <v>56.101595363712718</v>
      </c>
      <c r="O517">
        <v>11.362272727272726</v>
      </c>
      <c r="P517">
        <v>-0.50227272727272698</v>
      </c>
      <c r="Q517">
        <v>516</v>
      </c>
      <c r="R517">
        <v>25</v>
      </c>
      <c r="S517" t="s">
        <v>24</v>
      </c>
      <c r="T517" t="s">
        <v>127</v>
      </c>
      <c r="U517">
        <v>5000</v>
      </c>
      <c r="V517">
        <v>1000</v>
      </c>
    </row>
    <row r="518" spans="1:22" x14ac:dyDescent="0.3">
      <c r="A518" t="s">
        <v>636</v>
      </c>
      <c r="B518" t="s">
        <v>405</v>
      </c>
      <c r="C518">
        <v>5.77</v>
      </c>
      <c r="D518">
        <v>15.73</v>
      </c>
      <c r="E518">
        <v>10.75</v>
      </c>
      <c r="F518">
        <v>1.92</v>
      </c>
      <c r="G518">
        <v>64.683136412459717</v>
      </c>
      <c r="H518">
        <v>46.671242278654773</v>
      </c>
      <c r="I518">
        <v>55.067328136073698</v>
      </c>
      <c r="J518">
        <v>54.471664034125226</v>
      </c>
      <c r="K518">
        <v>31.034482758620683</v>
      </c>
      <c r="L518">
        <v>9.0128274958598205</v>
      </c>
      <c r="M518">
        <v>84.389324857317021</v>
      </c>
      <c r="N518">
        <v>56.091783921047039</v>
      </c>
      <c r="O518">
        <v>12.057857142857143</v>
      </c>
      <c r="P518">
        <v>-1.3078571428571433</v>
      </c>
      <c r="Q518">
        <v>517</v>
      </c>
      <c r="R518">
        <v>5</v>
      </c>
      <c r="S518" t="s">
        <v>24</v>
      </c>
      <c r="T518" t="s">
        <v>406</v>
      </c>
      <c r="U518">
        <v>5000</v>
      </c>
      <c r="V518">
        <v>1000</v>
      </c>
    </row>
    <row r="519" spans="1:22" x14ac:dyDescent="0.3">
      <c r="A519" t="s">
        <v>637</v>
      </c>
      <c r="B519" t="s">
        <v>358</v>
      </c>
      <c r="C519">
        <v>5.79</v>
      </c>
      <c r="D519">
        <v>4.37</v>
      </c>
      <c r="E519">
        <v>5.69</v>
      </c>
      <c r="F519">
        <v>0.68</v>
      </c>
      <c r="G519">
        <v>64.726100966702475</v>
      </c>
      <c r="H519">
        <v>27.179135209334255</v>
      </c>
      <c r="I519">
        <v>37.136782423812896</v>
      </c>
      <c r="J519">
        <v>39.667351968047221</v>
      </c>
      <c r="K519">
        <v>78.544061302681996</v>
      </c>
      <c r="L519">
        <v>19.451220498527537</v>
      </c>
      <c r="M519">
        <v>66.309497827325089</v>
      </c>
      <c r="N519">
        <v>56.047065766525385</v>
      </c>
      <c r="O519">
        <v>5.0554237288135591</v>
      </c>
      <c r="P519">
        <v>0.63457627118644133</v>
      </c>
      <c r="Q519">
        <v>518</v>
      </c>
      <c r="R519">
        <v>21</v>
      </c>
      <c r="S519" t="s">
        <v>24</v>
      </c>
      <c r="T519" t="s">
        <v>359</v>
      </c>
      <c r="U519">
        <v>5000</v>
      </c>
      <c r="V519">
        <v>1000</v>
      </c>
    </row>
    <row r="520" spans="1:22" x14ac:dyDescent="0.3">
      <c r="A520" t="s">
        <v>638</v>
      </c>
      <c r="B520" t="s">
        <v>161</v>
      </c>
      <c r="C520">
        <v>4.55</v>
      </c>
      <c r="D520">
        <v>3.91</v>
      </c>
      <c r="E520">
        <v>5.14</v>
      </c>
      <c r="F520">
        <v>0.63</v>
      </c>
      <c r="G520">
        <v>62.062298603651975</v>
      </c>
      <c r="H520">
        <v>26.389842141386417</v>
      </c>
      <c r="I520">
        <v>35.187810063784546</v>
      </c>
      <c r="J520">
        <v>37.923317395038595</v>
      </c>
      <c r="K520">
        <v>80.459770114942529</v>
      </c>
      <c r="L520">
        <v>18.583893222784994</v>
      </c>
      <c r="M520">
        <v>67.811752735701461</v>
      </c>
      <c r="N520">
        <v>56.029539410180291</v>
      </c>
      <c r="O520">
        <v>4.9189795918367345</v>
      </c>
      <c r="P520">
        <v>0.22102040816326518</v>
      </c>
      <c r="Q520">
        <v>519</v>
      </c>
      <c r="R520">
        <v>11</v>
      </c>
      <c r="S520" t="s">
        <v>24</v>
      </c>
      <c r="T520" t="s">
        <v>535</v>
      </c>
      <c r="U520">
        <v>5000</v>
      </c>
      <c r="V520">
        <v>1000</v>
      </c>
    </row>
    <row r="521" spans="1:22" x14ac:dyDescent="0.3">
      <c r="A521" t="s">
        <v>639</v>
      </c>
      <c r="B521" t="s">
        <v>229</v>
      </c>
      <c r="C521">
        <v>5.39</v>
      </c>
      <c r="D521">
        <v>4.3</v>
      </c>
      <c r="E521">
        <v>4.68</v>
      </c>
      <c r="F521">
        <v>0.56999999999999995</v>
      </c>
      <c r="G521">
        <v>63.866809881847473</v>
      </c>
      <c r="H521">
        <v>27.05902539464654</v>
      </c>
      <c r="I521">
        <v>33.557760453579021</v>
      </c>
      <c r="J521">
        <v>37.669949821552969</v>
      </c>
      <c r="K521">
        <v>82.758620689655174</v>
      </c>
      <c r="L521">
        <v>19.645546711098199</v>
      </c>
      <c r="M521">
        <v>65.972914953910262</v>
      </c>
      <c r="N521">
        <v>56.017858821667843</v>
      </c>
      <c r="O521">
        <v>5.1221052631578941</v>
      </c>
      <c r="P521">
        <v>-0.44210526315789433</v>
      </c>
      <c r="Q521">
        <v>520</v>
      </c>
      <c r="R521">
        <v>17</v>
      </c>
      <c r="S521" t="s">
        <v>24</v>
      </c>
      <c r="T521" t="s">
        <v>429</v>
      </c>
      <c r="U521">
        <v>1000</v>
      </c>
      <c r="V521">
        <v>1000</v>
      </c>
    </row>
    <row r="522" spans="1:22" x14ac:dyDescent="0.3">
      <c r="A522" t="s">
        <v>640</v>
      </c>
      <c r="B522" t="s">
        <v>161</v>
      </c>
      <c r="C522">
        <v>4.55</v>
      </c>
      <c r="D522">
        <v>3.91</v>
      </c>
      <c r="E522">
        <v>5.12</v>
      </c>
      <c r="F522">
        <v>0.63</v>
      </c>
      <c r="G522">
        <v>62.062298603651975</v>
      </c>
      <c r="H522">
        <v>26.389842141386417</v>
      </c>
      <c r="I522">
        <v>35.116938341601703</v>
      </c>
      <c r="J522">
        <v>37.887881533947173</v>
      </c>
      <c r="K522">
        <v>80.459770114942529</v>
      </c>
      <c r="L522">
        <v>18.595424158430848</v>
      </c>
      <c r="M522">
        <v>67.791780569304038</v>
      </c>
      <c r="N522">
        <v>56.006828438035228</v>
      </c>
      <c r="O522">
        <v>4.9189795918367345</v>
      </c>
      <c r="P522">
        <v>0.20102040816326561</v>
      </c>
      <c r="Q522">
        <v>521</v>
      </c>
      <c r="R522">
        <v>12</v>
      </c>
      <c r="S522" t="s">
        <v>24</v>
      </c>
      <c r="T522" t="s">
        <v>535</v>
      </c>
      <c r="U522">
        <v>5000</v>
      </c>
      <c r="V522">
        <v>1000</v>
      </c>
    </row>
    <row r="523" spans="1:22" x14ac:dyDescent="0.3">
      <c r="A523" t="s">
        <v>641</v>
      </c>
      <c r="B523" t="s">
        <v>195</v>
      </c>
      <c r="C523">
        <v>10.199999999999999</v>
      </c>
      <c r="D523">
        <v>16.59</v>
      </c>
      <c r="E523">
        <v>12.26</v>
      </c>
      <c r="F523">
        <v>2.0099999999999998</v>
      </c>
      <c r="G523">
        <v>74.19978517722879</v>
      </c>
      <c r="H523">
        <v>48.14687714481812</v>
      </c>
      <c r="I523">
        <v>60.418143160878813</v>
      </c>
      <c r="J523">
        <v>59.493091759330596</v>
      </c>
      <c r="K523">
        <v>27.586206896551737</v>
      </c>
      <c r="L523">
        <v>13.033748778005746</v>
      </c>
      <c r="M523">
        <v>77.424884903405285</v>
      </c>
      <c r="N523">
        <v>55.999318829654555</v>
      </c>
      <c r="O523">
        <v>10.412619047619048</v>
      </c>
      <c r="P523">
        <v>1.8473809523809521</v>
      </c>
      <c r="Q523">
        <v>522</v>
      </c>
      <c r="R523">
        <v>16</v>
      </c>
      <c r="S523" t="s">
        <v>24</v>
      </c>
      <c r="T523" t="s">
        <v>196</v>
      </c>
      <c r="U523">
        <v>5000</v>
      </c>
      <c r="V523">
        <v>1000</v>
      </c>
    </row>
    <row r="524" spans="1:22" x14ac:dyDescent="0.3">
      <c r="A524" t="s">
        <v>642</v>
      </c>
      <c r="B524" t="s">
        <v>166</v>
      </c>
      <c r="C524">
        <v>-9.4</v>
      </c>
      <c r="D524">
        <v>27.63</v>
      </c>
      <c r="E524">
        <v>22.39</v>
      </c>
      <c r="F524">
        <v>1.94</v>
      </c>
      <c r="G524">
        <v>32.09452201933405</v>
      </c>
      <c r="H524">
        <v>67.089910775566224</v>
      </c>
      <c r="I524">
        <v>96.314670446491846</v>
      </c>
      <c r="J524">
        <v>74.703212859782596</v>
      </c>
      <c r="K524">
        <v>30.268199233716466</v>
      </c>
      <c r="L524">
        <v>32.153256123419702</v>
      </c>
      <c r="M524">
        <v>44.308926765461955</v>
      </c>
      <c r="N524">
        <v>55.995887929685907</v>
      </c>
      <c r="O524">
        <v>20.878999999999998</v>
      </c>
      <c r="P524">
        <v>1.5110000000000028</v>
      </c>
      <c r="Q524">
        <v>523</v>
      </c>
      <c r="R524">
        <v>3</v>
      </c>
      <c r="S524" t="s">
        <v>24</v>
      </c>
      <c r="T524" t="s">
        <v>643</v>
      </c>
      <c r="U524">
        <v>5000</v>
      </c>
      <c r="V524">
        <v>1000</v>
      </c>
    </row>
    <row r="525" spans="1:22" x14ac:dyDescent="0.3">
      <c r="A525" t="s">
        <v>644</v>
      </c>
      <c r="B525" t="s">
        <v>166</v>
      </c>
      <c r="C525">
        <v>-9.4</v>
      </c>
      <c r="D525">
        <v>27.63</v>
      </c>
      <c r="E525">
        <v>22.39</v>
      </c>
      <c r="F525">
        <v>1.94</v>
      </c>
      <c r="G525">
        <v>32.09452201933405</v>
      </c>
      <c r="H525">
        <v>67.089910775566224</v>
      </c>
      <c r="I525">
        <v>96.314670446491846</v>
      </c>
      <c r="J525">
        <v>74.703212859782596</v>
      </c>
      <c r="K525">
        <v>30.268199233716466</v>
      </c>
      <c r="L525">
        <v>32.153256123419702</v>
      </c>
      <c r="M525">
        <v>44.308926765461955</v>
      </c>
      <c r="N525">
        <v>55.995887929685907</v>
      </c>
      <c r="O525">
        <v>20.878999999999998</v>
      </c>
      <c r="P525">
        <v>1.5110000000000028</v>
      </c>
      <c r="Q525">
        <v>523</v>
      </c>
      <c r="R525">
        <v>3</v>
      </c>
      <c r="S525" t="s">
        <v>24</v>
      </c>
      <c r="T525" t="s">
        <v>643</v>
      </c>
      <c r="U525">
        <v>5000</v>
      </c>
      <c r="V525">
        <v>1000</v>
      </c>
    </row>
    <row r="526" spans="1:22" x14ac:dyDescent="0.3">
      <c r="A526" t="s">
        <v>645</v>
      </c>
      <c r="B526" t="s">
        <v>358</v>
      </c>
      <c r="C526">
        <v>5.79</v>
      </c>
      <c r="D526">
        <v>4.37</v>
      </c>
      <c r="E526">
        <v>5.64</v>
      </c>
      <c r="F526">
        <v>0.68</v>
      </c>
      <c r="G526">
        <v>64.726100966702475</v>
      </c>
      <c r="H526">
        <v>27.179135209334255</v>
      </c>
      <c r="I526">
        <v>36.959603118355773</v>
      </c>
      <c r="J526">
        <v>39.578762315318656</v>
      </c>
      <c r="K526">
        <v>78.544061302681996</v>
      </c>
      <c r="L526">
        <v>19.478238253953322</v>
      </c>
      <c r="M526">
        <v>66.26270170222115</v>
      </c>
      <c r="N526">
        <v>55.991071908885118</v>
      </c>
      <c r="O526">
        <v>5.0554237288135591</v>
      </c>
      <c r="P526">
        <v>0.58457627118644062</v>
      </c>
      <c r="Q526">
        <v>525</v>
      </c>
      <c r="R526">
        <v>22</v>
      </c>
      <c r="S526" t="s">
        <v>24</v>
      </c>
      <c r="T526" t="s">
        <v>359</v>
      </c>
      <c r="U526">
        <v>5000</v>
      </c>
      <c r="V526">
        <v>1000</v>
      </c>
    </row>
    <row r="527" spans="1:22" x14ac:dyDescent="0.3">
      <c r="A527" t="s">
        <v>646</v>
      </c>
      <c r="B527" t="s">
        <v>161</v>
      </c>
      <c r="C527">
        <v>4.55</v>
      </c>
      <c r="D527">
        <v>3.9</v>
      </c>
      <c r="E527">
        <v>5.0999999999999996</v>
      </c>
      <c r="F527">
        <v>0.63</v>
      </c>
      <c r="G527">
        <v>62.062298603651975</v>
      </c>
      <c r="H527">
        <v>26.372683596431024</v>
      </c>
      <c r="I527">
        <v>35.046066619418845</v>
      </c>
      <c r="J527">
        <v>37.84729810936912</v>
      </c>
      <c r="K527">
        <v>80.459770114942529</v>
      </c>
      <c r="L527">
        <v>18.613852292728147</v>
      </c>
      <c r="M527">
        <v>67.759862104412406</v>
      </c>
      <c r="N527">
        <v>55.978557109523294</v>
      </c>
      <c r="O527">
        <v>4.9189795918367345</v>
      </c>
      <c r="P527">
        <v>0.18102040816326515</v>
      </c>
      <c r="Q527">
        <v>526</v>
      </c>
      <c r="R527">
        <v>13</v>
      </c>
      <c r="S527" t="s">
        <v>24</v>
      </c>
      <c r="T527" t="s">
        <v>535</v>
      </c>
      <c r="U527">
        <v>5000</v>
      </c>
      <c r="V527">
        <v>1000</v>
      </c>
    </row>
    <row r="528" spans="1:22" x14ac:dyDescent="0.3">
      <c r="A528" t="s">
        <v>647</v>
      </c>
      <c r="B528" t="s">
        <v>383</v>
      </c>
      <c r="C528">
        <v>6.13</v>
      </c>
      <c r="D528">
        <v>6.87</v>
      </c>
      <c r="E528">
        <v>7.12</v>
      </c>
      <c r="F528">
        <v>0.99</v>
      </c>
      <c r="G528">
        <v>65.456498388829203</v>
      </c>
      <c r="H528">
        <v>31.468771448181197</v>
      </c>
      <c r="I528">
        <v>42.204110559886601</v>
      </c>
      <c r="J528">
        <v>43.6339863921635</v>
      </c>
      <c r="K528">
        <v>66.666666666666657</v>
      </c>
      <c r="L528">
        <v>17.373766758070055</v>
      </c>
      <c r="M528">
        <v>69.907753256171446</v>
      </c>
      <c r="N528">
        <v>55.960598176791272</v>
      </c>
      <c r="O528">
        <v>6.1480952380952392</v>
      </c>
      <c r="P528">
        <v>0.97190476190476094</v>
      </c>
      <c r="Q528">
        <v>527</v>
      </c>
      <c r="R528">
        <v>7</v>
      </c>
      <c r="S528" t="s">
        <v>24</v>
      </c>
      <c r="T528" t="s">
        <v>384</v>
      </c>
      <c r="U528">
        <v>5000</v>
      </c>
      <c r="V528">
        <v>1000</v>
      </c>
    </row>
    <row r="529" spans="1:22" x14ac:dyDescent="0.3">
      <c r="A529" t="s">
        <v>648</v>
      </c>
      <c r="B529" t="s">
        <v>202</v>
      </c>
      <c r="C529">
        <v>5.86</v>
      </c>
      <c r="D529">
        <v>15.63</v>
      </c>
      <c r="E529">
        <v>12.8</v>
      </c>
      <c r="F529">
        <v>2.08</v>
      </c>
      <c r="G529">
        <v>64.876476906552099</v>
      </c>
      <c r="H529">
        <v>46.4996568291009</v>
      </c>
      <c r="I529">
        <v>62.331679659815734</v>
      </c>
      <c r="J529">
        <v>58.091032259948555</v>
      </c>
      <c r="K529">
        <v>24.904214559386961</v>
      </c>
      <c r="L529">
        <v>9.956877489942034</v>
      </c>
      <c r="M529">
        <v>82.754182302681528</v>
      </c>
      <c r="N529">
        <v>55.960115345491403</v>
      </c>
      <c r="O529">
        <v>10.023387096774194</v>
      </c>
      <c r="P529">
        <v>2.7766129032258071</v>
      </c>
      <c r="Q529">
        <v>528</v>
      </c>
      <c r="R529">
        <v>16</v>
      </c>
      <c r="S529" t="s">
        <v>24</v>
      </c>
      <c r="T529" t="s">
        <v>78</v>
      </c>
      <c r="U529">
        <v>1000</v>
      </c>
      <c r="V529">
        <v>1000</v>
      </c>
    </row>
    <row r="530" spans="1:22" x14ac:dyDescent="0.3">
      <c r="A530" t="s">
        <v>649</v>
      </c>
      <c r="B530" t="s">
        <v>229</v>
      </c>
      <c r="C530">
        <v>5.39</v>
      </c>
      <c r="D530">
        <v>4.32</v>
      </c>
      <c r="E530">
        <v>4.62</v>
      </c>
      <c r="F530">
        <v>0.56999999999999995</v>
      </c>
      <c r="G530">
        <v>63.866809881847473</v>
      </c>
      <c r="H530">
        <v>27.093342484557315</v>
      </c>
      <c r="I530">
        <v>33.345145287030476</v>
      </c>
      <c r="J530">
        <v>37.573937365251929</v>
      </c>
      <c r="K530">
        <v>82.758620689655174</v>
      </c>
      <c r="L530">
        <v>19.676318051315221</v>
      </c>
      <c r="M530">
        <v>65.919617429237391</v>
      </c>
      <c r="N530">
        <v>55.956528212349113</v>
      </c>
      <c r="O530">
        <v>5.1221052631578941</v>
      </c>
      <c r="P530">
        <v>-0.50210526315789394</v>
      </c>
      <c r="Q530">
        <v>529</v>
      </c>
      <c r="R530">
        <v>18</v>
      </c>
      <c r="S530" t="s">
        <v>24</v>
      </c>
      <c r="T530" t="s">
        <v>429</v>
      </c>
      <c r="U530">
        <v>1000</v>
      </c>
      <c r="V530">
        <v>1000</v>
      </c>
    </row>
    <row r="531" spans="1:22" x14ac:dyDescent="0.3">
      <c r="A531" t="s">
        <v>650</v>
      </c>
      <c r="B531" t="s">
        <v>138</v>
      </c>
      <c r="C531">
        <v>2.4700000000000002</v>
      </c>
      <c r="D531">
        <v>12.66</v>
      </c>
      <c r="E531">
        <v>10.4</v>
      </c>
      <c r="F531">
        <v>1.77</v>
      </c>
      <c r="G531">
        <v>57.593984962406012</v>
      </c>
      <c r="H531">
        <v>41.403568977350723</v>
      </c>
      <c r="I531">
        <v>53.827072997873849</v>
      </c>
      <c r="J531">
        <v>50.853404184623344</v>
      </c>
      <c r="K531">
        <v>36.781609195402297</v>
      </c>
      <c r="L531">
        <v>8.4721371532967176</v>
      </c>
      <c r="M531">
        <v>85.325828001798129</v>
      </c>
      <c r="N531">
        <v>55.953561391611778</v>
      </c>
      <c r="O531">
        <v>9.219019607843137</v>
      </c>
      <c r="P531">
        <v>1.1809803921568633</v>
      </c>
      <c r="Q531">
        <v>530</v>
      </c>
      <c r="R531">
        <v>10</v>
      </c>
      <c r="S531" t="s">
        <v>24</v>
      </c>
      <c r="T531" t="s">
        <v>134</v>
      </c>
      <c r="U531">
        <v>5000</v>
      </c>
      <c r="V531">
        <v>1000</v>
      </c>
    </row>
    <row r="532" spans="1:22" x14ac:dyDescent="0.3">
      <c r="A532" t="s">
        <v>651</v>
      </c>
      <c r="B532" t="s">
        <v>229</v>
      </c>
      <c r="C532">
        <v>5.69</v>
      </c>
      <c r="D532">
        <v>4.6500000000000004</v>
      </c>
      <c r="E532">
        <v>5.03</v>
      </c>
      <c r="F532">
        <v>0.63</v>
      </c>
      <c r="G532">
        <v>64.511278195488714</v>
      </c>
      <c r="H532">
        <v>27.659574468085111</v>
      </c>
      <c r="I532">
        <v>34.798015591778878</v>
      </c>
      <c r="J532">
        <v>38.599135775412719</v>
      </c>
      <c r="K532">
        <v>80.459770114942529</v>
      </c>
      <c r="L532">
        <v>19.544323062574957</v>
      </c>
      <c r="M532">
        <v>66.148239456080006</v>
      </c>
      <c r="N532">
        <v>55.951570280461993</v>
      </c>
      <c r="O532">
        <v>5.1221052631578941</v>
      </c>
      <c r="P532">
        <v>-9.2105263157893802E-2</v>
      </c>
      <c r="Q532">
        <v>531</v>
      </c>
      <c r="R532">
        <v>19</v>
      </c>
      <c r="S532" t="s">
        <v>24</v>
      </c>
      <c r="T532" t="s">
        <v>429</v>
      </c>
      <c r="U532">
        <v>5000</v>
      </c>
      <c r="V532">
        <v>1000</v>
      </c>
    </row>
    <row r="533" spans="1:22" x14ac:dyDescent="0.3">
      <c r="A533" t="s">
        <v>652</v>
      </c>
      <c r="B533" t="s">
        <v>195</v>
      </c>
      <c r="C533">
        <v>4.5599999999999996</v>
      </c>
      <c r="D533">
        <v>14.6</v>
      </c>
      <c r="E533">
        <v>10.4</v>
      </c>
      <c r="F533">
        <v>1.86</v>
      </c>
      <c r="G533">
        <v>62.083780880773354</v>
      </c>
      <c r="H533">
        <v>44.732326698695957</v>
      </c>
      <c r="I533">
        <v>53.827072997873849</v>
      </c>
      <c r="J533">
        <v>52.749990684700379</v>
      </c>
      <c r="K533">
        <v>33.333333333333329</v>
      </c>
      <c r="L533">
        <v>8.6790993920517288</v>
      </c>
      <c r="M533">
        <v>84.967358889026258</v>
      </c>
      <c r="N533">
        <v>55.950168397940082</v>
      </c>
      <c r="O533">
        <v>10.412619047619048</v>
      </c>
      <c r="P533">
        <v>-1.2619047619047308E-2</v>
      </c>
      <c r="Q533">
        <v>532</v>
      </c>
      <c r="R533">
        <v>17</v>
      </c>
      <c r="S533" t="s">
        <v>24</v>
      </c>
      <c r="T533" t="s">
        <v>196</v>
      </c>
      <c r="U533">
        <v>1000</v>
      </c>
      <c r="V533">
        <v>1000</v>
      </c>
    </row>
    <row r="534" spans="1:22" x14ac:dyDescent="0.3">
      <c r="A534" t="s">
        <v>653</v>
      </c>
      <c r="B534" t="s">
        <v>654</v>
      </c>
      <c r="C534">
        <v>2.69</v>
      </c>
      <c r="D534">
        <v>15.32</v>
      </c>
      <c r="E534">
        <v>10.01</v>
      </c>
      <c r="F534">
        <v>1.92</v>
      </c>
      <c r="G534">
        <v>58.066595059076256</v>
      </c>
      <c r="H534">
        <v>45.967741935483872</v>
      </c>
      <c r="I534">
        <v>52.445074415308291</v>
      </c>
      <c r="J534">
        <v>51.626178800114559</v>
      </c>
      <c r="K534">
        <v>31.034482758620683</v>
      </c>
      <c r="L534">
        <v>6.0544691111712252</v>
      </c>
      <c r="M534">
        <v>89.513351886595061</v>
      </c>
      <c r="N534">
        <v>55.950048061361215</v>
      </c>
      <c r="O534">
        <v>6.7733333333333334</v>
      </c>
      <c r="P534">
        <v>3.2366666666666664</v>
      </c>
      <c r="Q534">
        <v>533</v>
      </c>
      <c r="R534">
        <v>1</v>
      </c>
      <c r="S534" t="s">
        <v>24</v>
      </c>
      <c r="T534" t="s">
        <v>655</v>
      </c>
      <c r="U534">
        <v>5000</v>
      </c>
      <c r="V534">
        <v>1000</v>
      </c>
    </row>
    <row r="535" spans="1:22" x14ac:dyDescent="0.3">
      <c r="A535" t="s">
        <v>656</v>
      </c>
      <c r="B535" t="s">
        <v>654</v>
      </c>
      <c r="C535">
        <v>2.69</v>
      </c>
      <c r="D535">
        <v>15.32</v>
      </c>
      <c r="E535">
        <v>10.01</v>
      </c>
      <c r="F535">
        <v>1.92</v>
      </c>
      <c r="G535">
        <v>58.066595059076256</v>
      </c>
      <c r="H535">
        <v>45.967741935483872</v>
      </c>
      <c r="I535">
        <v>52.445074415308291</v>
      </c>
      <c r="J535">
        <v>51.626178800114559</v>
      </c>
      <c r="K535">
        <v>31.034482758620683</v>
      </c>
      <c r="L535">
        <v>6.0544691111712252</v>
      </c>
      <c r="M535">
        <v>89.513351886595061</v>
      </c>
      <c r="N535">
        <v>55.950048061361215</v>
      </c>
      <c r="O535">
        <v>6.7733333333333334</v>
      </c>
      <c r="P535">
        <v>3.2366666666666664</v>
      </c>
      <c r="Q535">
        <v>533</v>
      </c>
      <c r="R535">
        <v>1</v>
      </c>
      <c r="S535" t="s">
        <v>24</v>
      </c>
      <c r="T535" t="s">
        <v>655</v>
      </c>
      <c r="U535">
        <v>5000</v>
      </c>
      <c r="V535">
        <v>1000</v>
      </c>
    </row>
    <row r="536" spans="1:22" x14ac:dyDescent="0.3">
      <c r="A536" t="s">
        <v>657</v>
      </c>
      <c r="B536" t="s">
        <v>229</v>
      </c>
      <c r="C536">
        <v>5.39</v>
      </c>
      <c r="D536">
        <v>4.3</v>
      </c>
      <c r="E536">
        <v>4.6100000000000003</v>
      </c>
      <c r="F536">
        <v>0.56999999999999995</v>
      </c>
      <c r="G536">
        <v>63.866809881847473</v>
      </c>
      <c r="H536">
        <v>27.05902539464654</v>
      </c>
      <c r="I536">
        <v>33.309709425939047</v>
      </c>
      <c r="J536">
        <v>37.545924307732982</v>
      </c>
      <c r="K536">
        <v>82.758620689655174</v>
      </c>
      <c r="L536">
        <v>19.696109759661358</v>
      </c>
      <c r="M536">
        <v>65.885337184813295</v>
      </c>
      <c r="N536">
        <v>55.933951622483605</v>
      </c>
      <c r="O536">
        <v>5.1221052631578941</v>
      </c>
      <c r="P536">
        <v>-0.51210526315789373</v>
      </c>
      <c r="Q536">
        <v>535</v>
      </c>
      <c r="R536">
        <v>20</v>
      </c>
      <c r="S536" t="s">
        <v>24</v>
      </c>
      <c r="T536" t="s">
        <v>429</v>
      </c>
      <c r="U536">
        <v>1000</v>
      </c>
      <c r="V536">
        <v>1000</v>
      </c>
    </row>
    <row r="537" spans="1:22" x14ac:dyDescent="0.3">
      <c r="A537" t="s">
        <v>658</v>
      </c>
      <c r="B537" t="s">
        <v>161</v>
      </c>
      <c r="C537">
        <v>4.55</v>
      </c>
      <c r="D537">
        <v>3.91</v>
      </c>
      <c r="E537">
        <v>5.05</v>
      </c>
      <c r="F537">
        <v>0.63</v>
      </c>
      <c r="G537">
        <v>62.062298603651975</v>
      </c>
      <c r="H537">
        <v>26.389842141386417</v>
      </c>
      <c r="I537">
        <v>34.868887313961729</v>
      </c>
      <c r="J537">
        <v>37.763856020127186</v>
      </c>
      <c r="K537">
        <v>80.459770114942529</v>
      </c>
      <c r="L537">
        <v>18.636433737266085</v>
      </c>
      <c r="M537">
        <v>67.720749895164403</v>
      </c>
      <c r="N537">
        <v>55.927058012590329</v>
      </c>
      <c r="O537">
        <v>4.9189795918367345</v>
      </c>
      <c r="P537">
        <v>0.13102040816326532</v>
      </c>
      <c r="Q537">
        <v>536</v>
      </c>
      <c r="R537">
        <v>14</v>
      </c>
      <c r="S537" t="s">
        <v>24</v>
      </c>
      <c r="T537" t="s">
        <v>535</v>
      </c>
      <c r="U537">
        <v>5000</v>
      </c>
      <c r="V537">
        <v>1000</v>
      </c>
    </row>
    <row r="538" spans="1:22" x14ac:dyDescent="0.3">
      <c r="A538" t="s">
        <v>659</v>
      </c>
      <c r="B538" t="s">
        <v>358</v>
      </c>
      <c r="C538">
        <v>4.6399999999999997</v>
      </c>
      <c r="D538">
        <v>2.68</v>
      </c>
      <c r="E538">
        <v>5.51</v>
      </c>
      <c r="F538">
        <v>0.61</v>
      </c>
      <c r="G538">
        <v>62.25563909774435</v>
      </c>
      <c r="H538">
        <v>24.279341111873716</v>
      </c>
      <c r="I538">
        <v>36.498936924167261</v>
      </c>
      <c r="J538">
        <v>37.984398615194621</v>
      </c>
      <c r="K538">
        <v>81.226053639846739</v>
      </c>
      <c r="L538">
        <v>19.3861008516661</v>
      </c>
      <c r="M538">
        <v>66.422288364260027</v>
      </c>
      <c r="N538">
        <v>55.904284808624006</v>
      </c>
      <c r="O538">
        <v>5.0554237288135591</v>
      </c>
      <c r="P538">
        <v>0.45457627118644073</v>
      </c>
      <c r="Q538">
        <v>537</v>
      </c>
      <c r="R538">
        <v>23</v>
      </c>
      <c r="S538" t="s">
        <v>24</v>
      </c>
      <c r="T538" t="s">
        <v>359</v>
      </c>
      <c r="U538">
        <v>1000</v>
      </c>
      <c r="V538">
        <v>1000</v>
      </c>
    </row>
    <row r="539" spans="1:22" x14ac:dyDescent="0.3">
      <c r="A539" t="s">
        <v>660</v>
      </c>
      <c r="B539" t="s">
        <v>229</v>
      </c>
      <c r="C539">
        <v>5.69</v>
      </c>
      <c r="D539">
        <v>4.6500000000000004</v>
      </c>
      <c r="E539">
        <v>4.99</v>
      </c>
      <c r="F539">
        <v>0.63</v>
      </c>
      <c r="G539">
        <v>64.511278195488714</v>
      </c>
      <c r="H539">
        <v>27.659574468085111</v>
      </c>
      <c r="I539">
        <v>34.656272147413183</v>
      </c>
      <c r="J539">
        <v>38.528264053229869</v>
      </c>
      <c r="K539">
        <v>80.459770114942529</v>
      </c>
      <c r="L539">
        <v>19.571762108366201</v>
      </c>
      <c r="M539">
        <v>66.100713634658376</v>
      </c>
      <c r="N539">
        <v>55.904252964015164</v>
      </c>
      <c r="O539">
        <v>5.1221052631578941</v>
      </c>
      <c r="P539">
        <v>-0.13210526315789384</v>
      </c>
      <c r="Q539">
        <v>538</v>
      </c>
      <c r="R539">
        <v>21</v>
      </c>
      <c r="S539" t="s">
        <v>24</v>
      </c>
      <c r="T539" t="s">
        <v>429</v>
      </c>
      <c r="U539">
        <v>5000</v>
      </c>
      <c r="V539">
        <v>1000</v>
      </c>
    </row>
    <row r="540" spans="1:22" x14ac:dyDescent="0.3">
      <c r="A540" t="s">
        <v>661</v>
      </c>
      <c r="B540" t="s">
        <v>138</v>
      </c>
      <c r="C540">
        <v>1.76</v>
      </c>
      <c r="D540">
        <v>12.33</v>
      </c>
      <c r="E540">
        <v>10.53</v>
      </c>
      <c r="F540">
        <v>1.77</v>
      </c>
      <c r="G540">
        <v>56.06874328678839</v>
      </c>
      <c r="H540">
        <v>40.837336993822923</v>
      </c>
      <c r="I540">
        <v>54.287739192062354</v>
      </c>
      <c r="J540">
        <v>50.608819351535729</v>
      </c>
      <c r="K540">
        <v>36.781609195402297</v>
      </c>
      <c r="L540">
        <v>8.3274749328275082</v>
      </c>
      <c r="M540">
        <v>85.576390317586529</v>
      </c>
      <c r="N540">
        <v>55.893909554015067</v>
      </c>
      <c r="O540">
        <v>9.219019607843137</v>
      </c>
      <c r="P540">
        <v>1.3109803921568624</v>
      </c>
      <c r="Q540">
        <v>539</v>
      </c>
      <c r="R540">
        <v>11</v>
      </c>
      <c r="S540" t="s">
        <v>24</v>
      </c>
      <c r="T540" t="s">
        <v>134</v>
      </c>
      <c r="U540">
        <v>5000</v>
      </c>
      <c r="V540">
        <v>1000</v>
      </c>
    </row>
    <row r="541" spans="1:22" x14ac:dyDescent="0.3">
      <c r="A541" t="s">
        <v>662</v>
      </c>
      <c r="B541" t="s">
        <v>229</v>
      </c>
      <c r="C541">
        <v>5.39</v>
      </c>
      <c r="D541">
        <v>4.3</v>
      </c>
      <c r="E541">
        <v>4.57</v>
      </c>
      <c r="F541">
        <v>0.56999999999999995</v>
      </c>
      <c r="G541">
        <v>63.866809881847473</v>
      </c>
      <c r="H541">
        <v>27.05902539464654</v>
      </c>
      <c r="I541">
        <v>33.167965981573353</v>
      </c>
      <c r="J541">
        <v>37.475052585550131</v>
      </c>
      <c r="K541">
        <v>82.758620689655174</v>
      </c>
      <c r="L541">
        <v>19.725411574769186</v>
      </c>
      <c r="M541">
        <v>65.834584952292545</v>
      </c>
      <c r="N541">
        <v>55.885827703261995</v>
      </c>
      <c r="O541">
        <v>5.1221052631578941</v>
      </c>
      <c r="P541">
        <v>-0.55210526315789377</v>
      </c>
      <c r="Q541">
        <v>540</v>
      </c>
      <c r="R541">
        <v>22</v>
      </c>
      <c r="S541" t="s">
        <v>24</v>
      </c>
      <c r="T541" t="s">
        <v>429</v>
      </c>
      <c r="U541">
        <v>1000</v>
      </c>
      <c r="V541">
        <v>1000</v>
      </c>
    </row>
    <row r="542" spans="1:22" x14ac:dyDescent="0.3">
      <c r="A542" t="s">
        <v>663</v>
      </c>
      <c r="B542" t="s">
        <v>229</v>
      </c>
      <c r="C542">
        <v>5.69</v>
      </c>
      <c r="D542">
        <v>4.6500000000000004</v>
      </c>
      <c r="E542">
        <v>4.97</v>
      </c>
      <c r="F542">
        <v>0.63</v>
      </c>
      <c r="G542">
        <v>64.511278195488714</v>
      </c>
      <c r="H542">
        <v>27.659574468085111</v>
      </c>
      <c r="I542">
        <v>34.585400425230326</v>
      </c>
      <c r="J542">
        <v>38.49282819213844</v>
      </c>
      <c r="K542">
        <v>80.459770114942529</v>
      </c>
      <c r="L542">
        <v>19.585595442916052</v>
      </c>
      <c r="M542">
        <v>66.07675359637993</v>
      </c>
      <c r="N542">
        <v>55.880545023899842</v>
      </c>
      <c r="O542">
        <v>5.1221052631578941</v>
      </c>
      <c r="P542">
        <v>-0.1521052631578943</v>
      </c>
      <c r="Q542">
        <v>541</v>
      </c>
      <c r="R542">
        <v>23</v>
      </c>
      <c r="S542" t="s">
        <v>24</v>
      </c>
      <c r="T542" t="s">
        <v>429</v>
      </c>
      <c r="U542">
        <v>5000</v>
      </c>
      <c r="V542">
        <v>1000</v>
      </c>
    </row>
    <row r="543" spans="1:22" x14ac:dyDescent="0.3">
      <c r="A543" t="s">
        <v>664</v>
      </c>
      <c r="B543" t="s">
        <v>229</v>
      </c>
      <c r="C543">
        <v>5.69</v>
      </c>
      <c r="D543">
        <v>4.6500000000000004</v>
      </c>
      <c r="E543">
        <v>4.97</v>
      </c>
      <c r="F543">
        <v>0.63</v>
      </c>
      <c r="G543">
        <v>64.511278195488714</v>
      </c>
      <c r="H543">
        <v>27.659574468085111</v>
      </c>
      <c r="I543">
        <v>34.585400425230326</v>
      </c>
      <c r="J543">
        <v>38.49282819213844</v>
      </c>
      <c r="K543">
        <v>80.459770114942529</v>
      </c>
      <c r="L543">
        <v>19.585595442916052</v>
      </c>
      <c r="M543">
        <v>66.07675359637993</v>
      </c>
      <c r="N543">
        <v>55.880545023899842</v>
      </c>
      <c r="O543">
        <v>5.1221052631578941</v>
      </c>
      <c r="P543">
        <v>-0.1521052631578943</v>
      </c>
      <c r="Q543">
        <v>541</v>
      </c>
      <c r="R543">
        <v>23</v>
      </c>
      <c r="S543" t="s">
        <v>24</v>
      </c>
      <c r="T543" t="s">
        <v>429</v>
      </c>
      <c r="U543">
        <v>5000</v>
      </c>
      <c r="V543">
        <v>1000</v>
      </c>
    </row>
    <row r="544" spans="1:22" x14ac:dyDescent="0.3">
      <c r="A544" t="s">
        <v>665</v>
      </c>
      <c r="B544" t="s">
        <v>185</v>
      </c>
      <c r="C544">
        <v>22.14</v>
      </c>
      <c r="D544">
        <v>26.31</v>
      </c>
      <c r="E544">
        <v>12.64</v>
      </c>
      <c r="F544">
        <v>2.2200000000000002</v>
      </c>
      <c r="G544">
        <v>99.849624060150362</v>
      </c>
      <c r="H544">
        <v>64.824982841455054</v>
      </c>
      <c r="I544">
        <v>61.764705882352942</v>
      </c>
      <c r="J544">
        <v>70.299772605643057</v>
      </c>
      <c r="K544">
        <v>19.540229885057457</v>
      </c>
      <c r="L544">
        <v>21.160307890695833</v>
      </c>
      <c r="M544">
        <v>63.349271629514192</v>
      </c>
      <c r="N544">
        <v>55.872261681464437</v>
      </c>
      <c r="O544">
        <v>9.4014285714285712</v>
      </c>
      <c r="P544">
        <v>3.2385714285714293</v>
      </c>
      <c r="Q544">
        <v>543</v>
      </c>
      <c r="R544">
        <v>3</v>
      </c>
      <c r="S544" t="s">
        <v>24</v>
      </c>
      <c r="T544" t="s">
        <v>666</v>
      </c>
      <c r="U544">
        <v>5000</v>
      </c>
      <c r="V544">
        <v>1000</v>
      </c>
    </row>
    <row r="545" spans="1:22" x14ac:dyDescent="0.3">
      <c r="A545" t="s">
        <v>667</v>
      </c>
      <c r="B545" t="s">
        <v>202</v>
      </c>
      <c r="C545">
        <v>3.59</v>
      </c>
      <c r="D545">
        <v>15.53</v>
      </c>
      <c r="E545">
        <v>9.83</v>
      </c>
      <c r="F545">
        <v>1.9</v>
      </c>
      <c r="G545">
        <v>60</v>
      </c>
      <c r="H545">
        <v>46.328071379547019</v>
      </c>
      <c r="I545">
        <v>51.807228915662648</v>
      </c>
      <c r="J545">
        <v>51.802035871695431</v>
      </c>
      <c r="K545">
        <v>31.800766283524908</v>
      </c>
      <c r="L545">
        <v>6.8807012427112424</v>
      </c>
      <c r="M545">
        <v>88.082275855921807</v>
      </c>
      <c r="N545">
        <v>55.871778470709394</v>
      </c>
      <c r="O545">
        <v>10.023387096774194</v>
      </c>
      <c r="P545">
        <v>-0.19338709677419352</v>
      </c>
      <c r="Q545">
        <v>544</v>
      </c>
      <c r="R545">
        <v>17</v>
      </c>
      <c r="S545" t="s">
        <v>24</v>
      </c>
      <c r="T545" t="s">
        <v>78</v>
      </c>
      <c r="U545">
        <v>1000</v>
      </c>
      <c r="V545">
        <v>1000</v>
      </c>
    </row>
    <row r="546" spans="1:22" x14ac:dyDescent="0.3">
      <c r="A546" t="s">
        <v>668</v>
      </c>
      <c r="B546" t="s">
        <v>358</v>
      </c>
      <c r="C546">
        <v>5.79</v>
      </c>
      <c r="D546">
        <v>4.37</v>
      </c>
      <c r="E546">
        <v>5.53</v>
      </c>
      <c r="F546">
        <v>0.68</v>
      </c>
      <c r="G546">
        <v>64.726100966702475</v>
      </c>
      <c r="H546">
        <v>27.179135209334255</v>
      </c>
      <c r="I546">
        <v>36.569808646350104</v>
      </c>
      <c r="J546">
        <v>39.383865079315825</v>
      </c>
      <c r="K546">
        <v>78.544061302681996</v>
      </c>
      <c r="L546">
        <v>19.539430998260887</v>
      </c>
      <c r="M546">
        <v>66.156712760025869</v>
      </c>
      <c r="N546">
        <v>55.867126055334879</v>
      </c>
      <c r="O546">
        <v>5.0554237288135591</v>
      </c>
      <c r="P546">
        <v>0.47457627118644119</v>
      </c>
      <c r="Q546">
        <v>545</v>
      </c>
      <c r="R546">
        <v>24</v>
      </c>
      <c r="S546" t="s">
        <v>24</v>
      </c>
      <c r="T546" t="s">
        <v>359</v>
      </c>
      <c r="U546">
        <v>5000</v>
      </c>
      <c r="V546">
        <v>1000</v>
      </c>
    </row>
    <row r="547" spans="1:22" x14ac:dyDescent="0.3">
      <c r="A547" t="s">
        <v>669</v>
      </c>
      <c r="B547" t="s">
        <v>410</v>
      </c>
      <c r="C547">
        <v>5.73</v>
      </c>
      <c r="D547">
        <v>4.7699999999999996</v>
      </c>
      <c r="E547">
        <v>3.36</v>
      </c>
      <c r="F547">
        <v>0.43</v>
      </c>
      <c r="G547">
        <v>64.59720730397423</v>
      </c>
      <c r="H547">
        <v>27.865477007549767</v>
      </c>
      <c r="I547">
        <v>28.880226789510981</v>
      </c>
      <c r="J547">
        <v>35.719197957815268</v>
      </c>
      <c r="K547">
        <v>88.122605363984675</v>
      </c>
      <c r="L547">
        <v>20.920294870292039</v>
      </c>
      <c r="M547">
        <v>63.764986375331631</v>
      </c>
      <c r="N547">
        <v>55.831496913736707</v>
      </c>
      <c r="O547">
        <v>4.4264935064935065</v>
      </c>
      <c r="P547">
        <v>-1.0664935064935066</v>
      </c>
      <c r="Q547">
        <v>546</v>
      </c>
      <c r="R547">
        <v>26</v>
      </c>
      <c r="S547" t="s">
        <v>24</v>
      </c>
      <c r="T547" t="s">
        <v>499</v>
      </c>
      <c r="U547">
        <v>1000</v>
      </c>
      <c r="V547">
        <v>1000</v>
      </c>
    </row>
    <row r="548" spans="1:22" x14ac:dyDescent="0.3">
      <c r="A548" t="s">
        <v>670</v>
      </c>
      <c r="B548" t="s">
        <v>138</v>
      </c>
      <c r="C548">
        <v>2.4900000000000002</v>
      </c>
      <c r="D548">
        <v>12.66</v>
      </c>
      <c r="E548">
        <v>10.1</v>
      </c>
      <c r="F548">
        <v>1.77</v>
      </c>
      <c r="G548">
        <v>57.636949516648762</v>
      </c>
      <c r="H548">
        <v>41.403568977350723</v>
      </c>
      <c r="I548">
        <v>52.763997165131116</v>
      </c>
      <c r="J548">
        <v>50.330459179100529</v>
      </c>
      <c r="K548">
        <v>36.781609195402297</v>
      </c>
      <c r="L548">
        <v>8.3299423463744819</v>
      </c>
      <c r="M548">
        <v>85.572116631959886</v>
      </c>
      <c r="N548">
        <v>55.75366104639081</v>
      </c>
      <c r="O548">
        <v>9.219019607843137</v>
      </c>
      <c r="P548">
        <v>0.88098039215686264</v>
      </c>
      <c r="Q548">
        <v>547</v>
      </c>
      <c r="R548">
        <v>12</v>
      </c>
      <c r="S548" t="s">
        <v>24</v>
      </c>
      <c r="T548" t="s">
        <v>134</v>
      </c>
      <c r="U548">
        <v>5000</v>
      </c>
      <c r="V548">
        <v>1000</v>
      </c>
    </row>
    <row r="549" spans="1:22" x14ac:dyDescent="0.3">
      <c r="A549" t="s">
        <v>671</v>
      </c>
      <c r="B549" t="s">
        <v>262</v>
      </c>
      <c r="C549">
        <v>5.66</v>
      </c>
      <c r="D549">
        <v>4.26</v>
      </c>
      <c r="E549">
        <v>4.3899999999999997</v>
      </c>
      <c r="F549">
        <v>0.55000000000000004</v>
      </c>
      <c r="G549">
        <v>64.446831364124591</v>
      </c>
      <c r="H549">
        <v>26.990391214824989</v>
      </c>
      <c r="I549">
        <v>32.530120481927703</v>
      </c>
      <c r="J549">
        <v>37.251543878236262</v>
      </c>
      <c r="K549">
        <v>83.524904214559385</v>
      </c>
      <c r="L549">
        <v>20.216948098681144</v>
      </c>
      <c r="M549">
        <v>64.983218719101245</v>
      </c>
      <c r="N549">
        <v>55.752802672533285</v>
      </c>
      <c r="O549">
        <v>4.4728846153846158</v>
      </c>
      <c r="P549">
        <v>-8.2884615384616112E-2</v>
      </c>
      <c r="Q549">
        <v>548</v>
      </c>
      <c r="R549">
        <v>37</v>
      </c>
      <c r="S549" t="s">
        <v>24</v>
      </c>
      <c r="T549" t="s">
        <v>295</v>
      </c>
      <c r="U549">
        <v>1000</v>
      </c>
      <c r="V549">
        <v>1000</v>
      </c>
    </row>
    <row r="550" spans="1:22" x14ac:dyDescent="0.3">
      <c r="A550" t="s">
        <v>672</v>
      </c>
      <c r="B550" t="s">
        <v>148</v>
      </c>
      <c r="C550">
        <v>0.5</v>
      </c>
      <c r="D550">
        <v>12.59</v>
      </c>
      <c r="E550">
        <v>9.52</v>
      </c>
      <c r="F550">
        <v>1.76</v>
      </c>
      <c r="G550">
        <v>53.361976369495167</v>
      </c>
      <c r="H550">
        <v>41.283459162663014</v>
      </c>
      <c r="I550">
        <v>50.708717221828479</v>
      </c>
      <c r="J550">
        <v>48.411791633612182</v>
      </c>
      <c r="K550">
        <v>37.164750957854409</v>
      </c>
      <c r="L550">
        <v>6.3477798153144445</v>
      </c>
      <c r="M550">
        <v>89.005322844615193</v>
      </c>
      <c r="N550">
        <v>55.748414267423492</v>
      </c>
      <c r="O550">
        <v>10.461</v>
      </c>
      <c r="P550">
        <v>-0.94100000000000072</v>
      </c>
      <c r="Q550">
        <v>549</v>
      </c>
      <c r="R550">
        <v>16</v>
      </c>
      <c r="S550" t="s">
        <v>24</v>
      </c>
      <c r="T550" t="s">
        <v>78</v>
      </c>
      <c r="U550">
        <v>1000</v>
      </c>
      <c r="V550">
        <v>1000</v>
      </c>
    </row>
    <row r="551" spans="1:22" x14ac:dyDescent="0.3">
      <c r="A551" t="s">
        <v>673</v>
      </c>
      <c r="B551" t="s">
        <v>138</v>
      </c>
      <c r="C551">
        <v>5.17</v>
      </c>
      <c r="D551">
        <v>15.21</v>
      </c>
      <c r="E551">
        <v>11.25</v>
      </c>
      <c r="F551">
        <v>1.98</v>
      </c>
      <c r="G551">
        <v>63.394199785177229</v>
      </c>
      <c r="H551">
        <v>45.778997940974612</v>
      </c>
      <c r="I551">
        <v>56.839121190644939</v>
      </c>
      <c r="J551">
        <v>54.832099934650302</v>
      </c>
      <c r="K551">
        <v>28.735632183908045</v>
      </c>
      <c r="L551">
        <v>8.9030960690686385</v>
      </c>
      <c r="M551">
        <v>84.579385263706371</v>
      </c>
      <c r="N551">
        <v>55.744804329228757</v>
      </c>
      <c r="O551">
        <v>9.219019607843137</v>
      </c>
      <c r="P551">
        <v>2.030980392156863</v>
      </c>
      <c r="Q551">
        <v>550</v>
      </c>
      <c r="R551">
        <v>13</v>
      </c>
      <c r="S551" t="s">
        <v>24</v>
      </c>
      <c r="T551" t="s">
        <v>176</v>
      </c>
      <c r="U551">
        <v>5000</v>
      </c>
      <c r="V551">
        <v>1000</v>
      </c>
    </row>
    <row r="552" spans="1:22" x14ac:dyDescent="0.3">
      <c r="A552" t="s">
        <v>674</v>
      </c>
      <c r="B552" t="s">
        <v>405</v>
      </c>
      <c r="C552">
        <v>5.78</v>
      </c>
      <c r="D552">
        <v>15.73</v>
      </c>
      <c r="E552">
        <v>10.39</v>
      </c>
      <c r="F552">
        <v>1.92</v>
      </c>
      <c r="G552">
        <v>64.704618689581096</v>
      </c>
      <c r="H552">
        <v>46.671242278654773</v>
      </c>
      <c r="I552">
        <v>53.79163713678242</v>
      </c>
      <c r="J552">
        <v>53.838114989903858</v>
      </c>
      <c r="K552">
        <v>31.034482758620683</v>
      </c>
      <c r="L552">
        <v>9.0829130246994438</v>
      </c>
      <c r="M552">
        <v>84.267933160491452</v>
      </c>
      <c r="N552">
        <v>55.744661474729966</v>
      </c>
      <c r="O552">
        <v>12.057857142857143</v>
      </c>
      <c r="P552">
        <v>-1.6678571428571427</v>
      </c>
      <c r="Q552">
        <v>551</v>
      </c>
      <c r="R552">
        <v>6</v>
      </c>
      <c r="S552" t="s">
        <v>24</v>
      </c>
      <c r="T552" t="s">
        <v>406</v>
      </c>
      <c r="U552">
        <v>5000</v>
      </c>
      <c r="V552">
        <v>1000</v>
      </c>
    </row>
    <row r="553" spans="1:22" x14ac:dyDescent="0.3">
      <c r="A553" t="s">
        <v>675</v>
      </c>
      <c r="B553" t="s">
        <v>126</v>
      </c>
      <c r="C553">
        <v>3.42</v>
      </c>
      <c r="D553">
        <v>18.440000000000001</v>
      </c>
      <c r="E553">
        <v>10.68</v>
      </c>
      <c r="F553">
        <v>2.19</v>
      </c>
      <c r="G553">
        <v>59.634801288936622</v>
      </c>
      <c r="H553">
        <v>51.321207961564873</v>
      </c>
      <c r="I553">
        <v>54.819277108433731</v>
      </c>
      <c r="J553">
        <v>54.732961200473653</v>
      </c>
      <c r="K553">
        <v>20.68965517241379</v>
      </c>
      <c r="L553">
        <v>4.1741584960764628</v>
      </c>
      <c r="M553">
        <v>92.770145405950274</v>
      </c>
      <c r="N553">
        <v>55.73143074482784</v>
      </c>
      <c r="O553">
        <v>11.362272727272726</v>
      </c>
      <c r="P553">
        <v>-0.6822727272727267</v>
      </c>
      <c r="Q553">
        <v>552</v>
      </c>
      <c r="R553">
        <v>26</v>
      </c>
      <c r="S553" t="s">
        <v>24</v>
      </c>
      <c r="T553" t="s">
        <v>127</v>
      </c>
      <c r="U553">
        <v>5000</v>
      </c>
      <c r="V553">
        <v>1000</v>
      </c>
    </row>
    <row r="554" spans="1:22" x14ac:dyDescent="0.3">
      <c r="A554" t="s">
        <v>676</v>
      </c>
      <c r="B554" t="s">
        <v>442</v>
      </c>
      <c r="C554">
        <v>9.76</v>
      </c>
      <c r="D554">
        <v>16.350000000000001</v>
      </c>
      <c r="E554">
        <v>11.6</v>
      </c>
      <c r="F554">
        <v>1.97</v>
      </c>
      <c r="G554">
        <v>73.254564983888287</v>
      </c>
      <c r="H554">
        <v>47.735072065888815</v>
      </c>
      <c r="I554">
        <v>58.079376328844788</v>
      </c>
      <c r="J554">
        <v>58.011122780966694</v>
      </c>
      <c r="K554">
        <v>29.118773946360154</v>
      </c>
      <c r="L554">
        <v>12.835728132784906</v>
      </c>
      <c r="M554">
        <v>77.76786672187535</v>
      </c>
      <c r="N554">
        <v>55.727221557542222</v>
      </c>
      <c r="O554">
        <v>8.6269999999999989</v>
      </c>
      <c r="P554">
        <v>2.9730000000000008</v>
      </c>
      <c r="Q554">
        <v>553</v>
      </c>
      <c r="R554">
        <v>2</v>
      </c>
      <c r="S554" t="s">
        <v>24</v>
      </c>
      <c r="T554" t="s">
        <v>176</v>
      </c>
      <c r="U554">
        <v>1000</v>
      </c>
      <c r="V554">
        <v>1000</v>
      </c>
    </row>
    <row r="555" spans="1:22" x14ac:dyDescent="0.3">
      <c r="A555" t="s">
        <v>677</v>
      </c>
      <c r="B555" t="s">
        <v>44</v>
      </c>
      <c r="C555">
        <v>0.54</v>
      </c>
      <c r="D555">
        <v>6.78</v>
      </c>
      <c r="E555">
        <v>5.85</v>
      </c>
      <c r="F555">
        <v>1.04</v>
      </c>
      <c r="G555">
        <v>53.447905477980662</v>
      </c>
      <c r="H555">
        <v>31.314344543582706</v>
      </c>
      <c r="I555">
        <v>37.703756201275681</v>
      </c>
      <c r="J555">
        <v>38.935762559308785</v>
      </c>
      <c r="K555">
        <v>64.750957854406124</v>
      </c>
      <c r="L555">
        <v>11.391497834023264</v>
      </c>
      <c r="M555">
        <v>80.269346977160893</v>
      </c>
      <c r="N555">
        <v>55.722957487546147</v>
      </c>
      <c r="O555">
        <v>7.5967647058823538</v>
      </c>
      <c r="P555">
        <v>-1.7467647058823541</v>
      </c>
      <c r="Q555">
        <v>554</v>
      </c>
      <c r="R555">
        <v>25</v>
      </c>
      <c r="S555" t="s">
        <v>24</v>
      </c>
      <c r="T555" t="s">
        <v>425</v>
      </c>
      <c r="U555">
        <v>1000</v>
      </c>
      <c r="V555">
        <v>1000</v>
      </c>
    </row>
    <row r="556" spans="1:22" x14ac:dyDescent="0.3">
      <c r="A556" t="s">
        <v>678</v>
      </c>
      <c r="B556" t="s">
        <v>161</v>
      </c>
      <c r="C556">
        <v>5.25</v>
      </c>
      <c r="D556">
        <v>2.84</v>
      </c>
      <c r="E556">
        <v>5.67</v>
      </c>
      <c r="F556">
        <v>0.64</v>
      </c>
      <c r="G556">
        <v>63.566058002148232</v>
      </c>
      <c r="H556">
        <v>24.55387783115992</v>
      </c>
      <c r="I556">
        <v>37.065910701630045</v>
      </c>
      <c r="J556">
        <v>38.612330300592646</v>
      </c>
      <c r="K556">
        <v>80.076628352490417</v>
      </c>
      <c r="L556">
        <v>19.91966773147643</v>
      </c>
      <c r="M556">
        <v>65.498123419192552</v>
      </c>
      <c r="N556">
        <v>55.699853093217065</v>
      </c>
      <c r="O556">
        <v>4.9189795918367345</v>
      </c>
      <c r="P556">
        <v>0.75102040816326543</v>
      </c>
      <c r="Q556">
        <v>555</v>
      </c>
      <c r="R556">
        <v>15</v>
      </c>
      <c r="S556" t="s">
        <v>24</v>
      </c>
      <c r="T556" t="s">
        <v>535</v>
      </c>
      <c r="U556">
        <v>5000</v>
      </c>
      <c r="V556">
        <v>1000</v>
      </c>
    </row>
    <row r="557" spans="1:22" x14ac:dyDescent="0.3">
      <c r="A557" t="s">
        <v>679</v>
      </c>
      <c r="B557" t="s">
        <v>161</v>
      </c>
      <c r="C557">
        <v>5.25</v>
      </c>
      <c r="D557">
        <v>2.84</v>
      </c>
      <c r="E557">
        <v>5.67</v>
      </c>
      <c r="F557">
        <v>0.64</v>
      </c>
      <c r="G557">
        <v>63.566058002148232</v>
      </c>
      <c r="H557">
        <v>24.55387783115992</v>
      </c>
      <c r="I557">
        <v>37.065910701630045</v>
      </c>
      <c r="J557">
        <v>38.612330300592646</v>
      </c>
      <c r="K557">
        <v>80.076628352490417</v>
      </c>
      <c r="L557">
        <v>19.91966773147643</v>
      </c>
      <c r="M557">
        <v>65.498123419192552</v>
      </c>
      <c r="N557">
        <v>55.699853093217065</v>
      </c>
      <c r="O557">
        <v>4.9189795918367345</v>
      </c>
      <c r="P557">
        <v>0.75102040816326543</v>
      </c>
      <c r="Q557">
        <v>555</v>
      </c>
      <c r="R557">
        <v>15</v>
      </c>
      <c r="S557" t="s">
        <v>24</v>
      </c>
      <c r="T557" t="s">
        <v>535</v>
      </c>
      <c r="U557">
        <v>5000</v>
      </c>
      <c r="V557">
        <v>1000</v>
      </c>
    </row>
    <row r="558" spans="1:22" x14ac:dyDescent="0.3">
      <c r="A558" t="s">
        <v>680</v>
      </c>
      <c r="B558" t="s">
        <v>272</v>
      </c>
      <c r="C558">
        <v>10.67</v>
      </c>
      <c r="D558">
        <v>15.97</v>
      </c>
      <c r="E558">
        <v>10.58</v>
      </c>
      <c r="F558">
        <v>1.81</v>
      </c>
      <c r="G558">
        <v>75.209452201933402</v>
      </c>
      <c r="H558">
        <v>47.083047357584086</v>
      </c>
      <c r="I558">
        <v>54.464918497519491</v>
      </c>
      <c r="J558">
        <v>56.399263896421651</v>
      </c>
      <c r="K558">
        <v>35.249042145593855</v>
      </c>
      <c r="L558">
        <v>14.58265150563283</v>
      </c>
      <c r="M558">
        <v>74.742106683173148</v>
      </c>
      <c r="N558">
        <v>55.697419155402578</v>
      </c>
      <c r="O558">
        <v>10.044583333333334</v>
      </c>
      <c r="P558">
        <v>0.53541666666666643</v>
      </c>
      <c r="Q558">
        <v>557</v>
      </c>
      <c r="R558">
        <v>15</v>
      </c>
      <c r="S558" t="s">
        <v>24</v>
      </c>
      <c r="T558" t="s">
        <v>291</v>
      </c>
      <c r="U558">
        <v>1000</v>
      </c>
      <c r="V558">
        <v>1000</v>
      </c>
    </row>
    <row r="559" spans="1:22" x14ac:dyDescent="0.3">
      <c r="A559" t="s">
        <v>681</v>
      </c>
      <c r="B559" t="s">
        <v>262</v>
      </c>
      <c r="C559">
        <v>5.69</v>
      </c>
      <c r="D559">
        <v>4.28</v>
      </c>
      <c r="E559">
        <v>4.34</v>
      </c>
      <c r="F559">
        <v>0.55000000000000004</v>
      </c>
      <c r="G559">
        <v>64.511278195488714</v>
      </c>
      <c r="H559">
        <v>27.024708304735761</v>
      </c>
      <c r="I559">
        <v>32.352941176470587</v>
      </c>
      <c r="J559">
        <v>37.186138718753767</v>
      </c>
      <c r="K559">
        <v>83.524904214559385</v>
      </c>
      <c r="L559">
        <v>20.280498134655097</v>
      </c>
      <c r="M559">
        <v>64.873146827971539</v>
      </c>
      <c r="N559">
        <v>55.692582120009618</v>
      </c>
      <c r="O559">
        <v>4.4728846153846158</v>
      </c>
      <c r="P559">
        <v>-0.13288461538461593</v>
      </c>
      <c r="Q559">
        <v>558</v>
      </c>
      <c r="R559">
        <v>38</v>
      </c>
      <c r="S559" t="s">
        <v>24</v>
      </c>
      <c r="T559" t="s">
        <v>295</v>
      </c>
      <c r="U559">
        <v>1000</v>
      </c>
      <c r="V559">
        <v>1000</v>
      </c>
    </row>
    <row r="560" spans="1:22" x14ac:dyDescent="0.3">
      <c r="A560" t="s">
        <v>682</v>
      </c>
      <c r="B560" t="s">
        <v>161</v>
      </c>
      <c r="C560">
        <v>4.62</v>
      </c>
      <c r="D560">
        <v>3.45</v>
      </c>
      <c r="E560">
        <v>4.25</v>
      </c>
      <c r="F560">
        <v>0.53</v>
      </c>
      <c r="G560">
        <v>62.212674543501613</v>
      </c>
      <c r="H560">
        <v>25.600549073438579</v>
      </c>
      <c r="I560">
        <v>32.034018426647762</v>
      </c>
      <c r="J560">
        <v>36.139708844055775</v>
      </c>
      <c r="K560">
        <v>84.291187739463595</v>
      </c>
      <c r="L560">
        <v>19.547329503769564</v>
      </c>
      <c r="M560">
        <v>66.143032147180989</v>
      </c>
      <c r="N560">
        <v>55.678409393689037</v>
      </c>
      <c r="O560">
        <v>4.9189795918367345</v>
      </c>
      <c r="P560">
        <v>-0.6689795918367345</v>
      </c>
      <c r="Q560">
        <v>559</v>
      </c>
      <c r="R560">
        <v>17</v>
      </c>
      <c r="S560" t="s">
        <v>24</v>
      </c>
      <c r="T560" t="s">
        <v>535</v>
      </c>
      <c r="U560">
        <v>5000</v>
      </c>
      <c r="V560">
        <v>1000</v>
      </c>
    </row>
    <row r="561" spans="1:22" x14ac:dyDescent="0.3">
      <c r="A561" t="s">
        <v>683</v>
      </c>
      <c r="B561" t="s">
        <v>383</v>
      </c>
      <c r="C561">
        <v>6.13</v>
      </c>
      <c r="D561">
        <v>6.88</v>
      </c>
      <c r="E561">
        <v>6.84</v>
      </c>
      <c r="F561">
        <v>0.99</v>
      </c>
      <c r="G561">
        <v>65.456498388829203</v>
      </c>
      <c r="H561">
        <v>31.485929993136587</v>
      </c>
      <c r="I561">
        <v>41.211906449326719</v>
      </c>
      <c r="J561">
        <v>43.143031900370175</v>
      </c>
      <c r="K561">
        <v>66.666666666666657</v>
      </c>
      <c r="L561">
        <v>17.494734319530661</v>
      </c>
      <c r="M561">
        <v>69.698231293653976</v>
      </c>
      <c r="N561">
        <v>55.662740440265246</v>
      </c>
      <c r="O561">
        <v>6.1480952380952392</v>
      </c>
      <c r="P561">
        <v>0.69190476190476069</v>
      </c>
      <c r="Q561">
        <v>560</v>
      </c>
      <c r="R561">
        <v>8</v>
      </c>
      <c r="S561" t="s">
        <v>24</v>
      </c>
      <c r="T561" t="s">
        <v>384</v>
      </c>
      <c r="U561">
        <v>5000</v>
      </c>
      <c r="V561">
        <v>1000</v>
      </c>
    </row>
    <row r="562" spans="1:22" x14ac:dyDescent="0.3">
      <c r="A562" t="s">
        <v>684</v>
      </c>
      <c r="B562" t="s">
        <v>262</v>
      </c>
      <c r="C562">
        <v>5.66</v>
      </c>
      <c r="D562">
        <v>4.26</v>
      </c>
      <c r="E562">
        <v>4.3099999999999996</v>
      </c>
      <c r="F562">
        <v>0.55000000000000004</v>
      </c>
      <c r="G562">
        <v>64.446831364124591</v>
      </c>
      <c r="H562">
        <v>26.990391214824989</v>
      </c>
      <c r="I562">
        <v>32.246633593196314</v>
      </c>
      <c r="J562">
        <v>37.109800433870575</v>
      </c>
      <c r="K562">
        <v>83.524904214559385</v>
      </c>
      <c r="L562">
        <v>20.279158961378485</v>
      </c>
      <c r="M562">
        <v>64.87546634412675</v>
      </c>
      <c r="N562">
        <v>55.654992856606817</v>
      </c>
      <c r="O562">
        <v>4.4728846153846158</v>
      </c>
      <c r="P562">
        <v>-0.16288461538461618</v>
      </c>
      <c r="Q562">
        <v>561</v>
      </c>
      <c r="R562">
        <v>39</v>
      </c>
      <c r="S562" t="s">
        <v>24</v>
      </c>
      <c r="T562" t="s">
        <v>295</v>
      </c>
      <c r="U562">
        <v>1000</v>
      </c>
      <c r="V562">
        <v>1000</v>
      </c>
    </row>
    <row r="563" spans="1:22" x14ac:dyDescent="0.3">
      <c r="A563" t="s">
        <v>685</v>
      </c>
      <c r="B563" t="s">
        <v>202</v>
      </c>
      <c r="C563">
        <v>5.86</v>
      </c>
      <c r="D563">
        <v>15.53</v>
      </c>
      <c r="E563">
        <v>12.38</v>
      </c>
      <c r="F563">
        <v>2.08</v>
      </c>
      <c r="G563">
        <v>64.876476906552099</v>
      </c>
      <c r="H563">
        <v>46.328071379547019</v>
      </c>
      <c r="I563">
        <v>60.843373493975903</v>
      </c>
      <c r="J563">
        <v>57.295403542162475</v>
      </c>
      <c r="K563">
        <v>24.904214559386961</v>
      </c>
      <c r="L563">
        <v>9.7553683187250808</v>
      </c>
      <c r="M563">
        <v>83.103206425420382</v>
      </c>
      <c r="N563">
        <v>55.649557017283072</v>
      </c>
      <c r="O563">
        <v>10.023387096774194</v>
      </c>
      <c r="P563">
        <v>2.3566129032258072</v>
      </c>
      <c r="Q563">
        <v>562</v>
      </c>
      <c r="R563">
        <v>18</v>
      </c>
      <c r="S563" t="s">
        <v>24</v>
      </c>
      <c r="T563" t="s">
        <v>78</v>
      </c>
      <c r="U563">
        <v>1000</v>
      </c>
      <c r="V563">
        <v>1000</v>
      </c>
    </row>
    <row r="564" spans="1:22" x14ac:dyDescent="0.3">
      <c r="A564" t="s">
        <v>686</v>
      </c>
      <c r="B564" t="s">
        <v>44</v>
      </c>
      <c r="C564">
        <v>6.89</v>
      </c>
      <c r="D564">
        <v>8.67</v>
      </c>
      <c r="E564">
        <v>8.31</v>
      </c>
      <c r="F564">
        <v>1.24</v>
      </c>
      <c r="G564">
        <v>67.089151450053691</v>
      </c>
      <c r="H564">
        <v>34.557309540150996</v>
      </c>
      <c r="I564">
        <v>46.420978029766125</v>
      </c>
      <c r="J564">
        <v>46.9955121669391</v>
      </c>
      <c r="K564">
        <v>57.088122605363978</v>
      </c>
      <c r="L564">
        <v>16.463296351852254</v>
      </c>
      <c r="M564">
        <v>71.484734258528562</v>
      </c>
      <c r="N564">
        <v>55.640970299442685</v>
      </c>
      <c r="O564">
        <v>7.5967647058823538</v>
      </c>
      <c r="P564">
        <v>0.71323529411764675</v>
      </c>
      <c r="Q564">
        <v>563</v>
      </c>
      <c r="R564">
        <v>26</v>
      </c>
      <c r="S564" t="s">
        <v>24</v>
      </c>
      <c r="T564" t="s">
        <v>687</v>
      </c>
      <c r="U564">
        <v>5000</v>
      </c>
      <c r="V564">
        <v>1000</v>
      </c>
    </row>
    <row r="565" spans="1:22" x14ac:dyDescent="0.3">
      <c r="A565" t="s">
        <v>688</v>
      </c>
      <c r="B565" t="s">
        <v>44</v>
      </c>
      <c r="C565">
        <v>6.89</v>
      </c>
      <c r="D565">
        <v>8.67</v>
      </c>
      <c r="E565">
        <v>8.31</v>
      </c>
      <c r="F565">
        <v>1.24</v>
      </c>
      <c r="G565">
        <v>67.089151450053691</v>
      </c>
      <c r="H565">
        <v>34.557309540150996</v>
      </c>
      <c r="I565">
        <v>46.420978029766125</v>
      </c>
      <c r="J565">
        <v>46.9955121669391</v>
      </c>
      <c r="K565">
        <v>57.088122605363978</v>
      </c>
      <c r="L565">
        <v>16.463296351852254</v>
      </c>
      <c r="M565">
        <v>71.484734258528562</v>
      </c>
      <c r="N565">
        <v>55.640970299442685</v>
      </c>
      <c r="O565">
        <v>7.5967647058823538</v>
      </c>
      <c r="P565">
        <v>0.71323529411764675</v>
      </c>
      <c r="Q565">
        <v>563</v>
      </c>
      <c r="R565">
        <v>26</v>
      </c>
      <c r="S565" t="s">
        <v>24</v>
      </c>
      <c r="T565" t="s">
        <v>687</v>
      </c>
      <c r="U565">
        <v>5000</v>
      </c>
      <c r="V565">
        <v>1000</v>
      </c>
    </row>
    <row r="566" spans="1:22" x14ac:dyDescent="0.3">
      <c r="A566" t="s">
        <v>689</v>
      </c>
      <c r="B566" t="s">
        <v>44</v>
      </c>
      <c r="C566">
        <v>1.84</v>
      </c>
      <c r="D566">
        <v>5.17</v>
      </c>
      <c r="E566">
        <v>5.38</v>
      </c>
      <c r="F566">
        <v>0.86</v>
      </c>
      <c r="G566">
        <v>56.240601503759393</v>
      </c>
      <c r="H566">
        <v>28.551818805765272</v>
      </c>
      <c r="I566">
        <v>36.038270729978741</v>
      </c>
      <c r="J566">
        <v>37.832801307470831</v>
      </c>
      <c r="K566">
        <v>71.64750957854406</v>
      </c>
      <c r="L566">
        <v>14.322766366892623</v>
      </c>
      <c r="M566">
        <v>75.192240947603281</v>
      </c>
      <c r="N566">
        <v>55.626338285272254</v>
      </c>
      <c r="O566">
        <v>7.5967647058823538</v>
      </c>
      <c r="P566">
        <v>-2.2167647058823539</v>
      </c>
      <c r="Q566">
        <v>565</v>
      </c>
      <c r="R566">
        <v>28</v>
      </c>
      <c r="S566" t="s">
        <v>24</v>
      </c>
      <c r="T566" t="s">
        <v>612</v>
      </c>
      <c r="U566">
        <v>1000</v>
      </c>
      <c r="V566">
        <v>1000</v>
      </c>
    </row>
    <row r="567" spans="1:22" x14ac:dyDescent="0.3">
      <c r="A567" t="s">
        <v>690</v>
      </c>
      <c r="B567" t="s">
        <v>161</v>
      </c>
      <c r="C567">
        <v>4.5</v>
      </c>
      <c r="D567">
        <v>3.32</v>
      </c>
      <c r="E567">
        <v>4.55</v>
      </c>
      <c r="F567">
        <v>0.56999999999999995</v>
      </c>
      <c r="G567">
        <v>61.954887218045108</v>
      </c>
      <c r="H567">
        <v>25.377487989018533</v>
      </c>
      <c r="I567">
        <v>33.097094259390502</v>
      </c>
      <c r="J567">
        <v>36.552770970009831</v>
      </c>
      <c r="K567">
        <v>82.758620689655174</v>
      </c>
      <c r="L567">
        <v>19.279828274536644</v>
      </c>
      <c r="M567">
        <v>66.606357867299522</v>
      </c>
      <c r="N567">
        <v>55.61763012424359</v>
      </c>
      <c r="O567">
        <v>4.9189795918367345</v>
      </c>
      <c r="P567">
        <v>-0.36897959183673468</v>
      </c>
      <c r="Q567">
        <v>566</v>
      </c>
      <c r="R567">
        <v>18</v>
      </c>
      <c r="S567" t="s">
        <v>24</v>
      </c>
      <c r="T567" t="s">
        <v>535</v>
      </c>
      <c r="U567">
        <v>1000</v>
      </c>
      <c r="V567">
        <v>1000</v>
      </c>
    </row>
    <row r="568" spans="1:22" x14ac:dyDescent="0.3">
      <c r="A568" t="s">
        <v>691</v>
      </c>
      <c r="B568" t="s">
        <v>229</v>
      </c>
      <c r="C568">
        <v>5.42</v>
      </c>
      <c r="D568">
        <v>4.47</v>
      </c>
      <c r="E568">
        <v>4.66</v>
      </c>
      <c r="F568">
        <v>0.62</v>
      </c>
      <c r="G568">
        <v>63.931256713211596</v>
      </c>
      <c r="H568">
        <v>27.350720658888129</v>
      </c>
      <c r="I568">
        <v>33.486888731396171</v>
      </c>
      <c r="J568">
        <v>37.734911906006843</v>
      </c>
      <c r="K568">
        <v>80.842911877394627</v>
      </c>
      <c r="L568">
        <v>19.590166404125288</v>
      </c>
      <c r="M568">
        <v>66.068836459326107</v>
      </c>
      <c r="N568">
        <v>55.595393037183612</v>
      </c>
      <c r="O568">
        <v>5.1221052631578941</v>
      </c>
      <c r="P568">
        <v>-0.46210526315789391</v>
      </c>
      <c r="Q568">
        <v>567</v>
      </c>
      <c r="R568">
        <v>25</v>
      </c>
      <c r="S568" t="s">
        <v>24</v>
      </c>
      <c r="T568" t="s">
        <v>429</v>
      </c>
      <c r="U568">
        <v>1000</v>
      </c>
      <c r="V568">
        <v>1000</v>
      </c>
    </row>
    <row r="569" spans="1:22" x14ac:dyDescent="0.3">
      <c r="A569" t="s">
        <v>692</v>
      </c>
      <c r="B569" t="s">
        <v>328</v>
      </c>
      <c r="C569">
        <v>1.4</v>
      </c>
      <c r="D569">
        <v>16.29</v>
      </c>
      <c r="E569">
        <v>10.39</v>
      </c>
      <c r="F569">
        <v>2.08</v>
      </c>
      <c r="G569">
        <v>55.295381310418904</v>
      </c>
      <c r="H569">
        <v>47.632120796156492</v>
      </c>
      <c r="I569">
        <v>53.79163713678242</v>
      </c>
      <c r="J569">
        <v>52.244531069321937</v>
      </c>
      <c r="K569">
        <v>24.904214559386961</v>
      </c>
      <c r="L569">
        <v>4.0605100213240224</v>
      </c>
      <c r="M569">
        <v>92.96699033842421</v>
      </c>
      <c r="N569">
        <v>55.59006675911376</v>
      </c>
      <c r="O569">
        <v>10.248999999999999</v>
      </c>
      <c r="P569">
        <v>0.14100000000000179</v>
      </c>
      <c r="Q569">
        <v>568</v>
      </c>
      <c r="R569">
        <v>3</v>
      </c>
      <c r="S569" t="s">
        <v>24</v>
      </c>
      <c r="T569" t="s">
        <v>78</v>
      </c>
      <c r="U569">
        <v>5000</v>
      </c>
      <c r="V569">
        <v>1000</v>
      </c>
    </row>
    <row r="570" spans="1:22" x14ac:dyDescent="0.3">
      <c r="A570" t="s">
        <v>693</v>
      </c>
      <c r="B570" t="s">
        <v>358</v>
      </c>
      <c r="C570">
        <v>5.05</v>
      </c>
      <c r="D570">
        <v>3.69</v>
      </c>
      <c r="E570">
        <v>5.32</v>
      </c>
      <c r="F570">
        <v>0.67</v>
      </c>
      <c r="G570">
        <v>63.136412459720724</v>
      </c>
      <c r="H570">
        <v>26.012354152367884</v>
      </c>
      <c r="I570">
        <v>35.825655563430189</v>
      </c>
      <c r="J570">
        <v>38.343816519369604</v>
      </c>
      <c r="K570">
        <v>78.927203065134094</v>
      </c>
      <c r="L570">
        <v>19.237004410078907</v>
      </c>
      <c r="M570">
        <v>66.680530976316774</v>
      </c>
      <c r="N570">
        <v>55.573841770047522</v>
      </c>
      <c r="O570">
        <v>5.0554237288135591</v>
      </c>
      <c r="P570">
        <v>0.26457627118644123</v>
      </c>
      <c r="Q570">
        <v>569</v>
      </c>
      <c r="R570">
        <v>25</v>
      </c>
      <c r="S570" t="s">
        <v>24</v>
      </c>
      <c r="T570" t="s">
        <v>457</v>
      </c>
      <c r="U570">
        <v>5000</v>
      </c>
      <c r="V570">
        <v>1000</v>
      </c>
    </row>
    <row r="571" spans="1:22" x14ac:dyDescent="0.3">
      <c r="A571" t="s">
        <v>694</v>
      </c>
      <c r="B571" t="s">
        <v>126</v>
      </c>
      <c r="C571">
        <v>4.3600000000000003</v>
      </c>
      <c r="D571">
        <v>19.329999999999998</v>
      </c>
      <c r="E571">
        <v>9.64</v>
      </c>
      <c r="F571">
        <v>2.09</v>
      </c>
      <c r="G571">
        <v>61.65413533834586</v>
      </c>
      <c r="H571">
        <v>52.848318462594371</v>
      </c>
      <c r="I571">
        <v>51.133947554925584</v>
      </c>
      <c r="J571">
        <v>53.752296383910277</v>
      </c>
      <c r="K571">
        <v>24.521072796934874</v>
      </c>
      <c r="L571">
        <v>5.6444047435898268</v>
      </c>
      <c r="M571">
        <v>90.223604205619637</v>
      </c>
      <c r="N571">
        <v>55.562317442593766</v>
      </c>
      <c r="O571">
        <v>11.362272727272726</v>
      </c>
      <c r="P571">
        <v>-1.7222727272727258</v>
      </c>
      <c r="Q571">
        <v>570</v>
      </c>
      <c r="R571">
        <v>27</v>
      </c>
      <c r="S571" t="s">
        <v>24</v>
      </c>
      <c r="T571" t="s">
        <v>127</v>
      </c>
      <c r="U571">
        <v>5000</v>
      </c>
      <c r="V571">
        <v>1000</v>
      </c>
    </row>
    <row r="572" spans="1:22" x14ac:dyDescent="0.3">
      <c r="A572" t="s">
        <v>695</v>
      </c>
      <c r="B572" t="s">
        <v>358</v>
      </c>
      <c r="C572">
        <v>5.05</v>
      </c>
      <c r="D572">
        <v>3.69</v>
      </c>
      <c r="E572">
        <v>5.29</v>
      </c>
      <c r="F572">
        <v>0.67</v>
      </c>
      <c r="G572">
        <v>63.136412459720724</v>
      </c>
      <c r="H572">
        <v>26.012354152367884</v>
      </c>
      <c r="I572">
        <v>35.719347980155916</v>
      </c>
      <c r="J572">
        <v>38.290662727732467</v>
      </c>
      <c r="K572">
        <v>78.927203065134094</v>
      </c>
      <c r="L572">
        <v>19.253211243223223</v>
      </c>
      <c r="M572">
        <v>66.652459917881032</v>
      </c>
      <c r="N572">
        <v>55.540247109620019</v>
      </c>
      <c r="O572">
        <v>5.0554237288135591</v>
      </c>
      <c r="P572">
        <v>0.23457627118644098</v>
      </c>
      <c r="Q572">
        <v>571</v>
      </c>
      <c r="R572">
        <v>26</v>
      </c>
      <c r="S572" t="s">
        <v>24</v>
      </c>
      <c r="T572" t="s">
        <v>457</v>
      </c>
      <c r="U572">
        <v>5000</v>
      </c>
      <c r="V572">
        <v>1000</v>
      </c>
    </row>
    <row r="573" spans="1:22" x14ac:dyDescent="0.3">
      <c r="A573" t="s">
        <v>696</v>
      </c>
      <c r="B573" t="s">
        <v>405</v>
      </c>
      <c r="C573">
        <v>1.25</v>
      </c>
      <c r="D573">
        <v>18.14</v>
      </c>
      <c r="E573">
        <v>11.48</v>
      </c>
      <c r="F573">
        <v>2.2599999999999998</v>
      </c>
      <c r="G573">
        <v>54.973147153598276</v>
      </c>
      <c r="H573">
        <v>50.806451612903224</v>
      </c>
      <c r="I573">
        <v>57.654145995747697</v>
      </c>
      <c r="J573">
        <v>55.063637912464472</v>
      </c>
      <c r="K573">
        <v>18.00766283524904</v>
      </c>
      <c r="L573">
        <v>3.4506044127875701</v>
      </c>
      <c r="M573">
        <v>94.023377840230552</v>
      </c>
      <c r="N573">
        <v>55.539579125102136</v>
      </c>
      <c r="O573">
        <v>12.057857142857143</v>
      </c>
      <c r="P573">
        <v>-0.57785714285714285</v>
      </c>
      <c r="Q573">
        <v>572</v>
      </c>
      <c r="R573">
        <v>7</v>
      </c>
      <c r="S573" t="s">
        <v>24</v>
      </c>
      <c r="T573" t="s">
        <v>406</v>
      </c>
      <c r="U573">
        <v>5000</v>
      </c>
      <c r="V573">
        <v>1000</v>
      </c>
    </row>
    <row r="574" spans="1:22" x14ac:dyDescent="0.3">
      <c r="A574" t="s">
        <v>697</v>
      </c>
      <c r="B574" t="s">
        <v>358</v>
      </c>
      <c r="C574">
        <v>4.13</v>
      </c>
      <c r="D574">
        <v>1.96</v>
      </c>
      <c r="E574">
        <v>4.43</v>
      </c>
      <c r="F574">
        <v>0.5</v>
      </c>
      <c r="G574">
        <v>61.160042964554236</v>
      </c>
      <c r="H574">
        <v>23.043925875085797</v>
      </c>
      <c r="I574">
        <v>32.671863926293412</v>
      </c>
      <c r="J574">
        <v>35.481118318583292</v>
      </c>
      <c r="K574">
        <v>85.440613026819918</v>
      </c>
      <c r="L574">
        <v>19.820494099172379</v>
      </c>
      <c r="M574">
        <v>65.669897189114309</v>
      </c>
      <c r="N574">
        <v>55.518186713275199</v>
      </c>
      <c r="O574">
        <v>5.0554237288135591</v>
      </c>
      <c r="P574">
        <v>-0.62542372881355934</v>
      </c>
      <c r="Q574">
        <v>573</v>
      </c>
      <c r="R574">
        <v>27</v>
      </c>
      <c r="S574" t="s">
        <v>24</v>
      </c>
      <c r="T574" t="s">
        <v>457</v>
      </c>
      <c r="U574">
        <v>1000</v>
      </c>
      <c r="V574">
        <v>1000</v>
      </c>
    </row>
    <row r="575" spans="1:22" x14ac:dyDescent="0.3">
      <c r="A575" t="s">
        <v>698</v>
      </c>
      <c r="B575" t="s">
        <v>410</v>
      </c>
      <c r="C575">
        <v>5.64</v>
      </c>
      <c r="D575">
        <v>4.7</v>
      </c>
      <c r="E575">
        <v>4.16</v>
      </c>
      <c r="F575">
        <v>0.56999999999999995</v>
      </c>
      <c r="G575">
        <v>64.403866809881833</v>
      </c>
      <c r="H575">
        <v>27.745367192862048</v>
      </c>
      <c r="I575">
        <v>31.715095676824944</v>
      </c>
      <c r="J575">
        <v>37.061931358247449</v>
      </c>
      <c r="K575">
        <v>82.758620689655174</v>
      </c>
      <c r="L575">
        <v>20.116991560191099</v>
      </c>
      <c r="M575">
        <v>65.156348522314715</v>
      </c>
      <c r="N575">
        <v>55.509707982116197</v>
      </c>
      <c r="O575">
        <v>4.4264935064935065</v>
      </c>
      <c r="P575">
        <v>-0.26649350649350634</v>
      </c>
      <c r="Q575">
        <v>574</v>
      </c>
      <c r="R575">
        <v>27</v>
      </c>
      <c r="S575" t="s">
        <v>24</v>
      </c>
      <c r="T575" t="s">
        <v>411</v>
      </c>
      <c r="U575">
        <v>5000</v>
      </c>
      <c r="V575">
        <v>1000</v>
      </c>
    </row>
    <row r="576" spans="1:22" x14ac:dyDescent="0.3">
      <c r="A576" t="s">
        <v>699</v>
      </c>
      <c r="B576" t="s">
        <v>424</v>
      </c>
      <c r="C576">
        <v>7.05</v>
      </c>
      <c r="D576">
        <v>11.28</v>
      </c>
      <c r="E576">
        <v>9.7200000000000006</v>
      </c>
      <c r="F576">
        <v>1.56</v>
      </c>
      <c r="G576">
        <v>67.432867883995698</v>
      </c>
      <c r="H576">
        <v>39.035689773507208</v>
      </c>
      <c r="I576">
        <v>51.417434443656987</v>
      </c>
      <c r="J576">
        <v>50.905997730679793</v>
      </c>
      <c r="K576">
        <v>44.827586206896555</v>
      </c>
      <c r="L576">
        <v>14.237283413614579</v>
      </c>
      <c r="M576">
        <v>75.340301765861881</v>
      </c>
      <c r="N576">
        <v>55.494970858529506</v>
      </c>
      <c r="O576">
        <v>7.9378947368421047</v>
      </c>
      <c r="P576">
        <v>1.782105263157896</v>
      </c>
      <c r="Q576">
        <v>575</v>
      </c>
      <c r="R576">
        <v>3</v>
      </c>
      <c r="S576" t="s">
        <v>24</v>
      </c>
      <c r="T576" t="s">
        <v>112</v>
      </c>
      <c r="U576">
        <v>1000</v>
      </c>
      <c r="V576">
        <v>1000</v>
      </c>
    </row>
    <row r="577" spans="1:22" x14ac:dyDescent="0.3">
      <c r="A577" t="s">
        <v>700</v>
      </c>
      <c r="B577" t="s">
        <v>148</v>
      </c>
      <c r="C577">
        <v>0.51</v>
      </c>
      <c r="D577">
        <v>12.59</v>
      </c>
      <c r="E577">
        <v>9.14</v>
      </c>
      <c r="F577">
        <v>1.76</v>
      </c>
      <c r="G577">
        <v>53.383458646616532</v>
      </c>
      <c r="H577">
        <v>41.283459162663014</v>
      </c>
      <c r="I577">
        <v>49.362154500354357</v>
      </c>
      <c r="J577">
        <v>47.742806728299385</v>
      </c>
      <c r="K577">
        <v>37.164750957854409</v>
      </c>
      <c r="L577">
        <v>6.1623344184334421</v>
      </c>
      <c r="M577">
        <v>89.326523694042862</v>
      </c>
      <c r="N577">
        <v>55.49422202712401</v>
      </c>
      <c r="O577">
        <v>10.461</v>
      </c>
      <c r="P577">
        <v>-1.3209999999999997</v>
      </c>
      <c r="Q577">
        <v>576</v>
      </c>
      <c r="R577">
        <v>17</v>
      </c>
      <c r="S577" t="s">
        <v>24</v>
      </c>
      <c r="T577" t="s">
        <v>78</v>
      </c>
      <c r="U577">
        <v>1000</v>
      </c>
      <c r="V577">
        <v>1000</v>
      </c>
    </row>
    <row r="578" spans="1:22" x14ac:dyDescent="0.3">
      <c r="A578" t="s">
        <v>701</v>
      </c>
      <c r="B578" t="s">
        <v>229</v>
      </c>
      <c r="C578">
        <v>5.4</v>
      </c>
      <c r="D578">
        <v>4.4000000000000004</v>
      </c>
      <c r="E578">
        <v>4.4400000000000004</v>
      </c>
      <c r="F578">
        <v>0.6</v>
      </c>
      <c r="G578">
        <v>63.888292158968852</v>
      </c>
      <c r="H578">
        <v>27.230610844200413</v>
      </c>
      <c r="I578">
        <v>32.707299787384834</v>
      </c>
      <c r="J578">
        <v>37.300491578746318</v>
      </c>
      <c r="K578">
        <v>81.609195402298852</v>
      </c>
      <c r="L578">
        <v>19.773863247699399</v>
      </c>
      <c r="M578">
        <v>65.750664193065717</v>
      </c>
      <c r="N578">
        <v>55.490210688214297</v>
      </c>
      <c r="O578">
        <v>5.1221052631578941</v>
      </c>
      <c r="P578">
        <v>-0.68210526315789366</v>
      </c>
      <c r="Q578">
        <v>577</v>
      </c>
      <c r="R578">
        <v>26</v>
      </c>
      <c r="S578" t="s">
        <v>24</v>
      </c>
      <c r="T578" t="s">
        <v>230</v>
      </c>
      <c r="U578">
        <v>5000</v>
      </c>
      <c r="V578">
        <v>1000</v>
      </c>
    </row>
    <row r="579" spans="1:22" x14ac:dyDescent="0.3">
      <c r="A579" t="s">
        <v>702</v>
      </c>
      <c r="B579" t="s">
        <v>229</v>
      </c>
      <c r="C579">
        <v>5.4</v>
      </c>
      <c r="D579">
        <v>4.3899999999999997</v>
      </c>
      <c r="E579">
        <v>4.4400000000000004</v>
      </c>
      <c r="F579">
        <v>0.6</v>
      </c>
      <c r="G579">
        <v>63.888292158968852</v>
      </c>
      <c r="H579">
        <v>27.213452299245027</v>
      </c>
      <c r="I579">
        <v>32.707299787384834</v>
      </c>
      <c r="J579">
        <v>37.295344015259701</v>
      </c>
      <c r="K579">
        <v>81.609195402298852</v>
      </c>
      <c r="L579">
        <v>19.779958393266437</v>
      </c>
      <c r="M579">
        <v>65.740107091264065</v>
      </c>
      <c r="N579">
        <v>55.484997631020576</v>
      </c>
      <c r="O579">
        <v>5.1221052631578941</v>
      </c>
      <c r="P579">
        <v>-0.68210526315789366</v>
      </c>
      <c r="Q579">
        <v>578</v>
      </c>
      <c r="R579">
        <v>27</v>
      </c>
      <c r="S579" t="s">
        <v>24</v>
      </c>
      <c r="T579" t="s">
        <v>230</v>
      </c>
      <c r="U579">
        <v>5000</v>
      </c>
      <c r="V579">
        <v>1000</v>
      </c>
    </row>
    <row r="580" spans="1:22" x14ac:dyDescent="0.3">
      <c r="A580" t="s">
        <v>703</v>
      </c>
      <c r="B580" t="s">
        <v>138</v>
      </c>
      <c r="C580">
        <v>5.18</v>
      </c>
      <c r="D580">
        <v>15.21</v>
      </c>
      <c r="E580">
        <v>10.92</v>
      </c>
      <c r="F580">
        <v>1.98</v>
      </c>
      <c r="G580">
        <v>63.415682062298593</v>
      </c>
      <c r="H580">
        <v>45.778997940974612</v>
      </c>
      <c r="I580">
        <v>55.669737774627912</v>
      </c>
      <c r="J580">
        <v>54.251704682066062</v>
      </c>
      <c r="K580">
        <v>28.735632183908045</v>
      </c>
      <c r="L580">
        <v>8.8400510383149147</v>
      </c>
      <c r="M580">
        <v>84.688582460136558</v>
      </c>
      <c r="N580">
        <v>55.481906002044184</v>
      </c>
      <c r="O580">
        <v>9.219019607843137</v>
      </c>
      <c r="P580">
        <v>1.7009803921568629</v>
      </c>
      <c r="Q580">
        <v>579</v>
      </c>
      <c r="R580">
        <v>14</v>
      </c>
      <c r="S580" t="s">
        <v>24</v>
      </c>
      <c r="T580" t="s">
        <v>176</v>
      </c>
      <c r="U580">
        <v>5000</v>
      </c>
      <c r="V580">
        <v>1000</v>
      </c>
    </row>
    <row r="581" spans="1:22" x14ac:dyDescent="0.3">
      <c r="A581" t="s">
        <v>704</v>
      </c>
      <c r="B581" t="s">
        <v>185</v>
      </c>
      <c r="C581">
        <v>22.21</v>
      </c>
      <c r="D581">
        <v>26.31</v>
      </c>
      <c r="E581">
        <v>12.36</v>
      </c>
      <c r="F581">
        <v>2.2200000000000002</v>
      </c>
      <c r="G581">
        <v>100</v>
      </c>
      <c r="H581">
        <v>64.824982841455054</v>
      </c>
      <c r="I581">
        <v>60.772501771793053</v>
      </c>
      <c r="J581">
        <v>69.83374573833305</v>
      </c>
      <c r="K581">
        <v>19.540229885057457</v>
      </c>
      <c r="L581">
        <v>21.573521780830777</v>
      </c>
      <c r="M581">
        <v>62.633564177407287</v>
      </c>
      <c r="N581">
        <v>55.460321384782709</v>
      </c>
      <c r="O581">
        <v>9.4014285714285712</v>
      </c>
      <c r="P581">
        <v>2.9585714285714282</v>
      </c>
      <c r="Q581">
        <v>580</v>
      </c>
      <c r="R581">
        <v>4</v>
      </c>
      <c r="S581" t="s">
        <v>24</v>
      </c>
      <c r="T581" t="s">
        <v>666</v>
      </c>
      <c r="U581">
        <v>5000</v>
      </c>
      <c r="V581">
        <v>1000</v>
      </c>
    </row>
    <row r="582" spans="1:22" x14ac:dyDescent="0.3">
      <c r="A582" t="s">
        <v>705</v>
      </c>
      <c r="B582" t="s">
        <v>229</v>
      </c>
      <c r="C582">
        <v>5.4</v>
      </c>
      <c r="D582">
        <v>4.4000000000000004</v>
      </c>
      <c r="E582">
        <v>4.3899999999999997</v>
      </c>
      <c r="F582">
        <v>0.6</v>
      </c>
      <c r="G582">
        <v>63.888292158968852</v>
      </c>
      <c r="H582">
        <v>27.230610844200413</v>
      </c>
      <c r="I582">
        <v>32.530120481927703</v>
      </c>
      <c r="J582">
        <v>37.211901926017745</v>
      </c>
      <c r="K582">
        <v>81.609195402298852</v>
      </c>
      <c r="L582">
        <v>19.81247642565274</v>
      </c>
      <c r="M582">
        <v>65.683784207008827</v>
      </c>
      <c r="N582">
        <v>55.429195865335799</v>
      </c>
      <c r="O582">
        <v>5.1221052631578941</v>
      </c>
      <c r="P582">
        <v>-0.73210526315789437</v>
      </c>
      <c r="Q582">
        <v>581</v>
      </c>
      <c r="R582">
        <v>28</v>
      </c>
      <c r="S582" t="s">
        <v>24</v>
      </c>
      <c r="T582" t="s">
        <v>230</v>
      </c>
      <c r="U582">
        <v>5000</v>
      </c>
      <c r="V582">
        <v>1000</v>
      </c>
    </row>
    <row r="583" spans="1:22" x14ac:dyDescent="0.3">
      <c r="A583" t="s">
        <v>706</v>
      </c>
      <c r="B583" t="s">
        <v>229</v>
      </c>
      <c r="C583">
        <v>5.42</v>
      </c>
      <c r="D583">
        <v>4.47</v>
      </c>
      <c r="E583">
        <v>4.5199999999999996</v>
      </c>
      <c r="F583">
        <v>0.62</v>
      </c>
      <c r="G583">
        <v>63.931256713211596</v>
      </c>
      <c r="H583">
        <v>27.350720658888129</v>
      </c>
      <c r="I583">
        <v>32.990786676116223</v>
      </c>
      <c r="J583">
        <v>37.486860878366869</v>
      </c>
      <c r="K583">
        <v>80.842911877394627</v>
      </c>
      <c r="L583">
        <v>19.694578986854676</v>
      </c>
      <c r="M583">
        <v>65.887988561089315</v>
      </c>
      <c r="N583">
        <v>55.426155548804424</v>
      </c>
      <c r="O583">
        <v>5.1221052631578941</v>
      </c>
      <c r="P583">
        <v>-0.60210526315789448</v>
      </c>
      <c r="Q583">
        <v>582</v>
      </c>
      <c r="R583">
        <v>29</v>
      </c>
      <c r="S583" t="s">
        <v>24</v>
      </c>
      <c r="T583" t="s">
        <v>429</v>
      </c>
      <c r="U583">
        <v>1000</v>
      </c>
      <c r="V583">
        <v>1000</v>
      </c>
    </row>
    <row r="584" spans="1:22" x14ac:dyDescent="0.3">
      <c r="A584" t="s">
        <v>707</v>
      </c>
      <c r="B584" t="s">
        <v>410</v>
      </c>
      <c r="C584">
        <v>5.64</v>
      </c>
      <c r="D584">
        <v>4.6900000000000004</v>
      </c>
      <c r="E584">
        <v>4.09</v>
      </c>
      <c r="F584">
        <v>0.56999999999999995</v>
      </c>
      <c r="G584">
        <v>64.403866809881833</v>
      </c>
      <c r="H584">
        <v>27.728208647906662</v>
      </c>
      <c r="I584">
        <v>31.46704464918497</v>
      </c>
      <c r="J584">
        <v>36.932758280940853</v>
      </c>
      <c r="K584">
        <v>82.758620689655174</v>
      </c>
      <c r="L584">
        <v>20.182158169630434</v>
      </c>
      <c r="M584">
        <v>65.043476643808788</v>
      </c>
      <c r="N584">
        <v>55.416903473836413</v>
      </c>
      <c r="O584">
        <v>4.4264935064935065</v>
      </c>
      <c r="P584">
        <v>-0.33649350649350662</v>
      </c>
      <c r="Q584">
        <v>583</v>
      </c>
      <c r="R584">
        <v>28</v>
      </c>
      <c r="S584" t="s">
        <v>24</v>
      </c>
      <c r="T584" t="s">
        <v>411</v>
      </c>
      <c r="U584">
        <v>5000</v>
      </c>
      <c r="V584">
        <v>1000</v>
      </c>
    </row>
    <row r="585" spans="1:22" x14ac:dyDescent="0.3">
      <c r="A585" t="s">
        <v>708</v>
      </c>
      <c r="B585" t="s">
        <v>195</v>
      </c>
      <c r="C585">
        <v>4.5599999999999996</v>
      </c>
      <c r="D585">
        <v>14.6</v>
      </c>
      <c r="E585">
        <v>9.82</v>
      </c>
      <c r="F585">
        <v>1.86</v>
      </c>
      <c r="G585">
        <v>62.083780880773354</v>
      </c>
      <c r="H585">
        <v>44.732326698695957</v>
      </c>
      <c r="I585">
        <v>51.771793054571226</v>
      </c>
      <c r="J585">
        <v>51.722350713049067</v>
      </c>
      <c r="K585">
        <v>33.333333333333329</v>
      </c>
      <c r="L585">
        <v>8.7270092408183384</v>
      </c>
      <c r="M585">
        <v>84.884376596779546</v>
      </c>
      <c r="N585">
        <v>55.415602839052752</v>
      </c>
      <c r="O585">
        <v>10.412619047619048</v>
      </c>
      <c r="P585">
        <v>-0.59261904761904738</v>
      </c>
      <c r="Q585">
        <v>584</v>
      </c>
      <c r="R585">
        <v>18</v>
      </c>
      <c r="S585" t="s">
        <v>24</v>
      </c>
      <c r="T585" t="s">
        <v>196</v>
      </c>
      <c r="U585">
        <v>1000</v>
      </c>
      <c r="V585">
        <v>1000</v>
      </c>
    </row>
    <row r="586" spans="1:22" x14ac:dyDescent="0.3">
      <c r="A586" t="s">
        <v>709</v>
      </c>
      <c r="B586" t="s">
        <v>229</v>
      </c>
      <c r="C586">
        <v>5.41</v>
      </c>
      <c r="D586">
        <v>4.4000000000000004</v>
      </c>
      <c r="E586">
        <v>4.37</v>
      </c>
      <c r="F586">
        <v>0.6</v>
      </c>
      <c r="G586">
        <v>63.909774436090231</v>
      </c>
      <c r="H586">
        <v>27.230610844200413</v>
      </c>
      <c r="I586">
        <v>32.459248759744867</v>
      </c>
      <c r="J586">
        <v>37.180762520350605</v>
      </c>
      <c r="K586">
        <v>81.609195402298852</v>
      </c>
      <c r="L586">
        <v>19.840342997585097</v>
      </c>
      <c r="M586">
        <v>65.63551788858922</v>
      </c>
      <c r="N586">
        <v>55.40155958289732</v>
      </c>
      <c r="O586">
        <v>5.1221052631578941</v>
      </c>
      <c r="P586">
        <v>-0.75210526315789394</v>
      </c>
      <c r="Q586">
        <v>585</v>
      </c>
      <c r="R586">
        <v>30</v>
      </c>
      <c r="S586" t="s">
        <v>24</v>
      </c>
      <c r="T586" t="s">
        <v>230</v>
      </c>
      <c r="U586">
        <v>5000</v>
      </c>
      <c r="V586">
        <v>1000</v>
      </c>
    </row>
    <row r="587" spans="1:22" x14ac:dyDescent="0.3">
      <c r="A587" t="s">
        <v>710</v>
      </c>
      <c r="B587" t="s">
        <v>424</v>
      </c>
      <c r="C587">
        <v>7</v>
      </c>
      <c r="D587">
        <v>11.42</v>
      </c>
      <c r="E587">
        <v>9.52</v>
      </c>
      <c r="F587">
        <v>1.56</v>
      </c>
      <c r="G587">
        <v>67.325456498388832</v>
      </c>
      <c r="H587">
        <v>39.275909402882633</v>
      </c>
      <c r="I587">
        <v>50.708717221828479</v>
      </c>
      <c r="J587">
        <v>50.602222731456791</v>
      </c>
      <c r="K587">
        <v>44.827586206896555</v>
      </c>
      <c r="L587">
        <v>14.104385908132461</v>
      </c>
      <c r="M587">
        <v>75.570486997556074</v>
      </c>
      <c r="N587">
        <v>55.400629666841553</v>
      </c>
      <c r="O587">
        <v>7.9378947368421047</v>
      </c>
      <c r="P587">
        <v>1.5821052631578949</v>
      </c>
      <c r="Q587">
        <v>586</v>
      </c>
      <c r="R587">
        <v>4</v>
      </c>
      <c r="S587" t="s">
        <v>24</v>
      </c>
      <c r="T587" t="s">
        <v>112</v>
      </c>
      <c r="U587">
        <v>1000</v>
      </c>
      <c r="V587">
        <v>1000</v>
      </c>
    </row>
    <row r="588" spans="1:22" x14ac:dyDescent="0.3">
      <c r="A588" t="s">
        <v>711</v>
      </c>
      <c r="B588" t="s">
        <v>161</v>
      </c>
      <c r="C588">
        <v>5.08</v>
      </c>
      <c r="D588">
        <v>3.81</v>
      </c>
      <c r="E588">
        <v>5.52</v>
      </c>
      <c r="F588">
        <v>0.72</v>
      </c>
      <c r="G588">
        <v>63.200859291084853</v>
      </c>
      <c r="H588">
        <v>26.218256691832536</v>
      </c>
      <c r="I588">
        <v>36.534372785258675</v>
      </c>
      <c r="J588">
        <v>38.772835258396071</v>
      </c>
      <c r="K588">
        <v>77.011494252873575</v>
      </c>
      <c r="L588">
        <v>19.084184764845993</v>
      </c>
      <c r="M588">
        <v>66.945222366254825</v>
      </c>
      <c r="N588">
        <v>55.375596783980136</v>
      </c>
      <c r="O588">
        <v>4.9189795918367345</v>
      </c>
      <c r="P588">
        <v>0.60102040816326507</v>
      </c>
      <c r="Q588">
        <v>587</v>
      </c>
      <c r="R588">
        <v>19</v>
      </c>
      <c r="S588" t="s">
        <v>24</v>
      </c>
      <c r="T588" t="s">
        <v>535</v>
      </c>
      <c r="U588">
        <v>1000</v>
      </c>
      <c r="V588">
        <v>1000</v>
      </c>
    </row>
    <row r="589" spans="1:22" x14ac:dyDescent="0.3">
      <c r="A589" t="s">
        <v>712</v>
      </c>
      <c r="B589" t="s">
        <v>520</v>
      </c>
      <c r="C589">
        <v>5.04</v>
      </c>
      <c r="D589">
        <v>10.85</v>
      </c>
      <c r="E589">
        <v>9.1</v>
      </c>
      <c r="F589">
        <v>1.54</v>
      </c>
      <c r="G589">
        <v>63.114930182599352</v>
      </c>
      <c r="H589">
        <v>38.297872340425535</v>
      </c>
      <c r="I589">
        <v>49.220411055988656</v>
      </c>
      <c r="J589">
        <v>48.722553266641853</v>
      </c>
      <c r="K589">
        <v>45.593869731800773</v>
      </c>
      <c r="L589">
        <v>12.43815282169159</v>
      </c>
      <c r="M589">
        <v>78.456487360523965</v>
      </c>
      <c r="N589">
        <v>55.373865906402109</v>
      </c>
      <c r="O589">
        <v>4.625</v>
      </c>
      <c r="P589">
        <v>4.4749999999999996</v>
      </c>
      <c r="Q589">
        <v>588</v>
      </c>
      <c r="R589">
        <v>5</v>
      </c>
      <c r="S589" t="s">
        <v>24</v>
      </c>
      <c r="T589" t="s">
        <v>521</v>
      </c>
      <c r="U589">
        <v>1000</v>
      </c>
      <c r="V589">
        <v>1000</v>
      </c>
    </row>
    <row r="590" spans="1:22" x14ac:dyDescent="0.3">
      <c r="A590" t="s">
        <v>713</v>
      </c>
      <c r="B590" t="s">
        <v>520</v>
      </c>
      <c r="C590">
        <v>5.04</v>
      </c>
      <c r="D590">
        <v>10.85</v>
      </c>
      <c r="E590">
        <v>9.1</v>
      </c>
      <c r="F590">
        <v>1.54</v>
      </c>
      <c r="G590">
        <v>63.114930182599352</v>
      </c>
      <c r="H590">
        <v>38.297872340425535</v>
      </c>
      <c r="I590">
        <v>49.220411055988656</v>
      </c>
      <c r="J590">
        <v>48.722553266641853</v>
      </c>
      <c r="K590">
        <v>45.593869731800773</v>
      </c>
      <c r="L590">
        <v>12.43815282169159</v>
      </c>
      <c r="M590">
        <v>78.456487360523965</v>
      </c>
      <c r="N590">
        <v>55.373865906402109</v>
      </c>
      <c r="O590">
        <v>4.625</v>
      </c>
      <c r="P590">
        <v>4.4749999999999996</v>
      </c>
      <c r="Q590">
        <v>588</v>
      </c>
      <c r="R590">
        <v>5</v>
      </c>
      <c r="S590" t="s">
        <v>24</v>
      </c>
      <c r="T590" t="s">
        <v>521</v>
      </c>
      <c r="U590">
        <v>20000</v>
      </c>
      <c r="V590">
        <v>1000</v>
      </c>
    </row>
    <row r="591" spans="1:22" x14ac:dyDescent="0.3">
      <c r="A591" t="s">
        <v>714</v>
      </c>
      <c r="B591" t="s">
        <v>328</v>
      </c>
      <c r="C591">
        <v>1.41</v>
      </c>
      <c r="D591">
        <v>16.29</v>
      </c>
      <c r="E591">
        <v>10.06</v>
      </c>
      <c r="F591">
        <v>2.08</v>
      </c>
      <c r="G591">
        <v>55.316863587540276</v>
      </c>
      <c r="H591">
        <v>47.632120796156492</v>
      </c>
      <c r="I591">
        <v>52.622253720765414</v>
      </c>
      <c r="J591">
        <v>51.664135816737712</v>
      </c>
      <c r="K591">
        <v>24.904214559386961</v>
      </c>
      <c r="L591">
        <v>3.8990943544433376</v>
      </c>
      <c r="M591">
        <v>93.246570474599167</v>
      </c>
      <c r="N591">
        <v>55.369764166865387</v>
      </c>
      <c r="O591">
        <v>10.248999999999999</v>
      </c>
      <c r="P591">
        <v>-0.18899999999999828</v>
      </c>
      <c r="Q591">
        <v>590</v>
      </c>
      <c r="R591">
        <v>4</v>
      </c>
      <c r="S591" t="s">
        <v>24</v>
      </c>
      <c r="T591" t="s">
        <v>78</v>
      </c>
      <c r="U591">
        <v>5000</v>
      </c>
      <c r="V591">
        <v>1000</v>
      </c>
    </row>
    <row r="592" spans="1:22" x14ac:dyDescent="0.3">
      <c r="A592" t="s">
        <v>715</v>
      </c>
      <c r="B592" t="s">
        <v>166</v>
      </c>
      <c r="C592">
        <v>-9.33</v>
      </c>
      <c r="D592">
        <v>31.52</v>
      </c>
      <c r="E592">
        <v>22.46</v>
      </c>
      <c r="F592">
        <v>2.1</v>
      </c>
      <c r="G592">
        <v>32.244897959183675</v>
      </c>
      <c r="H592">
        <v>73.764584763212085</v>
      </c>
      <c r="I592">
        <v>96.562721474131834</v>
      </c>
      <c r="J592">
        <v>76.859715757866269</v>
      </c>
      <c r="K592">
        <v>24.137931034482762</v>
      </c>
      <c r="L592">
        <v>32.609870314304167</v>
      </c>
      <c r="M592">
        <v>43.518047787393108</v>
      </c>
      <c r="N592">
        <v>55.3438525844021</v>
      </c>
      <c r="O592">
        <v>20.878999999999998</v>
      </c>
      <c r="P592">
        <v>1.5810000000000031</v>
      </c>
      <c r="Q592">
        <v>591</v>
      </c>
      <c r="R592">
        <v>5</v>
      </c>
      <c r="S592" t="s">
        <v>24</v>
      </c>
      <c r="T592" t="s">
        <v>167</v>
      </c>
      <c r="U592">
        <v>5000</v>
      </c>
      <c r="V592">
        <v>1000</v>
      </c>
    </row>
    <row r="593" spans="1:22" x14ac:dyDescent="0.3">
      <c r="A593" t="s">
        <v>716</v>
      </c>
      <c r="B593" t="s">
        <v>148</v>
      </c>
      <c r="C593">
        <v>-0.16</v>
      </c>
      <c r="D593">
        <v>12.15</v>
      </c>
      <c r="E593">
        <v>11.08</v>
      </c>
      <c r="F593">
        <v>1.84</v>
      </c>
      <c r="G593">
        <v>51.944146079484419</v>
      </c>
      <c r="H593">
        <v>40.528483184625955</v>
      </c>
      <c r="I593">
        <v>56.236711552090711</v>
      </c>
      <c r="J593">
        <v>50.665729947330021</v>
      </c>
      <c r="K593">
        <v>34.099616858237546</v>
      </c>
      <c r="L593">
        <v>8.1188249982174607</v>
      </c>
      <c r="M593">
        <v>85.937782605327058</v>
      </c>
      <c r="N593">
        <v>55.342214839556163</v>
      </c>
      <c r="O593">
        <v>10.461</v>
      </c>
      <c r="P593">
        <v>0.61899999999999977</v>
      </c>
      <c r="Q593">
        <v>592</v>
      </c>
      <c r="R593">
        <v>18</v>
      </c>
      <c r="S593" t="s">
        <v>24</v>
      </c>
      <c r="T593" t="s">
        <v>78</v>
      </c>
      <c r="U593">
        <v>1000</v>
      </c>
      <c r="V593">
        <v>1000</v>
      </c>
    </row>
    <row r="594" spans="1:22" x14ac:dyDescent="0.3">
      <c r="A594" t="s">
        <v>717</v>
      </c>
      <c r="B594" t="s">
        <v>272</v>
      </c>
      <c r="C594">
        <v>-0.31</v>
      </c>
      <c r="D594">
        <v>13.56</v>
      </c>
      <c r="E594">
        <v>10.79</v>
      </c>
      <c r="F594">
        <v>1.93</v>
      </c>
      <c r="G594">
        <v>51.621911922663799</v>
      </c>
      <c r="H594">
        <v>42.947838023335628</v>
      </c>
      <c r="I594">
        <v>55.209071580439392</v>
      </c>
      <c r="J594">
        <v>50.813269581753147</v>
      </c>
      <c r="K594">
        <v>30.651340996168575</v>
      </c>
      <c r="L594">
        <v>6.3040346969649308</v>
      </c>
      <c r="M594">
        <v>89.081091612179677</v>
      </c>
      <c r="N594">
        <v>55.339742942963639</v>
      </c>
      <c r="O594">
        <v>10.044583333333334</v>
      </c>
      <c r="P594">
        <v>0.74541666666666551</v>
      </c>
      <c r="Q594">
        <v>593</v>
      </c>
      <c r="R594">
        <v>16</v>
      </c>
      <c r="S594" t="s">
        <v>24</v>
      </c>
      <c r="T594" t="s">
        <v>291</v>
      </c>
      <c r="U594">
        <v>1000</v>
      </c>
      <c r="V594">
        <v>1000</v>
      </c>
    </row>
    <row r="595" spans="1:22" x14ac:dyDescent="0.3">
      <c r="A595" t="s">
        <v>718</v>
      </c>
      <c r="B595" t="s">
        <v>585</v>
      </c>
      <c r="C595">
        <v>2.67</v>
      </c>
      <c r="D595">
        <v>12.65</v>
      </c>
      <c r="E595">
        <v>9.36</v>
      </c>
      <c r="F595">
        <v>1.75</v>
      </c>
      <c r="G595">
        <v>58.023630504833513</v>
      </c>
      <c r="H595">
        <v>41.386410432395337</v>
      </c>
      <c r="I595">
        <v>50.141743444365694</v>
      </c>
      <c r="J595">
        <v>49.091520952868152</v>
      </c>
      <c r="K595">
        <v>37.547892720306521</v>
      </c>
      <c r="L595">
        <v>8.3224304495262249</v>
      </c>
      <c r="M595">
        <v>85.585127618962289</v>
      </c>
      <c r="N595">
        <v>55.329015561251282</v>
      </c>
      <c r="O595">
        <v>6.6483333333333334</v>
      </c>
      <c r="P595">
        <v>2.711666666666666</v>
      </c>
      <c r="Q595">
        <v>594</v>
      </c>
      <c r="R595">
        <v>3</v>
      </c>
      <c r="S595" t="s">
        <v>24</v>
      </c>
      <c r="T595" t="s">
        <v>425</v>
      </c>
      <c r="U595">
        <v>5000</v>
      </c>
      <c r="V595">
        <v>1000</v>
      </c>
    </row>
    <row r="596" spans="1:22" x14ac:dyDescent="0.3">
      <c r="A596" t="s">
        <v>719</v>
      </c>
      <c r="B596" t="s">
        <v>199</v>
      </c>
      <c r="C596">
        <v>-5.88</v>
      </c>
      <c r="D596">
        <v>10.97</v>
      </c>
      <c r="E596">
        <v>10.58</v>
      </c>
      <c r="F596">
        <v>1.6</v>
      </c>
      <c r="G596">
        <v>39.656283566058001</v>
      </c>
      <c r="H596">
        <v>38.503774879890187</v>
      </c>
      <c r="I596">
        <v>54.464918497519491</v>
      </c>
      <c r="J596">
        <v>46.714848425938399</v>
      </c>
      <c r="K596">
        <v>43.295019157088113</v>
      </c>
      <c r="L596">
        <v>8.9011427205310962</v>
      </c>
      <c r="M596">
        <v>84.582768562618284</v>
      </c>
      <c r="N596">
        <v>55.326871142895797</v>
      </c>
      <c r="O596">
        <v>9.83</v>
      </c>
      <c r="P596">
        <v>0.75</v>
      </c>
      <c r="Q596">
        <v>595</v>
      </c>
      <c r="R596">
        <v>9</v>
      </c>
      <c r="S596" t="s">
        <v>24</v>
      </c>
      <c r="T596" t="s">
        <v>107</v>
      </c>
      <c r="U596">
        <v>5000</v>
      </c>
      <c r="V596">
        <v>1000</v>
      </c>
    </row>
    <row r="597" spans="1:22" x14ac:dyDescent="0.3">
      <c r="A597" t="s">
        <v>720</v>
      </c>
      <c r="B597" t="s">
        <v>199</v>
      </c>
      <c r="C597">
        <v>-5.88</v>
      </c>
      <c r="D597">
        <v>10.97</v>
      </c>
      <c r="E597">
        <v>10.58</v>
      </c>
      <c r="F597">
        <v>1.6</v>
      </c>
      <c r="G597">
        <v>39.656283566058001</v>
      </c>
      <c r="H597">
        <v>38.503774879890187</v>
      </c>
      <c r="I597">
        <v>54.464918497519491</v>
      </c>
      <c r="J597">
        <v>46.714848425938399</v>
      </c>
      <c r="K597">
        <v>43.295019157088113</v>
      </c>
      <c r="L597">
        <v>8.9011427205310962</v>
      </c>
      <c r="M597">
        <v>84.582768562618284</v>
      </c>
      <c r="N597">
        <v>55.326871142895797</v>
      </c>
      <c r="O597">
        <v>9.83</v>
      </c>
      <c r="P597">
        <v>0.75</v>
      </c>
      <c r="Q597">
        <v>595</v>
      </c>
      <c r="R597">
        <v>9</v>
      </c>
      <c r="S597" t="s">
        <v>24</v>
      </c>
      <c r="T597" t="s">
        <v>107</v>
      </c>
      <c r="U597">
        <v>5000</v>
      </c>
      <c r="V597">
        <v>1000</v>
      </c>
    </row>
    <row r="598" spans="1:22" x14ac:dyDescent="0.3">
      <c r="A598" t="s">
        <v>721</v>
      </c>
      <c r="B598" t="s">
        <v>229</v>
      </c>
      <c r="C598">
        <v>5.33</v>
      </c>
      <c r="D598">
        <v>4.29</v>
      </c>
      <c r="E598">
        <v>4.7300000000000004</v>
      </c>
      <c r="F598">
        <v>0.65</v>
      </c>
      <c r="G598">
        <v>63.737916219119214</v>
      </c>
      <c r="H598">
        <v>27.04186684969115</v>
      </c>
      <c r="I598">
        <v>33.734939759036145</v>
      </c>
      <c r="J598">
        <v>37.727613178249257</v>
      </c>
      <c r="K598">
        <v>79.693486590038304</v>
      </c>
      <c r="L598">
        <v>19.543011797731385</v>
      </c>
      <c r="M598">
        <v>66.150510633411258</v>
      </c>
      <c r="N598">
        <v>55.324805894987023</v>
      </c>
      <c r="O598">
        <v>5.1221052631578941</v>
      </c>
      <c r="P598">
        <v>-0.39210526315789362</v>
      </c>
      <c r="Q598">
        <v>597</v>
      </c>
      <c r="R598">
        <v>31</v>
      </c>
      <c r="S598" t="s">
        <v>24</v>
      </c>
      <c r="T598" t="s">
        <v>429</v>
      </c>
      <c r="U598">
        <v>1000</v>
      </c>
      <c r="V598">
        <v>1000</v>
      </c>
    </row>
    <row r="599" spans="1:22" x14ac:dyDescent="0.3">
      <c r="A599" t="s">
        <v>722</v>
      </c>
      <c r="B599" t="s">
        <v>229</v>
      </c>
      <c r="C599">
        <v>5.33</v>
      </c>
      <c r="D599">
        <v>4.29</v>
      </c>
      <c r="E599">
        <v>4.72</v>
      </c>
      <c r="F599">
        <v>0.65</v>
      </c>
      <c r="G599">
        <v>63.737916219119214</v>
      </c>
      <c r="H599">
        <v>27.04186684969115</v>
      </c>
      <c r="I599">
        <v>33.699503897944716</v>
      </c>
      <c r="J599">
        <v>37.709895247703543</v>
      </c>
      <c r="K599">
        <v>79.693486590038304</v>
      </c>
      <c r="L599">
        <v>19.550065580310587</v>
      </c>
      <c r="M599">
        <v>66.138293123598544</v>
      </c>
      <c r="N599">
        <v>55.312892552260983</v>
      </c>
      <c r="O599">
        <v>5.1221052631578941</v>
      </c>
      <c r="P599">
        <v>-0.4021052631578943</v>
      </c>
      <c r="Q599">
        <v>598</v>
      </c>
      <c r="R599">
        <v>32</v>
      </c>
      <c r="S599" t="s">
        <v>24</v>
      </c>
      <c r="T599" t="s">
        <v>429</v>
      </c>
      <c r="U599">
        <v>1000</v>
      </c>
      <c r="V599">
        <v>1000</v>
      </c>
    </row>
    <row r="600" spans="1:22" x14ac:dyDescent="0.3">
      <c r="A600" t="s">
        <v>723</v>
      </c>
      <c r="B600" t="s">
        <v>166</v>
      </c>
      <c r="C600">
        <v>-7.61</v>
      </c>
      <c r="D600">
        <v>26.99</v>
      </c>
      <c r="E600">
        <v>21.38</v>
      </c>
      <c r="F600">
        <v>2.11</v>
      </c>
      <c r="G600">
        <v>35.939849624060152</v>
      </c>
      <c r="H600">
        <v>65.991763898421425</v>
      </c>
      <c r="I600">
        <v>92.735648476257964</v>
      </c>
      <c r="J600">
        <v>73.35332333246744</v>
      </c>
      <c r="K600">
        <v>23.754789272030653</v>
      </c>
      <c r="L600">
        <v>28.41395103678683</v>
      </c>
      <c r="M600">
        <v>50.785593160510835</v>
      </c>
      <c r="N600">
        <v>55.311757274369093</v>
      </c>
      <c r="O600">
        <v>20.878999999999998</v>
      </c>
      <c r="P600">
        <v>0.50100000000000122</v>
      </c>
      <c r="Q600">
        <v>599</v>
      </c>
      <c r="R600">
        <v>6</v>
      </c>
      <c r="S600" t="s">
        <v>24</v>
      </c>
      <c r="T600" t="s">
        <v>167</v>
      </c>
      <c r="U600">
        <v>1000</v>
      </c>
      <c r="V600">
        <v>1000</v>
      </c>
    </row>
    <row r="601" spans="1:22" x14ac:dyDescent="0.3">
      <c r="A601" t="s">
        <v>724</v>
      </c>
      <c r="B601" t="s">
        <v>166</v>
      </c>
      <c r="C601">
        <v>-9.32</v>
      </c>
      <c r="D601">
        <v>31.53</v>
      </c>
      <c r="E601">
        <v>22.19</v>
      </c>
      <c r="F601">
        <v>2.1</v>
      </c>
      <c r="G601">
        <v>32.266380236305046</v>
      </c>
      <c r="H601">
        <v>73.781743308167464</v>
      </c>
      <c r="I601">
        <v>95.605953224663367</v>
      </c>
      <c r="J601">
        <v>76.390775652042933</v>
      </c>
      <c r="K601">
        <v>24.137931034482762</v>
      </c>
      <c r="L601">
        <v>32.175878687342291</v>
      </c>
      <c r="M601">
        <v>44.269743335350555</v>
      </c>
      <c r="N601">
        <v>55.297306418479792</v>
      </c>
      <c r="O601">
        <v>20.878999999999998</v>
      </c>
      <c r="P601">
        <v>1.3110000000000035</v>
      </c>
      <c r="Q601">
        <v>600</v>
      </c>
      <c r="R601">
        <v>7</v>
      </c>
      <c r="S601" t="s">
        <v>24</v>
      </c>
      <c r="T601" t="s">
        <v>167</v>
      </c>
      <c r="U601">
        <v>5000</v>
      </c>
      <c r="V601">
        <v>1000</v>
      </c>
    </row>
    <row r="602" spans="1:22" x14ac:dyDescent="0.3">
      <c r="A602" t="s">
        <v>725</v>
      </c>
      <c r="B602" t="s">
        <v>229</v>
      </c>
      <c r="C602">
        <v>5.33</v>
      </c>
      <c r="D602">
        <v>4.29</v>
      </c>
      <c r="E602">
        <v>4.67</v>
      </c>
      <c r="F602">
        <v>0.65</v>
      </c>
      <c r="G602">
        <v>63.737916219119214</v>
      </c>
      <c r="H602">
        <v>27.04186684969115</v>
      </c>
      <c r="I602">
        <v>33.522324592487593</v>
      </c>
      <c r="J602">
        <v>37.621305594974984</v>
      </c>
      <c r="K602">
        <v>79.693486590038304</v>
      </c>
      <c r="L602">
        <v>19.58561695576222</v>
      </c>
      <c r="M602">
        <v>66.076716335037347</v>
      </c>
      <c r="N602">
        <v>55.253203528756401</v>
      </c>
      <c r="O602">
        <v>5.1221052631578941</v>
      </c>
      <c r="P602">
        <v>-0.45210526315789412</v>
      </c>
      <c r="Q602">
        <v>601</v>
      </c>
      <c r="R602">
        <v>33</v>
      </c>
      <c r="S602" t="s">
        <v>24</v>
      </c>
      <c r="T602" t="s">
        <v>429</v>
      </c>
      <c r="U602">
        <v>1000</v>
      </c>
      <c r="V602">
        <v>1000</v>
      </c>
    </row>
    <row r="603" spans="1:22" x14ac:dyDescent="0.3">
      <c r="A603" t="s">
        <v>726</v>
      </c>
      <c r="B603" t="s">
        <v>727</v>
      </c>
      <c r="C603">
        <v>7.85</v>
      </c>
      <c r="D603">
        <v>14.4</v>
      </c>
      <c r="E603">
        <v>16.27</v>
      </c>
      <c r="F603">
        <v>2.21</v>
      </c>
      <c r="G603">
        <v>69.151450053705688</v>
      </c>
      <c r="H603">
        <v>44.389155799588195</v>
      </c>
      <c r="I603">
        <v>74.627923458540039</v>
      </c>
      <c r="J603">
        <v>64.460998479887621</v>
      </c>
      <c r="K603">
        <v>19.923371647509569</v>
      </c>
      <c r="L603">
        <v>16.11182819759772</v>
      </c>
      <c r="M603">
        <v>72.093494958939857</v>
      </c>
      <c r="N603">
        <v>55.234715891556164</v>
      </c>
      <c r="O603">
        <v>8.7869230769230775</v>
      </c>
      <c r="P603">
        <v>7.4830769230769221</v>
      </c>
      <c r="Q603">
        <v>602</v>
      </c>
      <c r="R603">
        <v>1</v>
      </c>
      <c r="S603" t="s">
        <v>24</v>
      </c>
      <c r="T603" t="s">
        <v>728</v>
      </c>
      <c r="U603">
        <v>5000</v>
      </c>
      <c r="V603">
        <v>1000</v>
      </c>
    </row>
    <row r="604" spans="1:22" x14ac:dyDescent="0.3">
      <c r="A604" t="s">
        <v>729</v>
      </c>
      <c r="B604" t="s">
        <v>727</v>
      </c>
      <c r="C604">
        <v>7.85</v>
      </c>
      <c r="D604">
        <v>14.4</v>
      </c>
      <c r="E604">
        <v>16.27</v>
      </c>
      <c r="F604">
        <v>2.21</v>
      </c>
      <c r="G604">
        <v>69.151450053705688</v>
      </c>
      <c r="H604">
        <v>44.389155799588195</v>
      </c>
      <c r="I604">
        <v>74.627923458540039</v>
      </c>
      <c r="J604">
        <v>64.460998479887621</v>
      </c>
      <c r="K604">
        <v>19.923371647509569</v>
      </c>
      <c r="L604">
        <v>16.11182819759772</v>
      </c>
      <c r="M604">
        <v>72.093494958939857</v>
      </c>
      <c r="N604">
        <v>55.234715891556164</v>
      </c>
      <c r="O604">
        <v>8.7869230769230775</v>
      </c>
      <c r="P604">
        <v>7.4830769230769221</v>
      </c>
      <c r="Q604">
        <v>602</v>
      </c>
      <c r="R604">
        <v>1</v>
      </c>
      <c r="S604" t="s">
        <v>24</v>
      </c>
      <c r="T604" t="s">
        <v>728</v>
      </c>
      <c r="U604">
        <v>5000</v>
      </c>
      <c r="V604">
        <v>1000</v>
      </c>
    </row>
    <row r="605" spans="1:22" x14ac:dyDescent="0.3">
      <c r="A605" t="s">
        <v>730</v>
      </c>
      <c r="B605" t="s">
        <v>229</v>
      </c>
      <c r="C605">
        <v>5.33</v>
      </c>
      <c r="D605">
        <v>4.2699999999999996</v>
      </c>
      <c r="E605">
        <v>4.66</v>
      </c>
      <c r="F605">
        <v>0.65</v>
      </c>
      <c r="G605">
        <v>63.737916219119214</v>
      </c>
      <c r="H605">
        <v>27.007549759780375</v>
      </c>
      <c r="I605">
        <v>33.486888731396171</v>
      </c>
      <c r="J605">
        <v>37.593292537456037</v>
      </c>
      <c r="K605">
        <v>79.693486590038304</v>
      </c>
      <c r="L605">
        <v>19.605383265017622</v>
      </c>
      <c r="M605">
        <v>66.042480083128879</v>
      </c>
      <c r="N605">
        <v>55.230637937019814</v>
      </c>
      <c r="O605">
        <v>5.1221052631578941</v>
      </c>
      <c r="P605">
        <v>-0.46210526315789391</v>
      </c>
      <c r="Q605">
        <v>604</v>
      </c>
      <c r="R605">
        <v>34</v>
      </c>
      <c r="S605" t="s">
        <v>24</v>
      </c>
      <c r="T605" t="s">
        <v>429</v>
      </c>
      <c r="U605">
        <v>1000</v>
      </c>
      <c r="V605">
        <v>1000</v>
      </c>
    </row>
    <row r="606" spans="1:22" x14ac:dyDescent="0.3">
      <c r="A606" t="s">
        <v>731</v>
      </c>
      <c r="B606" t="s">
        <v>272</v>
      </c>
      <c r="C606">
        <v>-0.31</v>
      </c>
      <c r="D606">
        <v>13.56</v>
      </c>
      <c r="E606">
        <v>10.38</v>
      </c>
      <c r="F606">
        <v>1.93</v>
      </c>
      <c r="G606">
        <v>51.621911922663799</v>
      </c>
      <c r="H606">
        <v>42.947838023335628</v>
      </c>
      <c r="I606">
        <v>53.756201275691005</v>
      </c>
      <c r="J606">
        <v>50.086834429378953</v>
      </c>
      <c r="K606">
        <v>30.651340996168575</v>
      </c>
      <c r="L606">
        <v>5.7244426984688159</v>
      </c>
      <c r="M606">
        <v>90.084974401235328</v>
      </c>
      <c r="N606">
        <v>55.227496064040452</v>
      </c>
      <c r="O606">
        <v>10.044583333333334</v>
      </c>
      <c r="P606">
        <v>0.33541666666666714</v>
      </c>
      <c r="Q606">
        <v>605</v>
      </c>
      <c r="R606">
        <v>17</v>
      </c>
      <c r="S606" t="s">
        <v>24</v>
      </c>
      <c r="T606" t="s">
        <v>291</v>
      </c>
      <c r="U606">
        <v>5000</v>
      </c>
      <c r="V606">
        <v>1000</v>
      </c>
    </row>
    <row r="607" spans="1:22" x14ac:dyDescent="0.3">
      <c r="A607" t="s">
        <v>732</v>
      </c>
      <c r="B607" t="s">
        <v>166</v>
      </c>
      <c r="C607">
        <v>-7.63</v>
      </c>
      <c r="D607">
        <v>26.99</v>
      </c>
      <c r="E607">
        <v>20.84</v>
      </c>
      <c r="F607">
        <v>2.11</v>
      </c>
      <c r="G607">
        <v>35.896885069817394</v>
      </c>
      <c r="H607">
        <v>65.991763898421425</v>
      </c>
      <c r="I607">
        <v>90.822111977321043</v>
      </c>
      <c r="J607">
        <v>72.387962172150424</v>
      </c>
      <c r="K607">
        <v>23.754789272030653</v>
      </c>
      <c r="L607">
        <v>27.504631332039448</v>
      </c>
      <c r="M607">
        <v>52.360581089456829</v>
      </c>
      <c r="N607">
        <v>55.222823676447078</v>
      </c>
      <c r="O607">
        <v>20.878999999999998</v>
      </c>
      <c r="P607">
        <v>-3.8999999999997925E-2</v>
      </c>
      <c r="Q607">
        <v>606</v>
      </c>
      <c r="R607">
        <v>8</v>
      </c>
      <c r="S607" t="s">
        <v>24</v>
      </c>
      <c r="T607" t="s">
        <v>167</v>
      </c>
      <c r="U607">
        <v>1000</v>
      </c>
      <c r="V607">
        <v>1000</v>
      </c>
    </row>
    <row r="608" spans="1:22" x14ac:dyDescent="0.3">
      <c r="A608" t="s">
        <v>733</v>
      </c>
      <c r="B608" t="s">
        <v>161</v>
      </c>
      <c r="C608">
        <v>5.08</v>
      </c>
      <c r="D608">
        <v>3.81</v>
      </c>
      <c r="E608">
        <v>5.38</v>
      </c>
      <c r="F608">
        <v>0.72</v>
      </c>
      <c r="G608">
        <v>63.200859291084853</v>
      </c>
      <c r="H608">
        <v>26.218256691832536</v>
      </c>
      <c r="I608">
        <v>36.038270729978741</v>
      </c>
      <c r="J608">
        <v>38.524784230756097</v>
      </c>
      <c r="K608">
        <v>77.011494252873575</v>
      </c>
      <c r="L608">
        <v>19.157034339303607</v>
      </c>
      <c r="M608">
        <v>66.819043201984471</v>
      </c>
      <c r="N608">
        <v>55.22002647909256</v>
      </c>
      <c r="O608">
        <v>4.9189795918367345</v>
      </c>
      <c r="P608">
        <v>0.46102040816326539</v>
      </c>
      <c r="Q608">
        <v>607</v>
      </c>
      <c r="R608">
        <v>20</v>
      </c>
      <c r="S608" t="s">
        <v>24</v>
      </c>
      <c r="T608" t="s">
        <v>535</v>
      </c>
      <c r="U608">
        <v>1000</v>
      </c>
      <c r="V608">
        <v>1000</v>
      </c>
    </row>
    <row r="609" spans="1:22" x14ac:dyDescent="0.3">
      <c r="A609" t="s">
        <v>734</v>
      </c>
      <c r="B609" t="s">
        <v>51</v>
      </c>
      <c r="C609">
        <v>1.74</v>
      </c>
      <c r="D609">
        <v>22.72</v>
      </c>
      <c r="E609">
        <v>11.42</v>
      </c>
      <c r="F609">
        <v>2.52</v>
      </c>
      <c r="G609">
        <v>56.025778732545653</v>
      </c>
      <c r="H609">
        <v>58.665065202470835</v>
      </c>
      <c r="I609">
        <v>57.441530829199138</v>
      </c>
      <c r="J609">
        <v>57.525440721849947</v>
      </c>
      <c r="K609">
        <v>8.045977011494255</v>
      </c>
      <c r="L609">
        <v>1.3208093120057256</v>
      </c>
      <c r="M609">
        <v>97.712291164495994</v>
      </c>
      <c r="N609">
        <v>55.202287404922536</v>
      </c>
      <c r="O609">
        <v>12.127586206896551</v>
      </c>
      <c r="P609">
        <v>-0.70758620689655061</v>
      </c>
      <c r="Q609">
        <v>608</v>
      </c>
      <c r="R609">
        <v>22</v>
      </c>
      <c r="S609" t="s">
        <v>24</v>
      </c>
      <c r="T609" t="s">
        <v>120</v>
      </c>
      <c r="U609">
        <v>1000</v>
      </c>
      <c r="V609">
        <v>1000</v>
      </c>
    </row>
    <row r="610" spans="1:22" x14ac:dyDescent="0.3">
      <c r="A610" t="s">
        <v>735</v>
      </c>
      <c r="B610" t="s">
        <v>51</v>
      </c>
      <c r="C610">
        <v>1.72</v>
      </c>
      <c r="D610">
        <v>22.72</v>
      </c>
      <c r="E610">
        <v>11.41</v>
      </c>
      <c r="F610">
        <v>2.52</v>
      </c>
      <c r="G610">
        <v>55.982814178302895</v>
      </c>
      <c r="H610">
        <v>58.665065202470835</v>
      </c>
      <c r="I610">
        <v>57.406094968107723</v>
      </c>
      <c r="J610">
        <v>57.499129880455691</v>
      </c>
      <c r="K610">
        <v>8.045977011494255</v>
      </c>
      <c r="L610">
        <v>1.3419640341858226</v>
      </c>
      <c r="M610">
        <v>97.675650110860062</v>
      </c>
      <c r="N610">
        <v>55.179971720816425</v>
      </c>
      <c r="O610">
        <v>12.127586206896551</v>
      </c>
      <c r="P610">
        <v>-0.71758620689655039</v>
      </c>
      <c r="Q610">
        <v>609</v>
      </c>
      <c r="R610">
        <v>23</v>
      </c>
      <c r="S610" t="s">
        <v>24</v>
      </c>
      <c r="T610" t="s">
        <v>120</v>
      </c>
      <c r="U610">
        <v>1000</v>
      </c>
      <c r="V610">
        <v>1000</v>
      </c>
    </row>
    <row r="611" spans="1:22" x14ac:dyDescent="0.3">
      <c r="A611" t="s">
        <v>736</v>
      </c>
      <c r="B611" t="s">
        <v>410</v>
      </c>
      <c r="C611">
        <v>5.74</v>
      </c>
      <c r="D611">
        <v>4.82</v>
      </c>
      <c r="E611">
        <v>4.8</v>
      </c>
      <c r="F611">
        <v>0.69</v>
      </c>
      <c r="G611">
        <v>64.618689581095595</v>
      </c>
      <c r="H611">
        <v>27.951269732326701</v>
      </c>
      <c r="I611">
        <v>33.982990786676112</v>
      </c>
      <c r="J611">
        <v>38.300614229255189</v>
      </c>
      <c r="K611">
        <v>78.160919540229884</v>
      </c>
      <c r="L611">
        <v>19.661414741678552</v>
      </c>
      <c r="M611">
        <v>65.945430718729028</v>
      </c>
      <c r="N611">
        <v>55.176894679367322</v>
      </c>
      <c r="O611">
        <v>4.4264935064935065</v>
      </c>
      <c r="P611">
        <v>0.37350649350649334</v>
      </c>
      <c r="Q611">
        <v>610</v>
      </c>
      <c r="R611">
        <v>29</v>
      </c>
      <c r="S611" t="s">
        <v>24</v>
      </c>
      <c r="T611" t="s">
        <v>411</v>
      </c>
      <c r="U611">
        <v>1000</v>
      </c>
      <c r="V611">
        <v>1000</v>
      </c>
    </row>
    <row r="612" spans="1:22" x14ac:dyDescent="0.3">
      <c r="A612" t="s">
        <v>737</v>
      </c>
      <c r="B612" t="s">
        <v>126</v>
      </c>
      <c r="C612">
        <v>2.58</v>
      </c>
      <c r="D612">
        <v>18.309999999999999</v>
      </c>
      <c r="E612">
        <v>12.48</v>
      </c>
      <c r="F612">
        <v>2.35</v>
      </c>
      <c r="G612">
        <v>57.830290010741138</v>
      </c>
      <c r="H612">
        <v>51.098146877144821</v>
      </c>
      <c r="I612">
        <v>61.197732104890143</v>
      </c>
      <c r="J612">
        <v>57.494368117736741</v>
      </c>
      <c r="K612">
        <v>14.559386973180066</v>
      </c>
      <c r="L612">
        <v>5.1423574230950759</v>
      </c>
      <c r="M612">
        <v>91.09317567252036</v>
      </c>
      <c r="N612">
        <v>55.160324720293474</v>
      </c>
      <c r="O612">
        <v>11.362272727272726</v>
      </c>
      <c r="P612">
        <v>1.117727272727274</v>
      </c>
      <c r="Q612">
        <v>611</v>
      </c>
      <c r="R612">
        <v>28</v>
      </c>
      <c r="S612" t="s">
        <v>24</v>
      </c>
      <c r="T612" t="s">
        <v>127</v>
      </c>
      <c r="U612">
        <v>1000</v>
      </c>
      <c r="V612">
        <v>1000</v>
      </c>
    </row>
    <row r="613" spans="1:22" x14ac:dyDescent="0.3">
      <c r="A613" t="s">
        <v>738</v>
      </c>
      <c r="B613" t="s">
        <v>126</v>
      </c>
      <c r="C613">
        <v>2.54</v>
      </c>
      <c r="D613">
        <v>18.309999999999999</v>
      </c>
      <c r="E613">
        <v>12.48</v>
      </c>
      <c r="F613">
        <v>2.35</v>
      </c>
      <c r="G613">
        <v>57.744360902255629</v>
      </c>
      <c r="H613">
        <v>51.098146877144821</v>
      </c>
      <c r="I613">
        <v>61.197732104890143</v>
      </c>
      <c r="J613">
        <v>57.477182296039643</v>
      </c>
      <c r="K613">
        <v>14.559386973180066</v>
      </c>
      <c r="L613">
        <v>5.1332178878239798</v>
      </c>
      <c r="M613">
        <v>91.109005811967464</v>
      </c>
      <c r="N613">
        <v>55.155689344306708</v>
      </c>
      <c r="O613">
        <v>11.362272727272726</v>
      </c>
      <c r="P613">
        <v>1.117727272727274</v>
      </c>
      <c r="Q613">
        <v>612</v>
      </c>
      <c r="R613">
        <v>29</v>
      </c>
      <c r="S613" t="s">
        <v>24</v>
      </c>
      <c r="T613" t="s">
        <v>127</v>
      </c>
      <c r="U613">
        <v>1000</v>
      </c>
      <c r="V613">
        <v>1000</v>
      </c>
    </row>
    <row r="614" spans="1:22" x14ac:dyDescent="0.3">
      <c r="A614" t="s">
        <v>739</v>
      </c>
      <c r="B614" t="s">
        <v>358</v>
      </c>
      <c r="C614">
        <v>4.7699999999999996</v>
      </c>
      <c r="D614">
        <v>2.4300000000000002</v>
      </c>
      <c r="E614">
        <v>5.16</v>
      </c>
      <c r="F614">
        <v>0.63</v>
      </c>
      <c r="G614">
        <v>62.534908700322234</v>
      </c>
      <c r="H614">
        <v>23.850377487989022</v>
      </c>
      <c r="I614">
        <v>35.258681785967397</v>
      </c>
      <c r="J614">
        <v>37.291435879444848</v>
      </c>
      <c r="K614">
        <v>80.459770114942529</v>
      </c>
      <c r="L614">
        <v>19.877268913496096</v>
      </c>
      <c r="M614">
        <v>65.571560326115346</v>
      </c>
      <c r="N614">
        <v>55.153550549986889</v>
      </c>
      <c r="O614">
        <v>5.0554237288135591</v>
      </c>
      <c r="P614">
        <v>0.10457627118644108</v>
      </c>
      <c r="Q614">
        <v>613</v>
      </c>
      <c r="R614">
        <v>28</v>
      </c>
      <c r="S614" t="s">
        <v>24</v>
      </c>
      <c r="T614" t="s">
        <v>359</v>
      </c>
      <c r="U614">
        <v>5000</v>
      </c>
      <c r="V614">
        <v>1000</v>
      </c>
    </row>
    <row r="615" spans="1:22" x14ac:dyDescent="0.3">
      <c r="A615" t="s">
        <v>740</v>
      </c>
      <c r="B615" t="s">
        <v>195</v>
      </c>
      <c r="C615">
        <v>0.03</v>
      </c>
      <c r="D615">
        <v>12.79</v>
      </c>
      <c r="E615">
        <v>10.78</v>
      </c>
      <c r="F615">
        <v>1.9</v>
      </c>
      <c r="G615">
        <v>52.352309344790548</v>
      </c>
      <c r="H615">
        <v>41.626630061770761</v>
      </c>
      <c r="I615">
        <v>55.173635719347971</v>
      </c>
      <c r="J615">
        <v>50.545268747163327</v>
      </c>
      <c r="K615">
        <v>31.800766283524908</v>
      </c>
      <c r="L615">
        <v>7.1475105325840795</v>
      </c>
      <c r="M615">
        <v>87.620148609930681</v>
      </c>
      <c r="N615">
        <v>55.127863096945561</v>
      </c>
      <c r="O615">
        <v>10.412619047619048</v>
      </c>
      <c r="P615">
        <v>0.3673809523809517</v>
      </c>
      <c r="Q615">
        <v>614</v>
      </c>
      <c r="R615">
        <v>19</v>
      </c>
      <c r="S615" t="s">
        <v>24</v>
      </c>
      <c r="T615" t="s">
        <v>196</v>
      </c>
      <c r="U615">
        <v>1000</v>
      </c>
      <c r="V615">
        <v>1000</v>
      </c>
    </row>
    <row r="616" spans="1:22" x14ac:dyDescent="0.3">
      <c r="A616" t="s">
        <v>741</v>
      </c>
      <c r="B616" t="s">
        <v>272</v>
      </c>
      <c r="C616">
        <v>9.64</v>
      </c>
      <c r="D616">
        <v>15.38</v>
      </c>
      <c r="E616">
        <v>9.91</v>
      </c>
      <c r="F616">
        <v>1.79</v>
      </c>
      <c r="G616">
        <v>72.996777658431782</v>
      </c>
      <c r="H616">
        <v>46.070693205216209</v>
      </c>
      <c r="I616">
        <v>52.090715804394037</v>
      </c>
      <c r="J616">
        <v>54.465921395448234</v>
      </c>
      <c r="K616">
        <v>36.015325670498079</v>
      </c>
      <c r="L616">
        <v>14.132221565870676</v>
      </c>
      <c r="M616">
        <v>75.52227422409139</v>
      </c>
      <c r="N616">
        <v>55.117360671371486</v>
      </c>
      <c r="O616">
        <v>10.044583333333334</v>
      </c>
      <c r="P616">
        <v>-0.1345833333333335</v>
      </c>
      <c r="Q616">
        <v>615</v>
      </c>
      <c r="R616">
        <v>18</v>
      </c>
      <c r="S616" t="s">
        <v>24</v>
      </c>
      <c r="T616" t="s">
        <v>273</v>
      </c>
      <c r="U616">
        <v>1000</v>
      </c>
      <c r="V616">
        <v>1000</v>
      </c>
    </row>
    <row r="617" spans="1:22" x14ac:dyDescent="0.3">
      <c r="A617" t="s">
        <v>742</v>
      </c>
      <c r="B617" t="s">
        <v>410</v>
      </c>
      <c r="C617">
        <v>5.74</v>
      </c>
      <c r="D617">
        <v>4.82</v>
      </c>
      <c r="E617">
        <v>4.75</v>
      </c>
      <c r="F617">
        <v>0.69</v>
      </c>
      <c r="G617">
        <v>64.618689581095595</v>
      </c>
      <c r="H617">
        <v>27.951269732326701</v>
      </c>
      <c r="I617">
        <v>33.805811481218996</v>
      </c>
      <c r="J617">
        <v>38.21202457652663</v>
      </c>
      <c r="K617">
        <v>78.160919540229884</v>
      </c>
      <c r="L617">
        <v>19.69859891063858</v>
      </c>
      <c r="M617">
        <v>65.881025848853042</v>
      </c>
      <c r="N617">
        <v>55.116498635534043</v>
      </c>
      <c r="O617">
        <v>4.4264935064935065</v>
      </c>
      <c r="P617">
        <v>0.32350649350649352</v>
      </c>
      <c r="Q617">
        <v>616</v>
      </c>
      <c r="R617">
        <v>30</v>
      </c>
      <c r="S617" t="s">
        <v>24</v>
      </c>
      <c r="T617" t="s">
        <v>411</v>
      </c>
      <c r="U617">
        <v>1000</v>
      </c>
      <c r="V617">
        <v>1000</v>
      </c>
    </row>
    <row r="618" spans="1:22" x14ac:dyDescent="0.3">
      <c r="A618" t="s">
        <v>743</v>
      </c>
      <c r="B618" t="s">
        <v>44</v>
      </c>
      <c r="C618">
        <v>5.94</v>
      </c>
      <c r="D618">
        <v>10.47</v>
      </c>
      <c r="E618">
        <v>8.18</v>
      </c>
      <c r="F618">
        <v>1.42</v>
      </c>
      <c r="G618">
        <v>65.048335123523088</v>
      </c>
      <c r="H618">
        <v>37.645847632120798</v>
      </c>
      <c r="I618">
        <v>45.960311835577599</v>
      </c>
      <c r="J618">
        <v>47.283577232129659</v>
      </c>
      <c r="K618">
        <v>50.191570881226056</v>
      </c>
      <c r="L618">
        <v>14.049788069268594</v>
      </c>
      <c r="M618">
        <v>75.665053228451754</v>
      </c>
      <c r="N618">
        <v>55.105944643484278</v>
      </c>
      <c r="O618">
        <v>7.5967647058823538</v>
      </c>
      <c r="P618">
        <v>0.58323529411764596</v>
      </c>
      <c r="Q618">
        <v>617</v>
      </c>
      <c r="R618">
        <v>29</v>
      </c>
      <c r="S618" t="s">
        <v>24</v>
      </c>
      <c r="T618" t="s">
        <v>112</v>
      </c>
      <c r="U618">
        <v>5000</v>
      </c>
      <c r="V618">
        <v>1000</v>
      </c>
    </row>
    <row r="619" spans="1:22" x14ac:dyDescent="0.3">
      <c r="A619" t="s">
        <v>744</v>
      </c>
      <c r="B619" t="s">
        <v>410</v>
      </c>
      <c r="C619">
        <v>5.72</v>
      </c>
      <c r="D619">
        <v>4.8</v>
      </c>
      <c r="E619">
        <v>4.7300000000000004</v>
      </c>
      <c r="F619">
        <v>0.69</v>
      </c>
      <c r="G619">
        <v>64.575725026852851</v>
      </c>
      <c r="H619">
        <v>27.916952642415925</v>
      </c>
      <c r="I619">
        <v>33.734939759036145</v>
      </c>
      <c r="J619">
        <v>38.15770067761342</v>
      </c>
      <c r="K619">
        <v>78.160919540229884</v>
      </c>
      <c r="L619">
        <v>19.701389979553447</v>
      </c>
      <c r="M619">
        <v>65.87619157568507</v>
      </c>
      <c r="N619">
        <v>55.088128117785445</v>
      </c>
      <c r="O619">
        <v>4.4264935064935065</v>
      </c>
      <c r="P619">
        <v>0.30350649350649395</v>
      </c>
      <c r="Q619">
        <v>618</v>
      </c>
      <c r="R619">
        <v>31</v>
      </c>
      <c r="S619" t="s">
        <v>24</v>
      </c>
      <c r="T619" t="s">
        <v>411</v>
      </c>
      <c r="U619">
        <v>1000</v>
      </c>
      <c r="V619">
        <v>1000</v>
      </c>
    </row>
    <row r="620" spans="1:22" x14ac:dyDescent="0.3">
      <c r="A620" t="s">
        <v>745</v>
      </c>
      <c r="B620" t="s">
        <v>161</v>
      </c>
      <c r="C620">
        <v>6.31</v>
      </c>
      <c r="D620">
        <v>4.7</v>
      </c>
      <c r="E620">
        <v>5.48</v>
      </c>
      <c r="F620">
        <v>0.76</v>
      </c>
      <c r="G620">
        <v>65.843179377013968</v>
      </c>
      <c r="H620">
        <v>27.745367192862048</v>
      </c>
      <c r="I620">
        <v>36.392629340892981</v>
      </c>
      <c r="J620">
        <v>39.6885607037079</v>
      </c>
      <c r="K620">
        <v>75.478927203065126</v>
      </c>
      <c r="L620">
        <v>19.973120826524784</v>
      </c>
      <c r="M620">
        <v>65.405539942746984</v>
      </c>
      <c r="N620">
        <v>55.065397138306977</v>
      </c>
      <c r="O620">
        <v>4.9189795918367345</v>
      </c>
      <c r="P620">
        <v>0.56102040816326593</v>
      </c>
      <c r="Q620">
        <v>619</v>
      </c>
      <c r="R620">
        <v>21</v>
      </c>
      <c r="S620" t="s">
        <v>24</v>
      </c>
      <c r="T620" t="s">
        <v>162</v>
      </c>
      <c r="U620">
        <v>1000</v>
      </c>
      <c r="V620">
        <v>1000</v>
      </c>
    </row>
    <row r="621" spans="1:22" x14ac:dyDescent="0.3">
      <c r="A621" t="s">
        <v>746</v>
      </c>
      <c r="B621" t="s">
        <v>161</v>
      </c>
      <c r="C621">
        <v>6.31</v>
      </c>
      <c r="D621">
        <v>4.7</v>
      </c>
      <c r="E621">
        <v>5.48</v>
      </c>
      <c r="F621">
        <v>0.76</v>
      </c>
      <c r="G621">
        <v>65.843179377013968</v>
      </c>
      <c r="H621">
        <v>27.745367192862048</v>
      </c>
      <c r="I621">
        <v>36.392629340892981</v>
      </c>
      <c r="J621">
        <v>39.6885607037079</v>
      </c>
      <c r="K621">
        <v>75.478927203065126</v>
      </c>
      <c r="L621">
        <v>19.973120826524784</v>
      </c>
      <c r="M621">
        <v>65.405539942746984</v>
      </c>
      <c r="N621">
        <v>55.065397138306977</v>
      </c>
      <c r="O621">
        <v>4.9189795918367345</v>
      </c>
      <c r="P621">
        <v>0.56102040816326593</v>
      </c>
      <c r="Q621">
        <v>619</v>
      </c>
      <c r="R621">
        <v>21</v>
      </c>
      <c r="S621" t="s">
        <v>24</v>
      </c>
      <c r="T621" t="s">
        <v>162</v>
      </c>
      <c r="U621">
        <v>1000</v>
      </c>
      <c r="V621">
        <v>1000</v>
      </c>
    </row>
    <row r="622" spans="1:22" x14ac:dyDescent="0.3">
      <c r="A622" t="s">
        <v>747</v>
      </c>
      <c r="B622" t="s">
        <v>126</v>
      </c>
      <c r="C622">
        <v>4.3600000000000003</v>
      </c>
      <c r="D622">
        <v>19.329999999999998</v>
      </c>
      <c r="E622">
        <v>9.3000000000000007</v>
      </c>
      <c r="F622">
        <v>2.09</v>
      </c>
      <c r="G622">
        <v>61.65413533834586</v>
      </c>
      <c r="H622">
        <v>52.848318462594371</v>
      </c>
      <c r="I622">
        <v>49.929128277817156</v>
      </c>
      <c r="J622">
        <v>53.149886745356063</v>
      </c>
      <c r="K622">
        <v>24.521072796934874</v>
      </c>
      <c r="L622">
        <v>6.1038222007964995</v>
      </c>
      <c r="M622">
        <v>89.427869827853584</v>
      </c>
      <c r="N622">
        <v>55.062179028875143</v>
      </c>
      <c r="O622">
        <v>11.362272727272726</v>
      </c>
      <c r="P622">
        <v>-2.0622727272727257</v>
      </c>
      <c r="Q622">
        <v>621</v>
      </c>
      <c r="R622">
        <v>30</v>
      </c>
      <c r="S622" t="s">
        <v>24</v>
      </c>
      <c r="T622" t="s">
        <v>127</v>
      </c>
      <c r="U622">
        <v>5000</v>
      </c>
      <c r="V622">
        <v>1000</v>
      </c>
    </row>
    <row r="623" spans="1:22" x14ac:dyDescent="0.3">
      <c r="A623" t="s">
        <v>748</v>
      </c>
      <c r="B623" t="s">
        <v>405</v>
      </c>
      <c r="C623">
        <v>1.26</v>
      </c>
      <c r="D623">
        <v>17.600000000000001</v>
      </c>
      <c r="E623">
        <v>10.96</v>
      </c>
      <c r="F623">
        <v>2.2599999999999998</v>
      </c>
      <c r="G623">
        <v>54.994629430719655</v>
      </c>
      <c r="H623">
        <v>49.879890185312291</v>
      </c>
      <c r="I623">
        <v>55.81148121899362</v>
      </c>
      <c r="J623">
        <v>53.868633551234424</v>
      </c>
      <c r="K623">
        <v>18.00766283524904</v>
      </c>
      <c r="L623">
        <v>3.2148503486001077</v>
      </c>
      <c r="M623">
        <v>94.431715857494098</v>
      </c>
      <c r="N623">
        <v>55.044161448802996</v>
      </c>
      <c r="O623">
        <v>12.057857142857143</v>
      </c>
      <c r="P623">
        <v>-1.0978571428571424</v>
      </c>
      <c r="Q623">
        <v>622</v>
      </c>
      <c r="R623">
        <v>8</v>
      </c>
      <c r="S623" t="s">
        <v>24</v>
      </c>
      <c r="T623" t="s">
        <v>406</v>
      </c>
      <c r="U623">
        <v>5000</v>
      </c>
      <c r="V623">
        <v>1000</v>
      </c>
    </row>
    <row r="624" spans="1:22" x14ac:dyDescent="0.3">
      <c r="A624" t="s">
        <v>749</v>
      </c>
      <c r="B624" t="s">
        <v>126</v>
      </c>
      <c r="C624">
        <v>-2.62</v>
      </c>
      <c r="D624">
        <v>11.75</v>
      </c>
      <c r="E624">
        <v>8.73</v>
      </c>
      <c r="F624">
        <v>1.76</v>
      </c>
      <c r="G624">
        <v>46.659505907626205</v>
      </c>
      <c r="H624">
        <v>39.842141386410432</v>
      </c>
      <c r="I624">
        <v>47.909284195605949</v>
      </c>
      <c r="J624">
        <v>45.239185695251344</v>
      </c>
      <c r="K624">
        <v>37.164750957854409</v>
      </c>
      <c r="L624">
        <v>4.3419887511022734</v>
      </c>
      <c r="M624">
        <v>92.479454877198322</v>
      </c>
      <c r="N624">
        <v>55.030644306388851</v>
      </c>
      <c r="O624">
        <v>11.362272727272726</v>
      </c>
      <c r="P624">
        <v>-2.632272727272726</v>
      </c>
      <c r="Q624">
        <v>623</v>
      </c>
      <c r="R624">
        <v>31</v>
      </c>
      <c r="S624" t="s">
        <v>24</v>
      </c>
      <c r="T624" t="s">
        <v>127</v>
      </c>
      <c r="U624">
        <v>1000</v>
      </c>
      <c r="V624">
        <v>1000</v>
      </c>
    </row>
    <row r="625" spans="1:22" x14ac:dyDescent="0.3">
      <c r="A625" t="s">
        <v>750</v>
      </c>
      <c r="B625" t="s">
        <v>358</v>
      </c>
      <c r="C625">
        <v>4.7300000000000004</v>
      </c>
      <c r="D625">
        <v>3.01</v>
      </c>
      <c r="E625">
        <v>4.9800000000000004</v>
      </c>
      <c r="F625">
        <v>0.66</v>
      </c>
      <c r="G625">
        <v>62.448979591836732</v>
      </c>
      <c r="H625">
        <v>24.845573095401512</v>
      </c>
      <c r="I625">
        <v>34.620836286321754</v>
      </c>
      <c r="J625">
        <v>37.253885990148675</v>
      </c>
      <c r="K625">
        <v>79.310344827586206</v>
      </c>
      <c r="L625">
        <v>19.510584778610919</v>
      </c>
      <c r="M625">
        <v>66.206675878065909</v>
      </c>
      <c r="N625">
        <v>55.006198171487362</v>
      </c>
      <c r="O625">
        <v>5.0554237288135591</v>
      </c>
      <c r="P625">
        <v>-7.5423728813558633E-2</v>
      </c>
      <c r="Q625">
        <v>624</v>
      </c>
      <c r="R625">
        <v>29</v>
      </c>
      <c r="S625" t="s">
        <v>24</v>
      </c>
      <c r="T625" t="s">
        <v>359</v>
      </c>
      <c r="U625">
        <v>1000</v>
      </c>
      <c r="V625">
        <v>1000</v>
      </c>
    </row>
    <row r="626" spans="1:22" x14ac:dyDescent="0.3">
      <c r="A626" t="s">
        <v>751</v>
      </c>
      <c r="B626" t="s">
        <v>358</v>
      </c>
      <c r="C626">
        <v>4.7300000000000004</v>
      </c>
      <c r="D626">
        <v>3.01</v>
      </c>
      <c r="E626">
        <v>4.9800000000000004</v>
      </c>
      <c r="F626">
        <v>0.66</v>
      </c>
      <c r="G626">
        <v>62.448979591836732</v>
      </c>
      <c r="H626">
        <v>24.845573095401512</v>
      </c>
      <c r="I626">
        <v>34.620836286321754</v>
      </c>
      <c r="J626">
        <v>37.253885990148675</v>
      </c>
      <c r="K626">
        <v>79.310344827586206</v>
      </c>
      <c r="L626">
        <v>19.510584778610919</v>
      </c>
      <c r="M626">
        <v>66.206675878065909</v>
      </c>
      <c r="N626">
        <v>55.006198171487362</v>
      </c>
      <c r="O626">
        <v>5.0554237288135591</v>
      </c>
      <c r="P626">
        <v>-7.5423728813558633E-2</v>
      </c>
      <c r="Q626">
        <v>624</v>
      </c>
      <c r="R626">
        <v>29</v>
      </c>
      <c r="S626" t="s">
        <v>24</v>
      </c>
      <c r="T626" t="s">
        <v>359</v>
      </c>
      <c r="U626">
        <v>1000</v>
      </c>
      <c r="V626">
        <v>1000</v>
      </c>
    </row>
    <row r="627" spans="1:22" x14ac:dyDescent="0.3">
      <c r="A627" t="s">
        <v>752</v>
      </c>
      <c r="B627" t="s">
        <v>195</v>
      </c>
      <c r="C627">
        <v>0.04</v>
      </c>
      <c r="D627">
        <v>12.79</v>
      </c>
      <c r="E627">
        <v>10.35</v>
      </c>
      <c r="F627">
        <v>1.9</v>
      </c>
      <c r="G627">
        <v>52.373791621911913</v>
      </c>
      <c r="H627">
        <v>41.626630061770761</v>
      </c>
      <c r="I627">
        <v>53.649893692416725</v>
      </c>
      <c r="J627">
        <v>49.787694189121979</v>
      </c>
      <c r="K627">
        <v>31.800766283524908</v>
      </c>
      <c r="L627">
        <v>6.6041500390049723</v>
      </c>
      <c r="M627">
        <v>88.561276591635405</v>
      </c>
      <c r="N627">
        <v>54.984357813351068</v>
      </c>
      <c r="O627">
        <v>10.412619047619048</v>
      </c>
      <c r="P627">
        <v>-6.2619047619048018E-2</v>
      </c>
      <c r="Q627">
        <v>626</v>
      </c>
      <c r="R627">
        <v>20</v>
      </c>
      <c r="S627" t="s">
        <v>24</v>
      </c>
      <c r="T627" t="s">
        <v>196</v>
      </c>
      <c r="U627">
        <v>1000</v>
      </c>
      <c r="V627">
        <v>1000</v>
      </c>
    </row>
    <row r="628" spans="1:22" x14ac:dyDescent="0.3">
      <c r="A628" t="s">
        <v>753</v>
      </c>
      <c r="B628" t="s">
        <v>405</v>
      </c>
      <c r="C628">
        <v>-0.54</v>
      </c>
      <c r="D628">
        <v>18.97</v>
      </c>
      <c r="E628">
        <v>13.1</v>
      </c>
      <c r="F628">
        <v>2.2999999999999998</v>
      </c>
      <c r="G628">
        <v>51.127819548872175</v>
      </c>
      <c r="H628">
        <v>52.23061084420042</v>
      </c>
      <c r="I628">
        <v>63.39475549255846</v>
      </c>
      <c r="J628">
        <v>57.592124909313796</v>
      </c>
      <c r="K628">
        <v>16.475095785440619</v>
      </c>
      <c r="L628">
        <v>6.7864078841094289</v>
      </c>
      <c r="M628">
        <v>88.245596743836472</v>
      </c>
      <c r="N628">
        <v>54.976235586976173</v>
      </c>
      <c r="O628">
        <v>12.057857142857143</v>
      </c>
      <c r="P628">
        <v>1.0421428571428564</v>
      </c>
      <c r="Q628">
        <v>627</v>
      </c>
      <c r="R628">
        <v>9</v>
      </c>
      <c r="S628" t="s">
        <v>24</v>
      </c>
      <c r="T628" t="s">
        <v>406</v>
      </c>
      <c r="U628">
        <v>1000</v>
      </c>
      <c r="V628">
        <v>1000</v>
      </c>
    </row>
    <row r="629" spans="1:22" x14ac:dyDescent="0.3">
      <c r="A629" t="s">
        <v>754</v>
      </c>
      <c r="B629" t="s">
        <v>755</v>
      </c>
      <c r="C629">
        <v>8.1199999999999992</v>
      </c>
      <c r="D629">
        <v>15.14</v>
      </c>
      <c r="E629">
        <v>12.11</v>
      </c>
      <c r="F629">
        <v>2.06</v>
      </c>
      <c r="G629">
        <v>69.731471535982806</v>
      </c>
      <c r="H629">
        <v>45.658888126286897</v>
      </c>
      <c r="I629">
        <v>59.886605244507443</v>
      </c>
      <c r="J629">
        <v>57.587263367336348</v>
      </c>
      <c r="K629">
        <v>25.670498084291182</v>
      </c>
      <c r="L629">
        <v>12.102607148254604</v>
      </c>
      <c r="M629">
        <v>79.037669515176745</v>
      </c>
      <c r="N629">
        <v>54.970673583535159</v>
      </c>
      <c r="O629">
        <v>11.035555555555554</v>
      </c>
      <c r="P629">
        <v>1.0744444444444454</v>
      </c>
      <c r="Q629">
        <v>628</v>
      </c>
      <c r="R629">
        <v>1</v>
      </c>
      <c r="S629" t="s">
        <v>24</v>
      </c>
      <c r="T629" t="s">
        <v>756</v>
      </c>
      <c r="U629">
        <v>5000</v>
      </c>
      <c r="V629">
        <v>1000</v>
      </c>
    </row>
    <row r="630" spans="1:22" x14ac:dyDescent="0.3">
      <c r="A630" t="s">
        <v>757</v>
      </c>
      <c r="B630" t="s">
        <v>106</v>
      </c>
      <c r="C630">
        <v>6.57</v>
      </c>
      <c r="D630">
        <v>16.170000000000002</v>
      </c>
      <c r="E630">
        <v>12.92</v>
      </c>
      <c r="F630">
        <v>2.2200000000000002</v>
      </c>
      <c r="G630">
        <v>66.401718582169707</v>
      </c>
      <c r="H630">
        <v>47.42621825669184</v>
      </c>
      <c r="I630">
        <v>62.756909992912824</v>
      </c>
      <c r="J630">
        <v>58.886664189897907</v>
      </c>
      <c r="K630">
        <v>19.540229885057457</v>
      </c>
      <c r="L630">
        <v>10.069627197382282</v>
      </c>
      <c r="M630">
        <v>82.55889408085649</v>
      </c>
      <c r="N630">
        <v>54.968113086427437</v>
      </c>
      <c r="O630">
        <v>12.436666666666667</v>
      </c>
      <c r="P630">
        <v>0.4833333333333325</v>
      </c>
      <c r="Q630">
        <v>629</v>
      </c>
      <c r="R630">
        <v>5</v>
      </c>
      <c r="S630" t="s">
        <v>24</v>
      </c>
      <c r="T630" t="s">
        <v>758</v>
      </c>
      <c r="U630">
        <v>5000</v>
      </c>
      <c r="V630">
        <v>1000</v>
      </c>
    </row>
    <row r="631" spans="1:22" x14ac:dyDescent="0.3">
      <c r="A631" t="s">
        <v>759</v>
      </c>
      <c r="B631" t="s">
        <v>161</v>
      </c>
      <c r="C631">
        <v>5.08</v>
      </c>
      <c r="D631">
        <v>3.48</v>
      </c>
      <c r="E631">
        <v>5.32</v>
      </c>
      <c r="F631">
        <v>0.72</v>
      </c>
      <c r="G631">
        <v>63.200859291084853</v>
      </c>
      <c r="H631">
        <v>25.652024708304737</v>
      </c>
      <c r="I631">
        <v>35.825655563430189</v>
      </c>
      <c r="J631">
        <v>38.248607052423488</v>
      </c>
      <c r="K631">
        <v>77.011494252873575</v>
      </c>
      <c r="L631">
        <v>19.420004816477014</v>
      </c>
      <c r="M631">
        <v>66.363564974629497</v>
      </c>
      <c r="N631">
        <v>54.968068333087508</v>
      </c>
      <c r="O631">
        <v>4.9189795918367345</v>
      </c>
      <c r="P631">
        <v>0.40102040816326578</v>
      </c>
      <c r="Q631">
        <v>630</v>
      </c>
      <c r="R631">
        <v>23</v>
      </c>
      <c r="S631" t="s">
        <v>24</v>
      </c>
      <c r="T631" t="s">
        <v>535</v>
      </c>
      <c r="U631">
        <v>1000</v>
      </c>
      <c r="V631">
        <v>1000</v>
      </c>
    </row>
    <row r="632" spans="1:22" x14ac:dyDescent="0.3">
      <c r="A632" t="s">
        <v>760</v>
      </c>
      <c r="B632" t="s">
        <v>410</v>
      </c>
      <c r="C632">
        <v>5.74</v>
      </c>
      <c r="D632">
        <v>4.66</v>
      </c>
      <c r="E632">
        <v>4.68</v>
      </c>
      <c r="F632">
        <v>0.69</v>
      </c>
      <c r="G632">
        <v>64.618689581095595</v>
      </c>
      <c r="H632">
        <v>27.676733013040501</v>
      </c>
      <c r="I632">
        <v>33.557760453579021</v>
      </c>
      <c r="J632">
        <v>38.00563804692078</v>
      </c>
      <c r="K632">
        <v>78.160919540229884</v>
      </c>
      <c r="L632">
        <v>19.849752127323249</v>
      </c>
      <c r="M632">
        <v>65.619220797827722</v>
      </c>
      <c r="N632">
        <v>54.947854107974791</v>
      </c>
      <c r="O632">
        <v>4.4264935064935065</v>
      </c>
      <c r="P632">
        <v>0.25350649350649324</v>
      </c>
      <c r="Q632">
        <v>631</v>
      </c>
      <c r="R632">
        <v>32</v>
      </c>
      <c r="S632" t="s">
        <v>24</v>
      </c>
      <c r="T632" t="s">
        <v>411</v>
      </c>
      <c r="U632">
        <v>1000</v>
      </c>
      <c r="V632">
        <v>1000</v>
      </c>
    </row>
    <row r="633" spans="1:22" x14ac:dyDescent="0.3">
      <c r="A633" t="s">
        <v>761</v>
      </c>
      <c r="B633" t="s">
        <v>405</v>
      </c>
      <c r="C633">
        <v>-0.6</v>
      </c>
      <c r="D633">
        <v>18.91</v>
      </c>
      <c r="E633">
        <v>13.06</v>
      </c>
      <c r="F633">
        <v>2.2999999999999998</v>
      </c>
      <c r="G633">
        <v>50.99892588614393</v>
      </c>
      <c r="H633">
        <v>52.12765957446809</v>
      </c>
      <c r="I633">
        <v>63.253012048192772</v>
      </c>
      <c r="J633">
        <v>57.4645890736656</v>
      </c>
      <c r="K633">
        <v>16.475095785440619</v>
      </c>
      <c r="L633">
        <v>6.7726180938477887</v>
      </c>
      <c r="M633">
        <v>88.269481361195346</v>
      </c>
      <c r="N633">
        <v>54.91843882349179</v>
      </c>
      <c r="O633">
        <v>12.057857142857143</v>
      </c>
      <c r="P633">
        <v>1.0021428571428572</v>
      </c>
      <c r="Q633">
        <v>632</v>
      </c>
      <c r="R633">
        <v>10</v>
      </c>
      <c r="S633" t="s">
        <v>24</v>
      </c>
      <c r="T633" t="s">
        <v>406</v>
      </c>
      <c r="U633">
        <v>1000</v>
      </c>
      <c r="V633">
        <v>1000</v>
      </c>
    </row>
    <row r="634" spans="1:22" x14ac:dyDescent="0.3">
      <c r="A634" t="s">
        <v>762</v>
      </c>
      <c r="B634" t="s">
        <v>86</v>
      </c>
      <c r="C634">
        <v>1.01</v>
      </c>
      <c r="D634">
        <v>12.89</v>
      </c>
      <c r="E634">
        <v>11.63</v>
      </c>
      <c r="F634">
        <v>1.96</v>
      </c>
      <c r="G634">
        <v>54.457572502685281</v>
      </c>
      <c r="H634">
        <v>41.798215511324642</v>
      </c>
      <c r="I634">
        <v>58.185683912119067</v>
      </c>
      <c r="J634">
        <v>52.523821109993982</v>
      </c>
      <c r="K634">
        <v>29.501915708812266</v>
      </c>
      <c r="L634">
        <v>8.5897929224448095</v>
      </c>
      <c r="M634">
        <v>85.122042231830036</v>
      </c>
      <c r="N634">
        <v>54.917900040157562</v>
      </c>
      <c r="O634">
        <v>8.6526315789473696</v>
      </c>
      <c r="P634">
        <v>2.9773684210526312</v>
      </c>
      <c r="Q634">
        <v>633</v>
      </c>
      <c r="R634">
        <v>5</v>
      </c>
      <c r="S634" t="s">
        <v>24</v>
      </c>
      <c r="T634" t="s">
        <v>763</v>
      </c>
      <c r="U634">
        <v>1000</v>
      </c>
      <c r="V634">
        <v>1000</v>
      </c>
    </row>
    <row r="635" spans="1:22" x14ac:dyDescent="0.3">
      <c r="A635" t="s">
        <v>764</v>
      </c>
      <c r="B635" t="s">
        <v>86</v>
      </c>
      <c r="C635">
        <v>1.01</v>
      </c>
      <c r="D635">
        <v>12.89</v>
      </c>
      <c r="E635">
        <v>11.63</v>
      </c>
      <c r="F635">
        <v>1.96</v>
      </c>
      <c r="G635">
        <v>54.457572502685281</v>
      </c>
      <c r="H635">
        <v>41.798215511324642</v>
      </c>
      <c r="I635">
        <v>58.185683912119067</v>
      </c>
      <c r="J635">
        <v>52.523821109993982</v>
      </c>
      <c r="K635">
        <v>29.501915708812266</v>
      </c>
      <c r="L635">
        <v>8.5897929224448095</v>
      </c>
      <c r="M635">
        <v>85.122042231830036</v>
      </c>
      <c r="N635">
        <v>54.917900040157562</v>
      </c>
      <c r="O635">
        <v>8.6526315789473696</v>
      </c>
      <c r="P635">
        <v>2.9773684210526312</v>
      </c>
      <c r="Q635">
        <v>633</v>
      </c>
      <c r="R635">
        <v>5</v>
      </c>
      <c r="S635" t="s">
        <v>24</v>
      </c>
      <c r="T635" t="s">
        <v>763</v>
      </c>
      <c r="U635">
        <v>1000</v>
      </c>
      <c r="V635">
        <v>1000</v>
      </c>
    </row>
    <row r="636" spans="1:22" x14ac:dyDescent="0.3">
      <c r="A636" t="s">
        <v>765</v>
      </c>
      <c r="B636" t="s">
        <v>405</v>
      </c>
      <c r="C636">
        <v>-0.98</v>
      </c>
      <c r="D636">
        <v>16.5</v>
      </c>
      <c r="E636">
        <v>9.8699999999999992</v>
      </c>
      <c r="F636">
        <v>2.15</v>
      </c>
      <c r="G636">
        <v>50.182599355531686</v>
      </c>
      <c r="H636">
        <v>47.99245024021964</v>
      </c>
      <c r="I636">
        <v>51.948972360028343</v>
      </c>
      <c r="J636">
        <v>50.408741123186402</v>
      </c>
      <c r="K636">
        <v>22.222222222222232</v>
      </c>
      <c r="L636">
        <v>1.9820399433770348</v>
      </c>
      <c r="M636">
        <v>96.567006115440037</v>
      </c>
      <c r="N636">
        <v>54.901677646008764</v>
      </c>
      <c r="O636">
        <v>12.057857142857143</v>
      </c>
      <c r="P636">
        <v>-2.1878571428571441</v>
      </c>
      <c r="Q636">
        <v>635</v>
      </c>
      <c r="R636">
        <v>11</v>
      </c>
      <c r="S636" t="s">
        <v>24</v>
      </c>
      <c r="T636" t="s">
        <v>406</v>
      </c>
      <c r="U636">
        <v>1000</v>
      </c>
      <c r="V636">
        <v>1000</v>
      </c>
    </row>
    <row r="637" spans="1:22" x14ac:dyDescent="0.3">
      <c r="A637" t="s">
        <v>766</v>
      </c>
      <c r="B637" t="s">
        <v>405</v>
      </c>
      <c r="C637">
        <v>-0.99</v>
      </c>
      <c r="D637">
        <v>16.5</v>
      </c>
      <c r="E637">
        <v>9.8699999999999992</v>
      </c>
      <c r="F637">
        <v>2.15</v>
      </c>
      <c r="G637">
        <v>50.161117078410314</v>
      </c>
      <c r="H637">
        <v>47.99245024021964</v>
      </c>
      <c r="I637">
        <v>51.948972360028343</v>
      </c>
      <c r="J637">
        <v>50.404444667762121</v>
      </c>
      <c r="K637">
        <v>22.222222222222232</v>
      </c>
      <c r="L637">
        <v>1.9813131019441361</v>
      </c>
      <c r="M637">
        <v>96.568265041730868</v>
      </c>
      <c r="N637">
        <v>54.899844149869338</v>
      </c>
      <c r="O637">
        <v>12.057857142857143</v>
      </c>
      <c r="P637">
        <v>-2.1878571428571441</v>
      </c>
      <c r="Q637">
        <v>636</v>
      </c>
      <c r="R637">
        <v>12</v>
      </c>
      <c r="S637" t="s">
        <v>24</v>
      </c>
      <c r="T637" t="s">
        <v>406</v>
      </c>
      <c r="U637">
        <v>1000</v>
      </c>
      <c r="V637">
        <v>1000</v>
      </c>
    </row>
    <row r="638" spans="1:22" x14ac:dyDescent="0.3">
      <c r="A638" t="s">
        <v>767</v>
      </c>
      <c r="B638" t="s">
        <v>170</v>
      </c>
      <c r="C638">
        <v>6.59</v>
      </c>
      <c r="D638">
        <v>9.32</v>
      </c>
      <c r="E638">
        <v>10.19</v>
      </c>
      <c r="F638">
        <v>1.55</v>
      </c>
      <c r="G638">
        <v>66.444683136412451</v>
      </c>
      <c r="H638">
        <v>35.672614962251203</v>
      </c>
      <c r="I638">
        <v>53.082919914953933</v>
      </c>
      <c r="J638">
        <v>50.532181073434813</v>
      </c>
      <c r="K638">
        <v>45.21072796934866</v>
      </c>
      <c r="L638">
        <v>15.430357603588099</v>
      </c>
      <c r="M638">
        <v>73.27383665162867</v>
      </c>
      <c r="N638">
        <v>54.887231691961738</v>
      </c>
      <c r="O638">
        <v>6.9120588235294118</v>
      </c>
      <c r="P638">
        <v>3.2779411764705877</v>
      </c>
      <c r="Q638">
        <v>637</v>
      </c>
      <c r="R638">
        <v>9</v>
      </c>
      <c r="S638" t="s">
        <v>24</v>
      </c>
      <c r="T638" t="s">
        <v>768</v>
      </c>
      <c r="U638">
        <v>5000</v>
      </c>
      <c r="V638">
        <v>1000</v>
      </c>
    </row>
    <row r="639" spans="1:22" x14ac:dyDescent="0.3">
      <c r="A639" t="s">
        <v>769</v>
      </c>
      <c r="B639" t="s">
        <v>170</v>
      </c>
      <c r="C639">
        <v>6.59</v>
      </c>
      <c r="D639">
        <v>9.32</v>
      </c>
      <c r="E639">
        <v>10.19</v>
      </c>
      <c r="F639">
        <v>1.55</v>
      </c>
      <c r="G639">
        <v>66.444683136412451</v>
      </c>
      <c r="H639">
        <v>35.672614962251203</v>
      </c>
      <c r="I639">
        <v>53.082919914953933</v>
      </c>
      <c r="J639">
        <v>50.532181073434813</v>
      </c>
      <c r="K639">
        <v>45.21072796934866</v>
      </c>
      <c r="L639">
        <v>15.430357603588099</v>
      </c>
      <c r="M639">
        <v>73.27383665162867</v>
      </c>
      <c r="N639">
        <v>54.887231691961738</v>
      </c>
      <c r="O639">
        <v>6.9120588235294118</v>
      </c>
      <c r="P639">
        <v>3.2779411764705877</v>
      </c>
      <c r="Q639">
        <v>637</v>
      </c>
      <c r="R639">
        <v>9</v>
      </c>
      <c r="S639" t="s">
        <v>24</v>
      </c>
      <c r="T639" t="s">
        <v>768</v>
      </c>
      <c r="U639">
        <v>5000</v>
      </c>
      <c r="V639">
        <v>1000</v>
      </c>
    </row>
    <row r="640" spans="1:22" x14ac:dyDescent="0.3">
      <c r="A640" t="s">
        <v>770</v>
      </c>
      <c r="B640" t="s">
        <v>155</v>
      </c>
      <c r="C640">
        <v>5.31</v>
      </c>
      <c r="D640">
        <v>3.81</v>
      </c>
      <c r="E640">
        <v>5.64</v>
      </c>
      <c r="F640">
        <v>0.78</v>
      </c>
      <c r="G640">
        <v>63.694951664876477</v>
      </c>
      <c r="H640">
        <v>26.218256691832536</v>
      </c>
      <c r="I640">
        <v>36.959603118355773</v>
      </c>
      <c r="J640">
        <v>39.084268899702941</v>
      </c>
      <c r="K640">
        <v>74.712643678160916</v>
      </c>
      <c r="L640">
        <v>19.298782565493205</v>
      </c>
      <c r="M640">
        <v>66.573528072341333</v>
      </c>
      <c r="N640">
        <v>54.863677387477033</v>
      </c>
      <c r="O640">
        <v>5.2086538461538465</v>
      </c>
      <c r="P640">
        <v>0.43134615384615316</v>
      </c>
      <c r="Q640">
        <v>639</v>
      </c>
      <c r="R640">
        <v>7</v>
      </c>
      <c r="S640" t="s">
        <v>24</v>
      </c>
      <c r="T640" t="s">
        <v>45</v>
      </c>
      <c r="U640">
        <v>1000</v>
      </c>
      <c r="V640">
        <v>1000</v>
      </c>
    </row>
    <row r="641" spans="1:22" x14ac:dyDescent="0.3">
      <c r="A641" t="s">
        <v>771</v>
      </c>
      <c r="B641" t="s">
        <v>195</v>
      </c>
      <c r="C641">
        <v>3.04</v>
      </c>
      <c r="D641">
        <v>15.65</v>
      </c>
      <c r="E641">
        <v>11.76</v>
      </c>
      <c r="F641">
        <v>2.17</v>
      </c>
      <c r="G641">
        <v>58.818474758324378</v>
      </c>
      <c r="H641">
        <v>46.533973919011672</v>
      </c>
      <c r="I641">
        <v>58.64635010630758</v>
      </c>
      <c r="J641">
        <v>55.047062180522168</v>
      </c>
      <c r="K641">
        <v>21.455938697318011</v>
      </c>
      <c r="L641">
        <v>7.0432975784249363</v>
      </c>
      <c r="M641">
        <v>87.800650741341173</v>
      </c>
      <c r="N641">
        <v>54.837678449925882</v>
      </c>
      <c r="O641">
        <v>10.412619047619048</v>
      </c>
      <c r="P641">
        <v>1.3473809523809521</v>
      </c>
      <c r="Q641">
        <v>640</v>
      </c>
      <c r="R641">
        <v>21</v>
      </c>
      <c r="S641" t="s">
        <v>24</v>
      </c>
      <c r="T641" t="s">
        <v>196</v>
      </c>
      <c r="U641">
        <v>5000</v>
      </c>
      <c r="V641">
        <v>1000</v>
      </c>
    </row>
    <row r="642" spans="1:22" x14ac:dyDescent="0.3">
      <c r="A642" t="s">
        <v>772</v>
      </c>
      <c r="B642" t="s">
        <v>773</v>
      </c>
      <c r="C642">
        <v>9.9600000000000009</v>
      </c>
      <c r="D642">
        <v>3.68</v>
      </c>
      <c r="E642">
        <v>4.6900000000000004</v>
      </c>
      <c r="F642">
        <v>0.51</v>
      </c>
      <c r="G642">
        <v>73.68421052631578</v>
      </c>
      <c r="H642">
        <v>25.995195607412498</v>
      </c>
      <c r="I642">
        <v>33.59319631467045</v>
      </c>
      <c r="J642">
        <v>39.331998944822132</v>
      </c>
      <c r="K642">
        <v>85.057471264367805</v>
      </c>
      <c r="L642">
        <v>25.623105390777091</v>
      </c>
      <c r="M642">
        <v>55.619479615482085</v>
      </c>
      <c r="N642">
        <v>54.83523719237354</v>
      </c>
      <c r="O642">
        <v>4.1175000000000006</v>
      </c>
      <c r="P642">
        <v>0.57249999999999979</v>
      </c>
      <c r="Q642">
        <v>641</v>
      </c>
      <c r="R642">
        <v>1</v>
      </c>
      <c r="S642" t="s">
        <v>24</v>
      </c>
      <c r="T642" t="s">
        <v>774</v>
      </c>
      <c r="U642">
        <v>5000</v>
      </c>
      <c r="V642">
        <v>1000</v>
      </c>
    </row>
    <row r="643" spans="1:22" x14ac:dyDescent="0.3">
      <c r="A643" t="s">
        <v>775</v>
      </c>
      <c r="B643" t="s">
        <v>773</v>
      </c>
      <c r="C643">
        <v>9.9600000000000009</v>
      </c>
      <c r="D643">
        <v>3.68</v>
      </c>
      <c r="E643">
        <v>4.6900000000000004</v>
      </c>
      <c r="F643">
        <v>0.51</v>
      </c>
      <c r="G643">
        <v>73.68421052631578</v>
      </c>
      <c r="H643">
        <v>25.995195607412498</v>
      </c>
      <c r="I643">
        <v>33.59319631467045</v>
      </c>
      <c r="J643">
        <v>39.331998944822132</v>
      </c>
      <c r="K643">
        <v>85.057471264367805</v>
      </c>
      <c r="L643">
        <v>25.623105390777091</v>
      </c>
      <c r="M643">
        <v>55.619479615482085</v>
      </c>
      <c r="N643">
        <v>54.83523719237354</v>
      </c>
      <c r="O643">
        <v>4.1175000000000006</v>
      </c>
      <c r="P643">
        <v>0.57249999999999979</v>
      </c>
      <c r="Q643">
        <v>641</v>
      </c>
      <c r="R643">
        <v>1</v>
      </c>
      <c r="S643" t="s">
        <v>24</v>
      </c>
      <c r="T643" t="s">
        <v>774</v>
      </c>
      <c r="U643">
        <v>5000</v>
      </c>
      <c r="V643">
        <v>1000</v>
      </c>
    </row>
    <row r="644" spans="1:22" x14ac:dyDescent="0.3">
      <c r="A644" t="s">
        <v>776</v>
      </c>
      <c r="B644" t="s">
        <v>328</v>
      </c>
      <c r="C644">
        <v>8.5299999999999994</v>
      </c>
      <c r="D644">
        <v>23.79</v>
      </c>
      <c r="E644">
        <v>10.25</v>
      </c>
      <c r="F644">
        <v>2.2999999999999998</v>
      </c>
      <c r="G644">
        <v>70.612244897959172</v>
      </c>
      <c r="H644">
        <v>60.501029512697336</v>
      </c>
      <c r="I644">
        <v>53.295535081502479</v>
      </c>
      <c r="J644">
        <v>58.920525374152277</v>
      </c>
      <c r="K644">
        <v>16.475095785440619</v>
      </c>
      <c r="L644">
        <v>8.6988913607089735</v>
      </c>
      <c r="M644">
        <v>84.933078193730097</v>
      </c>
      <c r="N644">
        <v>54.81230618186882</v>
      </c>
      <c r="O644">
        <v>10.248999999999999</v>
      </c>
      <c r="P644">
        <v>1.0000000000012221E-3</v>
      </c>
      <c r="Q644">
        <v>643</v>
      </c>
      <c r="R644">
        <v>5</v>
      </c>
      <c r="S644" t="s">
        <v>24</v>
      </c>
      <c r="T644" t="s">
        <v>78</v>
      </c>
      <c r="U644">
        <v>5000</v>
      </c>
      <c r="V644">
        <v>1000</v>
      </c>
    </row>
    <row r="645" spans="1:22" x14ac:dyDescent="0.3">
      <c r="A645" t="s">
        <v>777</v>
      </c>
      <c r="B645" t="s">
        <v>155</v>
      </c>
      <c r="C645">
        <v>5.3</v>
      </c>
      <c r="D645">
        <v>3.82</v>
      </c>
      <c r="E645">
        <v>5.58</v>
      </c>
      <c r="F645">
        <v>0.78</v>
      </c>
      <c r="G645">
        <v>63.673469387755098</v>
      </c>
      <c r="H645">
        <v>26.235415236787922</v>
      </c>
      <c r="I645">
        <v>36.746987951807228</v>
      </c>
      <c r="J645">
        <v>38.978812424491011</v>
      </c>
      <c r="K645">
        <v>74.712643678160916</v>
      </c>
      <c r="L645">
        <v>19.309481531423597</v>
      </c>
      <c r="M645">
        <v>66.554996919761436</v>
      </c>
      <c r="N645">
        <v>54.80631636172609</v>
      </c>
      <c r="O645">
        <v>5.2086538461538465</v>
      </c>
      <c r="P645">
        <v>0.37134615384615355</v>
      </c>
      <c r="Q645">
        <v>644</v>
      </c>
      <c r="R645">
        <v>8</v>
      </c>
      <c r="S645" t="s">
        <v>24</v>
      </c>
      <c r="T645" t="s">
        <v>45</v>
      </c>
      <c r="U645">
        <v>1000</v>
      </c>
      <c r="V645">
        <v>1000</v>
      </c>
    </row>
    <row r="646" spans="1:22" x14ac:dyDescent="0.3">
      <c r="A646" t="s">
        <v>778</v>
      </c>
      <c r="B646" t="s">
        <v>358</v>
      </c>
      <c r="C646">
        <v>4.13</v>
      </c>
      <c r="D646">
        <v>1.96</v>
      </c>
      <c r="E646">
        <v>3.81</v>
      </c>
      <c r="F646">
        <v>0.5</v>
      </c>
      <c r="G646">
        <v>61.160042964554236</v>
      </c>
      <c r="H646">
        <v>23.043925875085797</v>
      </c>
      <c r="I646">
        <v>30.474840538625088</v>
      </c>
      <c r="J646">
        <v>34.38260662474913</v>
      </c>
      <c r="K646">
        <v>85.440613026819918</v>
      </c>
      <c r="L646">
        <v>20.205768659119435</v>
      </c>
      <c r="M646">
        <v>65.002582076422271</v>
      </c>
      <c r="N646">
        <v>54.802102088185116</v>
      </c>
      <c r="O646">
        <v>5.0554237288135591</v>
      </c>
      <c r="P646">
        <v>-1.245423728813559</v>
      </c>
      <c r="Q646">
        <v>645</v>
      </c>
      <c r="R646">
        <v>31</v>
      </c>
      <c r="S646" t="s">
        <v>24</v>
      </c>
      <c r="T646" t="s">
        <v>457</v>
      </c>
      <c r="U646">
        <v>1000</v>
      </c>
      <c r="V646">
        <v>1000</v>
      </c>
    </row>
    <row r="647" spans="1:22" x14ac:dyDescent="0.3">
      <c r="A647" t="s">
        <v>779</v>
      </c>
      <c r="B647" t="s">
        <v>148</v>
      </c>
      <c r="C647">
        <v>-0.16</v>
      </c>
      <c r="D647">
        <v>11.61</v>
      </c>
      <c r="E647">
        <v>10.47</v>
      </c>
      <c r="F647">
        <v>1.84</v>
      </c>
      <c r="G647">
        <v>51.944146079484419</v>
      </c>
      <c r="H647">
        <v>39.601921757035008</v>
      </c>
      <c r="I647">
        <v>54.075124025513823</v>
      </c>
      <c r="J647">
        <v>49.306967755764298</v>
      </c>
      <c r="K647">
        <v>34.099616858237546</v>
      </c>
      <c r="L647">
        <v>7.8139314916417693</v>
      </c>
      <c r="M647">
        <v>86.465873649613997</v>
      </c>
      <c r="N647">
        <v>54.794856504845036</v>
      </c>
      <c r="O647">
        <v>10.461</v>
      </c>
      <c r="P647">
        <v>9.0000000000003411E-3</v>
      </c>
      <c r="Q647">
        <v>646</v>
      </c>
      <c r="R647">
        <v>19</v>
      </c>
      <c r="S647" t="s">
        <v>24</v>
      </c>
      <c r="T647" t="s">
        <v>78</v>
      </c>
      <c r="U647">
        <v>1000</v>
      </c>
      <c r="V647">
        <v>1000</v>
      </c>
    </row>
    <row r="648" spans="1:22" x14ac:dyDescent="0.3">
      <c r="A648" t="s">
        <v>780</v>
      </c>
      <c r="B648" t="s">
        <v>358</v>
      </c>
      <c r="C648">
        <v>4.7300000000000004</v>
      </c>
      <c r="D648">
        <v>3.01</v>
      </c>
      <c r="E648">
        <v>4.79</v>
      </c>
      <c r="F648">
        <v>0.66</v>
      </c>
      <c r="G648">
        <v>62.448979591836732</v>
      </c>
      <c r="H648">
        <v>24.845573095401512</v>
      </c>
      <c r="I648">
        <v>33.94755492558469</v>
      </c>
      <c r="J648">
        <v>36.917245309780142</v>
      </c>
      <c r="K648">
        <v>79.310344827586206</v>
      </c>
      <c r="L648">
        <v>19.617991153442002</v>
      </c>
      <c r="M648">
        <v>66.020642579801688</v>
      </c>
      <c r="N648">
        <v>54.791369506737041</v>
      </c>
      <c r="O648">
        <v>5.0554237288135591</v>
      </c>
      <c r="P648">
        <v>-0.26542372881355902</v>
      </c>
      <c r="Q648">
        <v>647</v>
      </c>
      <c r="R648">
        <v>32</v>
      </c>
      <c r="S648" t="s">
        <v>24</v>
      </c>
      <c r="T648" t="s">
        <v>359</v>
      </c>
      <c r="U648">
        <v>1000</v>
      </c>
      <c r="V648">
        <v>1000</v>
      </c>
    </row>
    <row r="649" spans="1:22" x14ac:dyDescent="0.3">
      <c r="A649" t="s">
        <v>781</v>
      </c>
      <c r="B649" t="s">
        <v>106</v>
      </c>
      <c r="C649">
        <v>6.57</v>
      </c>
      <c r="D649">
        <v>16.170000000000002</v>
      </c>
      <c r="E649">
        <v>12.63</v>
      </c>
      <c r="F649">
        <v>2.2200000000000002</v>
      </c>
      <c r="G649">
        <v>66.401718582169707</v>
      </c>
      <c r="H649">
        <v>47.42621825669184</v>
      </c>
      <c r="I649">
        <v>61.72927002126152</v>
      </c>
      <c r="J649">
        <v>58.372844204072251</v>
      </c>
      <c r="K649">
        <v>19.540229885057457</v>
      </c>
      <c r="L649">
        <v>9.8866802478258897</v>
      </c>
      <c r="M649">
        <v>82.875767492577893</v>
      </c>
      <c r="N649">
        <v>54.790421446444967</v>
      </c>
      <c r="O649">
        <v>12.436666666666667</v>
      </c>
      <c r="P649">
        <v>0.19333333333333336</v>
      </c>
      <c r="Q649">
        <v>648</v>
      </c>
      <c r="R649">
        <v>6</v>
      </c>
      <c r="S649" t="s">
        <v>24</v>
      </c>
      <c r="T649" t="s">
        <v>758</v>
      </c>
      <c r="U649">
        <v>5000</v>
      </c>
      <c r="V649">
        <v>1000</v>
      </c>
    </row>
    <row r="650" spans="1:22" x14ac:dyDescent="0.3">
      <c r="A650" t="s">
        <v>782</v>
      </c>
      <c r="B650" t="s">
        <v>272</v>
      </c>
      <c r="C650">
        <v>-0.27</v>
      </c>
      <c r="D650">
        <v>13.63</v>
      </c>
      <c r="E650">
        <v>8.77</v>
      </c>
      <c r="F650">
        <v>1.9</v>
      </c>
      <c r="G650">
        <v>51.707841031149293</v>
      </c>
      <c r="H650">
        <v>43.067947838023343</v>
      </c>
      <c r="I650">
        <v>48.051027639971643</v>
      </c>
      <c r="J650">
        <v>47.287466377622678</v>
      </c>
      <c r="K650">
        <v>31.800766283524908</v>
      </c>
      <c r="L650">
        <v>4.3368791175049948</v>
      </c>
      <c r="M650">
        <v>92.488305022196869</v>
      </c>
      <c r="N650">
        <v>54.716001015241787</v>
      </c>
      <c r="O650">
        <v>10.044583333333334</v>
      </c>
      <c r="P650">
        <v>-1.2745833333333341</v>
      </c>
      <c r="Q650">
        <v>649</v>
      </c>
      <c r="R650">
        <v>19</v>
      </c>
      <c r="S650" t="s">
        <v>24</v>
      </c>
      <c r="T650" t="s">
        <v>273</v>
      </c>
      <c r="U650">
        <v>5000</v>
      </c>
      <c r="V650">
        <v>1000</v>
      </c>
    </row>
    <row r="651" spans="1:22" x14ac:dyDescent="0.3">
      <c r="A651" t="s">
        <v>783</v>
      </c>
      <c r="B651" t="s">
        <v>161</v>
      </c>
      <c r="C651">
        <v>5.08</v>
      </c>
      <c r="D651">
        <v>3.8</v>
      </c>
      <c r="E651">
        <v>4.93</v>
      </c>
      <c r="F651">
        <v>0.72</v>
      </c>
      <c r="G651">
        <v>63.200859291084853</v>
      </c>
      <c r="H651">
        <v>26.20109814687715</v>
      </c>
      <c r="I651">
        <v>34.443656980864631</v>
      </c>
      <c r="J651">
        <v>37.722329792712429</v>
      </c>
      <c r="K651">
        <v>77.011494252873575</v>
      </c>
      <c r="L651">
        <v>19.424635498815682</v>
      </c>
      <c r="M651">
        <v>66.355544397545216</v>
      </c>
      <c r="N651">
        <v>54.702924558960916</v>
      </c>
      <c r="O651">
        <v>4.9189795918367345</v>
      </c>
      <c r="P651">
        <v>1.1020408163265216E-2</v>
      </c>
      <c r="Q651">
        <v>650</v>
      </c>
      <c r="R651">
        <v>24</v>
      </c>
      <c r="S651" t="s">
        <v>24</v>
      </c>
      <c r="T651" t="s">
        <v>535</v>
      </c>
      <c r="U651">
        <v>1000</v>
      </c>
      <c r="V651">
        <v>1000</v>
      </c>
    </row>
    <row r="652" spans="1:22" x14ac:dyDescent="0.3">
      <c r="A652" t="s">
        <v>784</v>
      </c>
      <c r="B652" t="s">
        <v>155</v>
      </c>
      <c r="C652">
        <v>5.64</v>
      </c>
      <c r="D652">
        <v>4.04</v>
      </c>
      <c r="E652">
        <v>7.07</v>
      </c>
      <c r="F652">
        <v>0.96</v>
      </c>
      <c r="G652">
        <v>64.403866809881833</v>
      </c>
      <c r="H652">
        <v>26.612903225806456</v>
      </c>
      <c r="I652">
        <v>42.026931254429478</v>
      </c>
      <c r="J652">
        <v>41.878109956933045</v>
      </c>
      <c r="K652">
        <v>67.81609195402298</v>
      </c>
      <c r="L652">
        <v>19.002089505862923</v>
      </c>
      <c r="M652">
        <v>67.087415525874036</v>
      </c>
      <c r="N652">
        <v>54.66493184844078</v>
      </c>
      <c r="O652">
        <v>5.2086538461538465</v>
      </c>
      <c r="P652">
        <v>1.8613461538461538</v>
      </c>
      <c r="Q652">
        <v>651</v>
      </c>
      <c r="R652">
        <v>9</v>
      </c>
      <c r="S652" t="s">
        <v>24</v>
      </c>
      <c r="T652" t="s">
        <v>45</v>
      </c>
      <c r="U652">
        <v>1000</v>
      </c>
      <c r="V652">
        <v>1000</v>
      </c>
    </row>
    <row r="653" spans="1:22" x14ac:dyDescent="0.3">
      <c r="A653" t="s">
        <v>785</v>
      </c>
      <c r="B653" t="s">
        <v>155</v>
      </c>
      <c r="C653">
        <v>5.65</v>
      </c>
      <c r="D653">
        <v>4.04</v>
      </c>
      <c r="E653">
        <v>7.07</v>
      </c>
      <c r="F653">
        <v>0.96</v>
      </c>
      <c r="G653">
        <v>64.425349087003212</v>
      </c>
      <c r="H653">
        <v>26.612903225806456</v>
      </c>
      <c r="I653">
        <v>42.026931254429478</v>
      </c>
      <c r="J653">
        <v>41.882406412357312</v>
      </c>
      <c r="K653">
        <v>67.81609195402298</v>
      </c>
      <c r="L653">
        <v>19.013427025287807</v>
      </c>
      <c r="M653">
        <v>67.06777836619834</v>
      </c>
      <c r="N653">
        <v>54.662170786233986</v>
      </c>
      <c r="O653">
        <v>5.2086538461538465</v>
      </c>
      <c r="P653">
        <v>1.8613461538461538</v>
      </c>
      <c r="Q653">
        <v>652</v>
      </c>
      <c r="R653">
        <v>10</v>
      </c>
      <c r="S653" t="s">
        <v>24</v>
      </c>
      <c r="T653" t="s">
        <v>45</v>
      </c>
      <c r="U653">
        <v>20000</v>
      </c>
      <c r="V653">
        <v>1000</v>
      </c>
    </row>
    <row r="654" spans="1:22" x14ac:dyDescent="0.3">
      <c r="A654" t="s">
        <v>786</v>
      </c>
      <c r="B654" t="s">
        <v>520</v>
      </c>
      <c r="C654">
        <v>6.36</v>
      </c>
      <c r="D654">
        <v>4.53</v>
      </c>
      <c r="E654">
        <v>4.97</v>
      </c>
      <c r="F654">
        <v>0.73</v>
      </c>
      <c r="G654">
        <v>65.950590762620848</v>
      </c>
      <c r="H654">
        <v>27.453671928620459</v>
      </c>
      <c r="I654">
        <v>34.585400425230326</v>
      </c>
      <c r="J654">
        <v>38.718919943725467</v>
      </c>
      <c r="K654">
        <v>76.628352490421463</v>
      </c>
      <c r="L654">
        <v>20.480272930968258</v>
      </c>
      <c r="M654">
        <v>64.52712673068541</v>
      </c>
      <c r="N654">
        <v>54.648329777139452</v>
      </c>
      <c r="O654">
        <v>4.625</v>
      </c>
      <c r="P654">
        <v>0.34499999999999975</v>
      </c>
      <c r="Q654">
        <v>653</v>
      </c>
      <c r="R654">
        <v>7</v>
      </c>
      <c r="S654" t="s">
        <v>24</v>
      </c>
      <c r="T654" t="s">
        <v>521</v>
      </c>
      <c r="U654">
        <v>1000</v>
      </c>
      <c r="V654">
        <v>1000</v>
      </c>
    </row>
    <row r="655" spans="1:22" x14ac:dyDescent="0.3">
      <c r="A655" t="s">
        <v>787</v>
      </c>
      <c r="B655" t="s">
        <v>520</v>
      </c>
      <c r="C655">
        <v>5.39</v>
      </c>
      <c r="D655">
        <v>2.48</v>
      </c>
      <c r="E655">
        <v>5.09</v>
      </c>
      <c r="F655">
        <v>0.66</v>
      </c>
      <c r="G655">
        <v>63.866809881847473</v>
      </c>
      <c r="H655">
        <v>23.936170212765962</v>
      </c>
      <c r="I655">
        <v>35.010630758327423</v>
      </c>
      <c r="J655">
        <v>37.459528419362996</v>
      </c>
      <c r="K655">
        <v>79.310344827586206</v>
      </c>
      <c r="L655">
        <v>20.614633695370781</v>
      </c>
      <c r="M655">
        <v>64.294407060196448</v>
      </c>
      <c r="N655">
        <v>54.630952181627158</v>
      </c>
      <c r="O655">
        <v>4.625</v>
      </c>
      <c r="P655">
        <v>0.46499999999999986</v>
      </c>
      <c r="Q655">
        <v>654</v>
      </c>
      <c r="R655">
        <v>8</v>
      </c>
      <c r="S655" t="s">
        <v>24</v>
      </c>
      <c r="T655" t="s">
        <v>788</v>
      </c>
      <c r="U655">
        <v>5000</v>
      </c>
      <c r="V655">
        <v>1000</v>
      </c>
    </row>
    <row r="656" spans="1:22" x14ac:dyDescent="0.3">
      <c r="A656" t="s">
        <v>789</v>
      </c>
      <c r="B656" t="s">
        <v>755</v>
      </c>
      <c r="C656">
        <v>8.1199999999999992</v>
      </c>
      <c r="D656">
        <v>15.14</v>
      </c>
      <c r="E656">
        <v>11.65</v>
      </c>
      <c r="F656">
        <v>2.06</v>
      </c>
      <c r="G656">
        <v>69.731471535982806</v>
      </c>
      <c r="H656">
        <v>45.658888126286897</v>
      </c>
      <c r="I656">
        <v>58.256555634301911</v>
      </c>
      <c r="J656">
        <v>56.772238562233582</v>
      </c>
      <c r="K656">
        <v>25.670498084291182</v>
      </c>
      <c r="L656">
        <v>12.040654699876255</v>
      </c>
      <c r="M656">
        <v>79.144974303421336</v>
      </c>
      <c r="N656">
        <v>54.589987378044924</v>
      </c>
      <c r="O656">
        <v>11.035555555555554</v>
      </c>
      <c r="P656">
        <v>0.61444444444444635</v>
      </c>
      <c r="Q656">
        <v>655</v>
      </c>
      <c r="R656">
        <v>2</v>
      </c>
      <c r="S656" t="s">
        <v>24</v>
      </c>
      <c r="T656" t="s">
        <v>756</v>
      </c>
      <c r="U656">
        <v>5000</v>
      </c>
      <c r="V656">
        <v>1000</v>
      </c>
    </row>
    <row r="657" spans="1:22" x14ac:dyDescent="0.3">
      <c r="A657" t="s">
        <v>790</v>
      </c>
      <c r="B657" t="s">
        <v>773</v>
      </c>
      <c r="C657">
        <v>9.9600000000000009</v>
      </c>
      <c r="D657">
        <v>3.68</v>
      </c>
      <c r="E657">
        <v>4.4800000000000004</v>
      </c>
      <c r="F657">
        <v>0.51</v>
      </c>
      <c r="G657">
        <v>73.68421052631578</v>
      </c>
      <c r="H657">
        <v>25.995195607412498</v>
      </c>
      <c r="I657">
        <v>32.849043231750528</v>
      </c>
      <c r="J657">
        <v>38.959922403362171</v>
      </c>
      <c r="K657">
        <v>85.057471264367805</v>
      </c>
      <c r="L657">
        <v>25.78348392274971</v>
      </c>
      <c r="M657">
        <v>55.341695849662202</v>
      </c>
      <c r="N657">
        <v>54.579752980188587</v>
      </c>
      <c r="O657">
        <v>4.1175000000000006</v>
      </c>
      <c r="P657">
        <v>0.36249999999999982</v>
      </c>
      <c r="Q657">
        <v>656</v>
      </c>
      <c r="R657">
        <v>3</v>
      </c>
      <c r="S657" t="s">
        <v>24</v>
      </c>
      <c r="T657" t="s">
        <v>774</v>
      </c>
      <c r="U657">
        <v>5000</v>
      </c>
      <c r="V657">
        <v>1000</v>
      </c>
    </row>
    <row r="658" spans="1:22" x14ac:dyDescent="0.3">
      <c r="A658" t="s">
        <v>791</v>
      </c>
      <c r="B658" t="s">
        <v>773</v>
      </c>
      <c r="C658">
        <v>9.9600000000000009</v>
      </c>
      <c r="D658">
        <v>3.68</v>
      </c>
      <c r="E658">
        <v>4.45</v>
      </c>
      <c r="F658">
        <v>0.51</v>
      </c>
      <c r="G658">
        <v>73.68421052631578</v>
      </c>
      <c r="H658">
        <v>25.995195607412498</v>
      </c>
      <c r="I658">
        <v>32.742735648476256</v>
      </c>
      <c r="J658">
        <v>38.906768611725035</v>
      </c>
      <c r="K658">
        <v>85.057471264367805</v>
      </c>
      <c r="L658">
        <v>25.806897675214351</v>
      </c>
      <c r="M658">
        <v>55.3011420407976</v>
      </c>
      <c r="N658">
        <v>54.543037632153869</v>
      </c>
      <c r="O658">
        <v>4.1175000000000006</v>
      </c>
      <c r="P658">
        <v>0.33249999999999957</v>
      </c>
      <c r="Q658">
        <v>657</v>
      </c>
      <c r="R658">
        <v>4</v>
      </c>
      <c r="S658" t="s">
        <v>24</v>
      </c>
      <c r="T658" t="s">
        <v>774</v>
      </c>
      <c r="U658">
        <v>5000</v>
      </c>
      <c r="V658">
        <v>1000</v>
      </c>
    </row>
    <row r="659" spans="1:22" x14ac:dyDescent="0.3">
      <c r="A659" t="s">
        <v>792</v>
      </c>
      <c r="B659" t="s">
        <v>161</v>
      </c>
      <c r="C659">
        <v>4.87</v>
      </c>
      <c r="D659">
        <v>3.05</v>
      </c>
      <c r="E659">
        <v>5.07</v>
      </c>
      <c r="F659">
        <v>0.72</v>
      </c>
      <c r="G659">
        <v>62.749731471535974</v>
      </c>
      <c r="H659">
        <v>24.914207275223067</v>
      </c>
      <c r="I659">
        <v>34.939759036144579</v>
      </c>
      <c r="J659">
        <v>37.494087994946405</v>
      </c>
      <c r="K659">
        <v>77.011494252873575</v>
      </c>
      <c r="L659">
        <v>19.602011572701432</v>
      </c>
      <c r="M659">
        <v>66.048320025528</v>
      </c>
      <c r="N659">
        <v>54.5119975670736</v>
      </c>
      <c r="O659">
        <v>4.9189795918367345</v>
      </c>
      <c r="P659">
        <v>0.15102040816326578</v>
      </c>
      <c r="Q659">
        <v>658</v>
      </c>
      <c r="R659">
        <v>25</v>
      </c>
      <c r="S659" t="s">
        <v>24</v>
      </c>
      <c r="T659" t="s">
        <v>162</v>
      </c>
      <c r="U659">
        <v>5000</v>
      </c>
      <c r="V659">
        <v>1000</v>
      </c>
    </row>
    <row r="660" spans="1:22" x14ac:dyDescent="0.3">
      <c r="A660" t="s">
        <v>793</v>
      </c>
      <c r="B660" t="s">
        <v>161</v>
      </c>
      <c r="C660">
        <v>4.87</v>
      </c>
      <c r="D660">
        <v>3.05</v>
      </c>
      <c r="E660">
        <v>5.07</v>
      </c>
      <c r="F660">
        <v>0.72</v>
      </c>
      <c r="G660">
        <v>62.749731471535974</v>
      </c>
      <c r="H660">
        <v>24.914207275223067</v>
      </c>
      <c r="I660">
        <v>34.939759036144579</v>
      </c>
      <c r="J660">
        <v>37.494087994946405</v>
      </c>
      <c r="K660">
        <v>77.011494252873575</v>
      </c>
      <c r="L660">
        <v>19.602011572701432</v>
      </c>
      <c r="M660">
        <v>66.048320025528</v>
      </c>
      <c r="N660">
        <v>54.5119975670736</v>
      </c>
      <c r="O660">
        <v>4.9189795918367345</v>
      </c>
      <c r="P660">
        <v>0.15102040816326578</v>
      </c>
      <c r="Q660">
        <v>658</v>
      </c>
      <c r="R660">
        <v>25</v>
      </c>
      <c r="S660" t="s">
        <v>24</v>
      </c>
      <c r="T660" t="s">
        <v>162</v>
      </c>
      <c r="U660">
        <v>5000</v>
      </c>
      <c r="V660">
        <v>1000</v>
      </c>
    </row>
    <row r="661" spans="1:22" x14ac:dyDescent="0.3">
      <c r="A661" t="s">
        <v>794</v>
      </c>
      <c r="B661" t="s">
        <v>272</v>
      </c>
      <c r="C661">
        <v>-3.89</v>
      </c>
      <c r="D661">
        <v>8.94</v>
      </c>
      <c r="E661">
        <v>11.66</v>
      </c>
      <c r="F661">
        <v>1.65</v>
      </c>
      <c r="G661">
        <v>43.931256713211596</v>
      </c>
      <c r="H661">
        <v>35.020590253946473</v>
      </c>
      <c r="I661">
        <v>58.291991495393333</v>
      </c>
      <c r="J661">
        <v>48.438424166522928</v>
      </c>
      <c r="K661">
        <v>41.37931034482758</v>
      </c>
      <c r="L661">
        <v>11.741584191616075</v>
      </c>
      <c r="M661">
        <v>79.66297961877342</v>
      </c>
      <c r="N661">
        <v>54.479784574161712</v>
      </c>
      <c r="O661">
        <v>10.044583333333334</v>
      </c>
      <c r="P661">
        <v>1.6154166666666665</v>
      </c>
      <c r="Q661">
        <v>660</v>
      </c>
      <c r="R661">
        <v>20</v>
      </c>
      <c r="S661" t="s">
        <v>24</v>
      </c>
      <c r="T661" t="s">
        <v>291</v>
      </c>
      <c r="U661">
        <v>1000</v>
      </c>
      <c r="V661">
        <v>1000</v>
      </c>
    </row>
    <row r="662" spans="1:22" x14ac:dyDescent="0.3">
      <c r="A662" t="s">
        <v>795</v>
      </c>
      <c r="B662" t="s">
        <v>126</v>
      </c>
      <c r="C662">
        <v>-2.6</v>
      </c>
      <c r="D662">
        <v>11.27</v>
      </c>
      <c r="E662">
        <v>8.16</v>
      </c>
      <c r="F662">
        <v>1.76</v>
      </c>
      <c r="G662">
        <v>46.702470461868955</v>
      </c>
      <c r="H662">
        <v>39.018531228551822</v>
      </c>
      <c r="I662">
        <v>45.889440113394755</v>
      </c>
      <c r="J662">
        <v>43.990773517636718</v>
      </c>
      <c r="K662">
        <v>37.164750957854409</v>
      </c>
      <c r="L662">
        <v>4.2212424986146742</v>
      </c>
      <c r="M662">
        <v>92.68859352133039</v>
      </c>
      <c r="N662">
        <v>54.458722878614559</v>
      </c>
      <c r="O662">
        <v>11.362272727272726</v>
      </c>
      <c r="P662">
        <v>-3.2022727272727263</v>
      </c>
      <c r="Q662">
        <v>661</v>
      </c>
      <c r="R662">
        <v>32</v>
      </c>
      <c r="S662" t="s">
        <v>24</v>
      </c>
      <c r="T662" t="s">
        <v>127</v>
      </c>
      <c r="U662">
        <v>1000</v>
      </c>
      <c r="V662">
        <v>1000</v>
      </c>
    </row>
    <row r="663" spans="1:22" x14ac:dyDescent="0.3">
      <c r="A663" t="s">
        <v>796</v>
      </c>
      <c r="B663" t="s">
        <v>520</v>
      </c>
      <c r="C663">
        <v>6.36</v>
      </c>
      <c r="D663">
        <v>4.53</v>
      </c>
      <c r="E663">
        <v>4.8</v>
      </c>
      <c r="F663">
        <v>0.73</v>
      </c>
      <c r="G663">
        <v>65.950590762620848</v>
      </c>
      <c r="H663">
        <v>27.453671928620459</v>
      </c>
      <c r="I663">
        <v>33.982990786676112</v>
      </c>
      <c r="J663">
        <v>38.417715124448364</v>
      </c>
      <c r="K663">
        <v>76.628352490421463</v>
      </c>
      <c r="L663">
        <v>20.601667459552061</v>
      </c>
      <c r="M663">
        <v>64.316865239417382</v>
      </c>
      <c r="N663">
        <v>54.445161994683893</v>
      </c>
      <c r="O663">
        <v>4.625</v>
      </c>
      <c r="P663">
        <v>0.17499999999999982</v>
      </c>
      <c r="Q663">
        <v>662</v>
      </c>
      <c r="R663">
        <v>9</v>
      </c>
      <c r="S663" t="s">
        <v>24</v>
      </c>
      <c r="T663" t="s">
        <v>521</v>
      </c>
      <c r="U663">
        <v>1000</v>
      </c>
      <c r="V663">
        <v>1000</v>
      </c>
    </row>
    <row r="664" spans="1:22" x14ac:dyDescent="0.3">
      <c r="A664" t="s">
        <v>797</v>
      </c>
      <c r="B664" t="s">
        <v>520</v>
      </c>
      <c r="C664">
        <v>5.39</v>
      </c>
      <c r="D664">
        <v>2.48</v>
      </c>
      <c r="E664">
        <v>4.91</v>
      </c>
      <c r="F664">
        <v>0.66</v>
      </c>
      <c r="G664">
        <v>63.866809881847473</v>
      </c>
      <c r="H664">
        <v>23.936170212765962</v>
      </c>
      <c r="I664">
        <v>34.37278525868178</v>
      </c>
      <c r="J664">
        <v>37.140605669540179</v>
      </c>
      <c r="K664">
        <v>79.310344827586206</v>
      </c>
      <c r="L664">
        <v>20.709403687176216</v>
      </c>
      <c r="M664">
        <v>64.130260619356548</v>
      </c>
      <c r="N664">
        <v>54.430454196505778</v>
      </c>
      <c r="O664">
        <v>4.625</v>
      </c>
      <c r="P664">
        <v>0.28500000000000014</v>
      </c>
      <c r="Q664">
        <v>663</v>
      </c>
      <c r="R664">
        <v>10</v>
      </c>
      <c r="S664" t="s">
        <v>24</v>
      </c>
      <c r="T664" t="s">
        <v>788</v>
      </c>
      <c r="U664">
        <v>5000</v>
      </c>
      <c r="V664">
        <v>1000</v>
      </c>
    </row>
    <row r="665" spans="1:22" x14ac:dyDescent="0.3">
      <c r="A665" t="s">
        <v>798</v>
      </c>
      <c r="B665" t="s">
        <v>202</v>
      </c>
      <c r="C665">
        <v>4.74</v>
      </c>
      <c r="D665">
        <v>14.37</v>
      </c>
      <c r="E665">
        <v>10.58</v>
      </c>
      <c r="F665">
        <v>2.02</v>
      </c>
      <c r="G665">
        <v>62.470461868958104</v>
      </c>
      <c r="H665">
        <v>44.337680164722038</v>
      </c>
      <c r="I665">
        <v>54.464918497519491</v>
      </c>
      <c r="J665">
        <v>53.027855671967977</v>
      </c>
      <c r="K665">
        <v>27.203065134099624</v>
      </c>
      <c r="L665">
        <v>9.0870553834813581</v>
      </c>
      <c r="M665">
        <v>84.260758384618001</v>
      </c>
      <c r="N665">
        <v>54.379883715663397</v>
      </c>
      <c r="O665">
        <v>10.023387096774194</v>
      </c>
      <c r="P665">
        <v>0.55661290322580648</v>
      </c>
      <c r="Q665">
        <v>664</v>
      </c>
      <c r="R665">
        <v>19</v>
      </c>
      <c r="S665" t="s">
        <v>24</v>
      </c>
      <c r="T665" t="s">
        <v>78</v>
      </c>
      <c r="U665">
        <v>1000</v>
      </c>
      <c r="V665">
        <v>1000</v>
      </c>
    </row>
    <row r="666" spans="1:22" x14ac:dyDescent="0.3">
      <c r="A666" t="s">
        <v>799</v>
      </c>
      <c r="B666" t="s">
        <v>773</v>
      </c>
      <c r="C666">
        <v>9.9600000000000009</v>
      </c>
      <c r="D666">
        <v>3.68</v>
      </c>
      <c r="E666">
        <v>4.3099999999999996</v>
      </c>
      <c r="F666">
        <v>0.51</v>
      </c>
      <c r="G666">
        <v>73.68421052631578</v>
      </c>
      <c r="H666">
        <v>25.995195607412498</v>
      </c>
      <c r="I666">
        <v>32.246633593196314</v>
      </c>
      <c r="J666">
        <v>38.658717584085068</v>
      </c>
      <c r="K666">
        <v>85.057471264367805</v>
      </c>
      <c r="L666">
        <v>25.917804057293878</v>
      </c>
      <c r="M666">
        <v>55.109046552152215</v>
      </c>
      <c r="N666">
        <v>54.370988246172544</v>
      </c>
      <c r="O666">
        <v>4.1175000000000006</v>
      </c>
      <c r="P666">
        <v>0.19249999999999901</v>
      </c>
      <c r="Q666">
        <v>665</v>
      </c>
      <c r="R666">
        <v>5</v>
      </c>
      <c r="S666" t="s">
        <v>24</v>
      </c>
      <c r="T666" t="s">
        <v>774</v>
      </c>
      <c r="U666">
        <v>5000</v>
      </c>
      <c r="V666">
        <v>1000</v>
      </c>
    </row>
    <row r="667" spans="1:22" x14ac:dyDescent="0.3">
      <c r="A667" t="s">
        <v>800</v>
      </c>
      <c r="B667" t="s">
        <v>148</v>
      </c>
      <c r="C667">
        <v>0.85</v>
      </c>
      <c r="D667">
        <v>16.100000000000001</v>
      </c>
      <c r="E667">
        <v>11.96</v>
      </c>
      <c r="F667">
        <v>2.25</v>
      </c>
      <c r="G667">
        <v>54.113856068743281</v>
      </c>
      <c r="H667">
        <v>47.306108442004124</v>
      </c>
      <c r="I667">
        <v>59.355067328136066</v>
      </c>
      <c r="J667">
        <v>54.692137410417928</v>
      </c>
      <c r="K667">
        <v>18.390804597701148</v>
      </c>
      <c r="L667">
        <v>6.0414282728321815</v>
      </c>
      <c r="M667">
        <v>89.535939281171579</v>
      </c>
      <c r="N667">
        <v>54.327754674927149</v>
      </c>
      <c r="O667">
        <v>10.461</v>
      </c>
      <c r="P667">
        <v>1.4990000000000006</v>
      </c>
      <c r="Q667">
        <v>666</v>
      </c>
      <c r="R667">
        <v>20</v>
      </c>
      <c r="S667" t="s">
        <v>24</v>
      </c>
      <c r="T667" t="s">
        <v>107</v>
      </c>
      <c r="U667">
        <v>1000</v>
      </c>
      <c r="V667">
        <v>1000</v>
      </c>
    </row>
    <row r="668" spans="1:22" x14ac:dyDescent="0.3">
      <c r="A668" t="s">
        <v>801</v>
      </c>
      <c r="B668" t="s">
        <v>35</v>
      </c>
      <c r="C668">
        <v>-0.65</v>
      </c>
      <c r="D668">
        <v>8.69</v>
      </c>
      <c r="E668">
        <v>6.23</v>
      </c>
      <c r="F668">
        <v>1.38</v>
      </c>
      <c r="G668">
        <v>50.891514500537049</v>
      </c>
      <c r="H668">
        <v>34.591626630061775</v>
      </c>
      <c r="I668">
        <v>39.050318922749824</v>
      </c>
      <c r="J668">
        <v>40.080950350500856</v>
      </c>
      <c r="K668">
        <v>51.724137931034477</v>
      </c>
      <c r="L668">
        <v>8.4239756475426582</v>
      </c>
      <c r="M668">
        <v>85.409246176733177</v>
      </c>
      <c r="N668">
        <v>54.323821202192342</v>
      </c>
      <c r="O668">
        <v>9.2084615384615383</v>
      </c>
      <c r="P668">
        <v>-2.9784615384615378</v>
      </c>
      <c r="Q668">
        <v>667</v>
      </c>
      <c r="R668">
        <v>12</v>
      </c>
      <c r="S668" t="s">
        <v>24</v>
      </c>
      <c r="T668" t="s">
        <v>134</v>
      </c>
      <c r="U668">
        <v>1000</v>
      </c>
      <c r="V668">
        <v>1000</v>
      </c>
    </row>
    <row r="669" spans="1:22" x14ac:dyDescent="0.3">
      <c r="A669" t="s">
        <v>802</v>
      </c>
      <c r="B669" t="s">
        <v>272</v>
      </c>
      <c r="C669">
        <v>-0.27</v>
      </c>
      <c r="D669">
        <v>13.63</v>
      </c>
      <c r="E669">
        <v>8.32</v>
      </c>
      <c r="F669">
        <v>1.9</v>
      </c>
      <c r="G669">
        <v>51.707841031149293</v>
      </c>
      <c r="H669">
        <v>43.067947838023343</v>
      </c>
      <c r="I669">
        <v>46.456413890857547</v>
      </c>
      <c r="J669">
        <v>46.490159503065634</v>
      </c>
      <c r="K669">
        <v>31.800766283524908</v>
      </c>
      <c r="L669">
        <v>4.353292692312082</v>
      </c>
      <c r="M669">
        <v>92.459875876697168</v>
      </c>
      <c r="N669">
        <v>54.310240291588336</v>
      </c>
      <c r="O669">
        <v>10.044583333333334</v>
      </c>
      <c r="P669">
        <v>-1.7245833333333334</v>
      </c>
      <c r="Q669">
        <v>668</v>
      </c>
      <c r="R669">
        <v>21</v>
      </c>
      <c r="S669" t="s">
        <v>24</v>
      </c>
      <c r="T669" t="s">
        <v>273</v>
      </c>
      <c r="U669">
        <v>5000</v>
      </c>
      <c r="V669">
        <v>1000</v>
      </c>
    </row>
    <row r="670" spans="1:22" x14ac:dyDescent="0.3">
      <c r="A670" t="s">
        <v>803</v>
      </c>
      <c r="B670" t="s">
        <v>202</v>
      </c>
      <c r="C670">
        <v>-2.08</v>
      </c>
      <c r="D670">
        <v>13.76</v>
      </c>
      <c r="E670">
        <v>9.9700000000000006</v>
      </c>
      <c r="F670">
        <v>2.0099999999999998</v>
      </c>
      <c r="G670">
        <v>47.819548872180448</v>
      </c>
      <c r="H670">
        <v>43.291008922443382</v>
      </c>
      <c r="I670">
        <v>52.303330970942596</v>
      </c>
      <c r="J670">
        <v>48.702877936640405</v>
      </c>
      <c r="K670">
        <v>27.586206896551737</v>
      </c>
      <c r="L670">
        <v>4.5061795476029278</v>
      </c>
      <c r="M670">
        <v>92.195068075523992</v>
      </c>
      <c r="N670">
        <v>54.29675771133914</v>
      </c>
      <c r="O670">
        <v>10.023387096774194</v>
      </c>
      <c r="P670">
        <v>-5.3387096774192955E-2</v>
      </c>
      <c r="Q670">
        <v>669</v>
      </c>
      <c r="R670">
        <v>20</v>
      </c>
      <c r="S670" t="s">
        <v>24</v>
      </c>
      <c r="T670" t="s">
        <v>78</v>
      </c>
      <c r="U670">
        <v>1000</v>
      </c>
      <c r="V670">
        <v>1000</v>
      </c>
    </row>
    <row r="671" spans="1:22" x14ac:dyDescent="0.3">
      <c r="A671" t="s">
        <v>804</v>
      </c>
      <c r="B671" t="s">
        <v>148</v>
      </c>
      <c r="C671">
        <v>0.86</v>
      </c>
      <c r="D671">
        <v>16.100000000000001</v>
      </c>
      <c r="E671">
        <v>11.75</v>
      </c>
      <c r="F671">
        <v>2.25</v>
      </c>
      <c r="G671">
        <v>54.13533834586466</v>
      </c>
      <c r="H671">
        <v>47.306108442004124</v>
      </c>
      <c r="I671">
        <v>58.610914245216165</v>
      </c>
      <c r="J671">
        <v>54.324357324382255</v>
      </c>
      <c r="K671">
        <v>18.390804597701148</v>
      </c>
      <c r="L671">
        <v>5.6930922318041954</v>
      </c>
      <c r="M671">
        <v>90.139275002339446</v>
      </c>
      <c r="N671">
        <v>54.294698562201276</v>
      </c>
      <c r="O671">
        <v>10.461</v>
      </c>
      <c r="P671">
        <v>1.2889999999999997</v>
      </c>
      <c r="Q671">
        <v>670</v>
      </c>
      <c r="R671">
        <v>21</v>
      </c>
      <c r="S671" t="s">
        <v>24</v>
      </c>
      <c r="T671" t="s">
        <v>107</v>
      </c>
      <c r="U671">
        <v>1000</v>
      </c>
      <c r="V671">
        <v>1000</v>
      </c>
    </row>
    <row r="672" spans="1:22" x14ac:dyDescent="0.3">
      <c r="A672" t="s">
        <v>805</v>
      </c>
      <c r="B672" t="s">
        <v>148</v>
      </c>
      <c r="C672">
        <v>-7.47</v>
      </c>
      <c r="D672">
        <v>12.42</v>
      </c>
      <c r="E672">
        <v>12.17</v>
      </c>
      <c r="F672">
        <v>1.69</v>
      </c>
      <c r="G672">
        <v>36.240601503759393</v>
      </c>
      <c r="H672">
        <v>40.991763898421418</v>
      </c>
      <c r="I672">
        <v>60.099220411055988</v>
      </c>
      <c r="J672">
        <v>49.595259675806304</v>
      </c>
      <c r="K672">
        <v>39.846743295019159</v>
      </c>
      <c r="L672">
        <v>12.628685169395654</v>
      </c>
      <c r="M672">
        <v>78.126475653815149</v>
      </c>
      <c r="N672">
        <v>54.290934575111734</v>
      </c>
      <c r="O672">
        <v>10.461</v>
      </c>
      <c r="P672">
        <v>1.7089999999999996</v>
      </c>
      <c r="Q672">
        <v>671</v>
      </c>
      <c r="R672">
        <v>22</v>
      </c>
      <c r="S672" t="s">
        <v>24</v>
      </c>
      <c r="T672" t="s">
        <v>78</v>
      </c>
      <c r="U672">
        <v>5000</v>
      </c>
      <c r="V672">
        <v>1000</v>
      </c>
    </row>
    <row r="673" spans="1:22" x14ac:dyDescent="0.3">
      <c r="A673" t="s">
        <v>806</v>
      </c>
      <c r="B673" t="s">
        <v>148</v>
      </c>
      <c r="C673">
        <v>-7.47</v>
      </c>
      <c r="D673">
        <v>12.42</v>
      </c>
      <c r="E673">
        <v>12.02</v>
      </c>
      <c r="F673">
        <v>1.69</v>
      </c>
      <c r="G673">
        <v>36.240601503759393</v>
      </c>
      <c r="H673">
        <v>40.991763898421418</v>
      </c>
      <c r="I673">
        <v>59.567682494684618</v>
      </c>
      <c r="J673">
        <v>49.329490717620615</v>
      </c>
      <c r="K673">
        <v>39.846743295019159</v>
      </c>
      <c r="L673">
        <v>12.327415269448773</v>
      </c>
      <c r="M673">
        <v>78.64829042731435</v>
      </c>
      <c r="N673">
        <v>54.288503789393687</v>
      </c>
      <c r="O673">
        <v>10.461</v>
      </c>
      <c r="P673">
        <v>1.5589999999999993</v>
      </c>
      <c r="Q673">
        <v>672</v>
      </c>
      <c r="R673">
        <v>23</v>
      </c>
      <c r="S673" t="s">
        <v>24</v>
      </c>
      <c r="T673" t="s">
        <v>78</v>
      </c>
      <c r="U673">
        <v>5000</v>
      </c>
      <c r="V673">
        <v>1000</v>
      </c>
    </row>
    <row r="674" spans="1:22" x14ac:dyDescent="0.3">
      <c r="A674" t="s">
        <v>807</v>
      </c>
      <c r="B674" t="s">
        <v>202</v>
      </c>
      <c r="C674">
        <v>-2.08</v>
      </c>
      <c r="D674">
        <v>13.75</v>
      </c>
      <c r="E674">
        <v>9.77</v>
      </c>
      <c r="F674">
        <v>2.0099999999999998</v>
      </c>
      <c r="G674">
        <v>47.819548872180448</v>
      </c>
      <c r="H674">
        <v>43.273850377487996</v>
      </c>
      <c r="I674">
        <v>51.594613749114096</v>
      </c>
      <c r="J674">
        <v>48.343371762239535</v>
      </c>
      <c r="K674">
        <v>27.586206896551737</v>
      </c>
      <c r="L674">
        <v>4.1663251736652738</v>
      </c>
      <c r="M674">
        <v>92.78371311835852</v>
      </c>
      <c r="N674">
        <v>54.26416588484733</v>
      </c>
      <c r="O674">
        <v>10.023387096774194</v>
      </c>
      <c r="P674">
        <v>-0.25338709677419402</v>
      </c>
      <c r="Q674">
        <v>673</v>
      </c>
      <c r="R674">
        <v>21</v>
      </c>
      <c r="S674" t="s">
        <v>24</v>
      </c>
      <c r="T674" t="s">
        <v>78</v>
      </c>
      <c r="U674">
        <v>1000</v>
      </c>
      <c r="V674">
        <v>1000</v>
      </c>
    </row>
    <row r="675" spans="1:22" x14ac:dyDescent="0.3">
      <c r="A675" t="s">
        <v>808</v>
      </c>
      <c r="B675" t="s">
        <v>358</v>
      </c>
      <c r="C675">
        <v>4.7300000000000004</v>
      </c>
      <c r="D675">
        <v>3.01</v>
      </c>
      <c r="E675">
        <v>4.33</v>
      </c>
      <c r="F675">
        <v>0.66</v>
      </c>
      <c r="G675">
        <v>62.448979591836732</v>
      </c>
      <c r="H675">
        <v>24.845573095401512</v>
      </c>
      <c r="I675">
        <v>32.317505315379158</v>
      </c>
      <c r="J675">
        <v>36.102220504677376</v>
      </c>
      <c r="K675">
        <v>79.310344827586206</v>
      </c>
      <c r="L675">
        <v>19.907082882351659</v>
      </c>
      <c r="M675">
        <v>65.519921017282229</v>
      </c>
      <c r="N675">
        <v>54.258676713555801</v>
      </c>
      <c r="O675">
        <v>5.0554237288135591</v>
      </c>
      <c r="P675">
        <v>-0.72542372881355899</v>
      </c>
      <c r="Q675">
        <v>674</v>
      </c>
      <c r="R675">
        <v>33</v>
      </c>
      <c r="S675" t="s">
        <v>24</v>
      </c>
      <c r="T675" t="s">
        <v>359</v>
      </c>
      <c r="U675">
        <v>1000</v>
      </c>
      <c r="V675">
        <v>1000</v>
      </c>
    </row>
    <row r="676" spans="1:22" x14ac:dyDescent="0.3">
      <c r="A676" t="s">
        <v>809</v>
      </c>
      <c r="B676" t="s">
        <v>202</v>
      </c>
      <c r="C676">
        <v>7.47</v>
      </c>
      <c r="D676">
        <v>15.45</v>
      </c>
      <c r="E676">
        <v>8.61</v>
      </c>
      <c r="F676">
        <v>1.79</v>
      </c>
      <c r="G676">
        <v>68.335123523093444</v>
      </c>
      <c r="H676">
        <v>46.190803019903917</v>
      </c>
      <c r="I676">
        <v>47.484053862508851</v>
      </c>
      <c r="J676">
        <v>51.266292541844294</v>
      </c>
      <c r="K676">
        <v>36.015325670498079</v>
      </c>
      <c r="L676">
        <v>12.428532591584238</v>
      </c>
      <c r="M676">
        <v>78.473150087850399</v>
      </c>
      <c r="N676">
        <v>54.255265210509265</v>
      </c>
      <c r="O676">
        <v>10.023387096774194</v>
      </c>
      <c r="P676">
        <v>-1.4133870967741942</v>
      </c>
      <c r="Q676">
        <v>675</v>
      </c>
      <c r="R676">
        <v>22</v>
      </c>
      <c r="S676" t="s">
        <v>24</v>
      </c>
      <c r="T676" t="s">
        <v>107</v>
      </c>
      <c r="U676">
        <v>1000</v>
      </c>
      <c r="V676">
        <v>1000</v>
      </c>
    </row>
    <row r="677" spans="1:22" x14ac:dyDescent="0.3">
      <c r="A677" t="s">
        <v>810</v>
      </c>
      <c r="B677" t="s">
        <v>202</v>
      </c>
      <c r="C677">
        <v>7.47</v>
      </c>
      <c r="D677">
        <v>15.45</v>
      </c>
      <c r="E677">
        <v>8.61</v>
      </c>
      <c r="F677">
        <v>1.79</v>
      </c>
      <c r="G677">
        <v>68.335123523093444</v>
      </c>
      <c r="H677">
        <v>46.190803019903917</v>
      </c>
      <c r="I677">
        <v>47.484053862508851</v>
      </c>
      <c r="J677">
        <v>51.266292541844294</v>
      </c>
      <c r="K677">
        <v>36.015325670498079</v>
      </c>
      <c r="L677">
        <v>12.428532591584238</v>
      </c>
      <c r="M677">
        <v>78.473150087850399</v>
      </c>
      <c r="N677">
        <v>54.255265210509265</v>
      </c>
      <c r="O677">
        <v>10.023387096774194</v>
      </c>
      <c r="P677">
        <v>-1.4133870967741942</v>
      </c>
      <c r="Q677">
        <v>675</v>
      </c>
      <c r="R677">
        <v>22</v>
      </c>
      <c r="S677" t="s">
        <v>24</v>
      </c>
      <c r="T677" t="s">
        <v>107</v>
      </c>
      <c r="U677">
        <v>1000</v>
      </c>
      <c r="V677">
        <v>1000</v>
      </c>
    </row>
    <row r="678" spans="1:22" x14ac:dyDescent="0.3">
      <c r="A678" t="s">
        <v>811</v>
      </c>
      <c r="B678" t="s">
        <v>126</v>
      </c>
      <c r="C678">
        <v>4.6100000000000003</v>
      </c>
      <c r="D678">
        <v>14.89</v>
      </c>
      <c r="E678">
        <v>8.8699999999999992</v>
      </c>
      <c r="F678">
        <v>1.89</v>
      </c>
      <c r="G678">
        <v>62.191192266380234</v>
      </c>
      <c r="H678">
        <v>45.229924502402206</v>
      </c>
      <c r="I678">
        <v>48.40538625088589</v>
      </c>
      <c r="J678">
        <v>50.209908929439649</v>
      </c>
      <c r="K678">
        <v>32.18390804597702</v>
      </c>
      <c r="L678">
        <v>9.0168047645704608</v>
      </c>
      <c r="M678">
        <v>84.382436025834835</v>
      </c>
      <c r="N678">
        <v>54.246540482672792</v>
      </c>
      <c r="O678">
        <v>11.362272727272726</v>
      </c>
      <c r="P678">
        <v>-2.4922727272727272</v>
      </c>
      <c r="Q678">
        <v>677</v>
      </c>
      <c r="R678">
        <v>33</v>
      </c>
      <c r="S678" t="s">
        <v>24</v>
      </c>
      <c r="T678" t="s">
        <v>127</v>
      </c>
      <c r="U678">
        <v>5000</v>
      </c>
      <c r="V678">
        <v>1000</v>
      </c>
    </row>
    <row r="679" spans="1:22" x14ac:dyDescent="0.3">
      <c r="A679" t="s">
        <v>812</v>
      </c>
      <c r="B679" t="s">
        <v>272</v>
      </c>
      <c r="C679">
        <v>-3.85</v>
      </c>
      <c r="D679">
        <v>8.5500000000000007</v>
      </c>
      <c r="E679">
        <v>11.18</v>
      </c>
      <c r="F679">
        <v>1.65</v>
      </c>
      <c r="G679">
        <v>44.017185821697097</v>
      </c>
      <c r="H679">
        <v>34.351407000686343</v>
      </c>
      <c r="I679">
        <v>56.59107016300495</v>
      </c>
      <c r="J679">
        <v>47.404394346047795</v>
      </c>
      <c r="K679">
        <v>41.37931034482758</v>
      </c>
      <c r="L679">
        <v>11.1514757260992</v>
      </c>
      <c r="M679">
        <v>80.685077463025152</v>
      </c>
      <c r="N679">
        <v>54.218294124987082</v>
      </c>
      <c r="O679">
        <v>10.044583333333334</v>
      </c>
      <c r="P679">
        <v>1.1354166666666661</v>
      </c>
      <c r="Q679">
        <v>678</v>
      </c>
      <c r="R679">
        <v>22</v>
      </c>
      <c r="S679" t="s">
        <v>24</v>
      </c>
      <c r="T679" t="s">
        <v>291</v>
      </c>
      <c r="U679">
        <v>1000</v>
      </c>
      <c r="V679">
        <v>1000</v>
      </c>
    </row>
    <row r="680" spans="1:22" x14ac:dyDescent="0.3">
      <c r="A680" t="s">
        <v>813</v>
      </c>
      <c r="B680" t="s">
        <v>358</v>
      </c>
      <c r="C680">
        <v>4.43</v>
      </c>
      <c r="D680">
        <v>2.61</v>
      </c>
      <c r="E680">
        <v>4.72</v>
      </c>
      <c r="F680">
        <v>0.7</v>
      </c>
      <c r="G680">
        <v>61.804511278195484</v>
      </c>
      <c r="H680">
        <v>24.159231297186</v>
      </c>
      <c r="I680">
        <v>33.699503897944716</v>
      </c>
      <c r="J680">
        <v>36.45842359376725</v>
      </c>
      <c r="K680">
        <v>77.777777777777786</v>
      </c>
      <c r="L680">
        <v>19.57070662150165</v>
      </c>
      <c r="M680">
        <v>66.102541791534492</v>
      </c>
      <c r="N680">
        <v>54.199291689211698</v>
      </c>
      <c r="O680">
        <v>5.0554237288135591</v>
      </c>
      <c r="P680">
        <v>-0.33542372881355931</v>
      </c>
      <c r="Q680">
        <v>679</v>
      </c>
      <c r="R680">
        <v>34</v>
      </c>
      <c r="S680" t="s">
        <v>24</v>
      </c>
      <c r="T680" t="s">
        <v>575</v>
      </c>
      <c r="U680">
        <v>1000</v>
      </c>
      <c r="V680">
        <v>1000</v>
      </c>
    </row>
    <row r="681" spans="1:22" x14ac:dyDescent="0.3">
      <c r="A681" t="s">
        <v>814</v>
      </c>
      <c r="B681" t="s">
        <v>358</v>
      </c>
      <c r="C681">
        <v>4.43</v>
      </c>
      <c r="D681">
        <v>2.61</v>
      </c>
      <c r="E681">
        <v>4.72</v>
      </c>
      <c r="F681">
        <v>0.7</v>
      </c>
      <c r="G681">
        <v>61.804511278195484</v>
      </c>
      <c r="H681">
        <v>24.159231297186</v>
      </c>
      <c r="I681">
        <v>33.699503897944716</v>
      </c>
      <c r="J681">
        <v>36.45842359376725</v>
      </c>
      <c r="K681">
        <v>77.777777777777786</v>
      </c>
      <c r="L681">
        <v>19.57070662150165</v>
      </c>
      <c r="M681">
        <v>66.102541791534492</v>
      </c>
      <c r="N681">
        <v>54.199291689211698</v>
      </c>
      <c r="O681">
        <v>5.0554237288135591</v>
      </c>
      <c r="P681">
        <v>-0.33542372881355931</v>
      </c>
      <c r="Q681">
        <v>679</v>
      </c>
      <c r="R681">
        <v>34</v>
      </c>
      <c r="S681" t="s">
        <v>24</v>
      </c>
      <c r="T681" t="s">
        <v>575</v>
      </c>
      <c r="U681">
        <v>1000</v>
      </c>
      <c r="V681">
        <v>1000</v>
      </c>
    </row>
    <row r="682" spans="1:22" x14ac:dyDescent="0.3">
      <c r="A682" t="s">
        <v>815</v>
      </c>
      <c r="B682" t="s">
        <v>383</v>
      </c>
      <c r="C682">
        <v>3.61</v>
      </c>
      <c r="D682">
        <v>7.15</v>
      </c>
      <c r="E682">
        <v>6.68</v>
      </c>
      <c r="F682">
        <v>1.22</v>
      </c>
      <c r="G682">
        <v>60.042964554242751</v>
      </c>
      <c r="H682">
        <v>31.949210706932057</v>
      </c>
      <c r="I682">
        <v>40.64493267186392</v>
      </c>
      <c r="J682">
        <v>41.915822458860127</v>
      </c>
      <c r="K682">
        <v>57.854406130268202</v>
      </c>
      <c r="L682">
        <v>14.382618135759502</v>
      </c>
      <c r="M682">
        <v>75.088574643002971</v>
      </c>
      <c r="N682">
        <v>54.193656422747857</v>
      </c>
      <c r="O682">
        <v>6.1480952380952392</v>
      </c>
      <c r="P682">
        <v>0.53190476190476055</v>
      </c>
      <c r="Q682">
        <v>681</v>
      </c>
      <c r="R682">
        <v>9</v>
      </c>
      <c r="S682" t="s">
        <v>24</v>
      </c>
      <c r="T682" t="s">
        <v>816</v>
      </c>
      <c r="U682">
        <v>5000</v>
      </c>
      <c r="V682">
        <v>1000</v>
      </c>
    </row>
    <row r="683" spans="1:22" x14ac:dyDescent="0.3">
      <c r="A683" t="s">
        <v>817</v>
      </c>
      <c r="B683" t="s">
        <v>161</v>
      </c>
      <c r="C683">
        <v>3.85</v>
      </c>
      <c r="D683">
        <v>1.42</v>
      </c>
      <c r="E683">
        <v>4.38</v>
      </c>
      <c r="F683">
        <v>0.61</v>
      </c>
      <c r="G683">
        <v>60.558539205155746</v>
      </c>
      <c r="H683">
        <v>22.117364447494854</v>
      </c>
      <c r="I683">
        <v>32.494684620836281</v>
      </c>
      <c r="J683">
        <v>34.994259485697746</v>
      </c>
      <c r="K683">
        <v>81.226053639846739</v>
      </c>
      <c r="L683">
        <v>19.887150897245572</v>
      </c>
      <c r="M683">
        <v>65.554444228181694</v>
      </c>
      <c r="N683">
        <v>54.192254209855982</v>
      </c>
      <c r="O683">
        <v>4.9189795918367345</v>
      </c>
      <c r="P683">
        <v>-0.53897959183673461</v>
      </c>
      <c r="Q683">
        <v>682</v>
      </c>
      <c r="R683">
        <v>27</v>
      </c>
      <c r="S683" t="s">
        <v>24</v>
      </c>
      <c r="T683" t="s">
        <v>535</v>
      </c>
      <c r="U683">
        <v>5000</v>
      </c>
      <c r="V683">
        <v>1000</v>
      </c>
    </row>
    <row r="684" spans="1:22" x14ac:dyDescent="0.3">
      <c r="A684" t="s">
        <v>818</v>
      </c>
      <c r="B684" t="s">
        <v>161</v>
      </c>
      <c r="C684">
        <v>5.43</v>
      </c>
      <c r="D684">
        <v>3.64</v>
      </c>
      <c r="E684">
        <v>5.41</v>
      </c>
      <c r="F684">
        <v>0.81</v>
      </c>
      <c r="G684">
        <v>63.952738990332968</v>
      </c>
      <c r="H684">
        <v>25.926561427590944</v>
      </c>
      <c r="I684">
        <v>36.144578313253007</v>
      </c>
      <c r="J684">
        <v>38.640805382970385</v>
      </c>
      <c r="K684">
        <v>73.563218390804593</v>
      </c>
      <c r="L684">
        <v>19.679481062565124</v>
      </c>
      <c r="M684">
        <v>65.914138933047653</v>
      </c>
      <c r="N684">
        <v>54.189742022448257</v>
      </c>
      <c r="O684">
        <v>4.9189795918367345</v>
      </c>
      <c r="P684">
        <v>0.49102040816326564</v>
      </c>
      <c r="Q684">
        <v>683</v>
      </c>
      <c r="R684">
        <v>28</v>
      </c>
      <c r="S684" t="s">
        <v>24</v>
      </c>
      <c r="T684" t="s">
        <v>162</v>
      </c>
      <c r="U684">
        <v>5000</v>
      </c>
      <c r="V684">
        <v>1000</v>
      </c>
    </row>
    <row r="685" spans="1:22" x14ac:dyDescent="0.3">
      <c r="A685" t="s">
        <v>819</v>
      </c>
      <c r="B685" t="s">
        <v>195</v>
      </c>
      <c r="C685">
        <v>3.04</v>
      </c>
      <c r="D685">
        <v>15.07</v>
      </c>
      <c r="E685">
        <v>11.24</v>
      </c>
      <c r="F685">
        <v>2.17</v>
      </c>
      <c r="G685">
        <v>58.818474758324378</v>
      </c>
      <c r="H685">
        <v>45.538778311599181</v>
      </c>
      <c r="I685">
        <v>56.80368532955351</v>
      </c>
      <c r="J685">
        <v>53.82717110992138</v>
      </c>
      <c r="K685">
        <v>21.455938697318011</v>
      </c>
      <c r="L685">
        <v>7.1566733925128618</v>
      </c>
      <c r="M685">
        <v>87.604278070991398</v>
      </c>
      <c r="N685">
        <v>54.178639747038041</v>
      </c>
      <c r="O685">
        <v>10.412619047619048</v>
      </c>
      <c r="P685">
        <v>0.82738095238095255</v>
      </c>
      <c r="Q685">
        <v>684</v>
      </c>
      <c r="R685">
        <v>22</v>
      </c>
      <c r="S685" t="s">
        <v>24</v>
      </c>
      <c r="T685" t="s">
        <v>196</v>
      </c>
      <c r="U685">
        <v>5000</v>
      </c>
      <c r="V685">
        <v>1000</v>
      </c>
    </row>
    <row r="686" spans="1:22" x14ac:dyDescent="0.3">
      <c r="A686" t="s">
        <v>820</v>
      </c>
      <c r="B686" t="s">
        <v>161</v>
      </c>
      <c r="C686">
        <v>5.43</v>
      </c>
      <c r="D686">
        <v>3.63</v>
      </c>
      <c r="E686">
        <v>5.4</v>
      </c>
      <c r="F686">
        <v>0.81</v>
      </c>
      <c r="G686">
        <v>63.952738990332968</v>
      </c>
      <c r="H686">
        <v>25.909402882635558</v>
      </c>
      <c r="I686">
        <v>36.109142452161585</v>
      </c>
      <c r="J686">
        <v>38.617939888938054</v>
      </c>
      <c r="K686">
        <v>73.563218390804593</v>
      </c>
      <c r="L686">
        <v>19.691774838198551</v>
      </c>
      <c r="M686">
        <v>65.892845489033704</v>
      </c>
      <c r="N686">
        <v>54.172985914428601</v>
      </c>
      <c r="O686">
        <v>4.9189795918367345</v>
      </c>
      <c r="P686">
        <v>0.48102040816326586</v>
      </c>
      <c r="Q686">
        <v>685</v>
      </c>
      <c r="R686">
        <v>29</v>
      </c>
      <c r="S686" t="s">
        <v>24</v>
      </c>
      <c r="T686" t="s">
        <v>162</v>
      </c>
      <c r="U686">
        <v>5000</v>
      </c>
      <c r="V686">
        <v>1000</v>
      </c>
    </row>
    <row r="687" spans="1:22" x14ac:dyDescent="0.3">
      <c r="A687" t="s">
        <v>821</v>
      </c>
      <c r="B687" t="s">
        <v>161</v>
      </c>
      <c r="C687">
        <v>3.85</v>
      </c>
      <c r="D687">
        <v>1.42</v>
      </c>
      <c r="E687">
        <v>4.3600000000000003</v>
      </c>
      <c r="F687">
        <v>0.61</v>
      </c>
      <c r="G687">
        <v>60.558539205155746</v>
      </c>
      <c r="H687">
        <v>22.117364447494854</v>
      </c>
      <c r="I687">
        <v>32.423812898653438</v>
      </c>
      <c r="J687">
        <v>34.958823624606325</v>
      </c>
      <c r="K687">
        <v>81.226053639846739</v>
      </c>
      <c r="L687">
        <v>19.897695095861426</v>
      </c>
      <c r="M687">
        <v>65.53618114045392</v>
      </c>
      <c r="N687">
        <v>54.169970507378331</v>
      </c>
      <c r="O687">
        <v>4.9189795918367345</v>
      </c>
      <c r="P687">
        <v>-0.55897959183673418</v>
      </c>
      <c r="Q687">
        <v>686</v>
      </c>
      <c r="R687">
        <v>30</v>
      </c>
      <c r="S687" t="s">
        <v>24</v>
      </c>
      <c r="T687" t="s">
        <v>535</v>
      </c>
      <c r="U687">
        <v>5000</v>
      </c>
      <c r="V687">
        <v>1000</v>
      </c>
    </row>
    <row r="688" spans="1:22" x14ac:dyDescent="0.3">
      <c r="A688" t="s">
        <v>822</v>
      </c>
      <c r="B688" t="s">
        <v>161</v>
      </c>
      <c r="C688">
        <v>5.2</v>
      </c>
      <c r="D688">
        <v>3.63</v>
      </c>
      <c r="E688">
        <v>5.31</v>
      </c>
      <c r="F688">
        <v>0.81</v>
      </c>
      <c r="G688">
        <v>63.458646616541344</v>
      </c>
      <c r="H688">
        <v>25.909402882635558</v>
      </c>
      <c r="I688">
        <v>35.790219702338767</v>
      </c>
      <c r="J688">
        <v>38.35966003926832</v>
      </c>
      <c r="K688">
        <v>73.563218390804593</v>
      </c>
      <c r="L688">
        <v>19.464146928474083</v>
      </c>
      <c r="M688">
        <v>66.287108593897187</v>
      </c>
      <c r="N688">
        <v>54.142411765809605</v>
      </c>
      <c r="O688">
        <v>4.9189795918367345</v>
      </c>
      <c r="P688">
        <v>0.39102040816326511</v>
      </c>
      <c r="Q688">
        <v>687</v>
      </c>
      <c r="R688">
        <v>31</v>
      </c>
      <c r="S688" t="s">
        <v>24</v>
      </c>
      <c r="T688" t="s">
        <v>535</v>
      </c>
      <c r="U688">
        <v>1000</v>
      </c>
      <c r="V688">
        <v>1000</v>
      </c>
    </row>
    <row r="689" spans="1:22" x14ac:dyDescent="0.3">
      <c r="A689" t="s">
        <v>823</v>
      </c>
      <c r="B689" t="s">
        <v>520</v>
      </c>
      <c r="C689">
        <v>5.4</v>
      </c>
      <c r="D689">
        <v>2.48</v>
      </c>
      <c r="E689">
        <v>4.6500000000000004</v>
      </c>
      <c r="F689">
        <v>0.66</v>
      </c>
      <c r="G689">
        <v>63.888292158968852</v>
      </c>
      <c r="H689">
        <v>23.936170212765962</v>
      </c>
      <c r="I689">
        <v>33.451452870304749</v>
      </c>
      <c r="J689">
        <v>36.684235930775934</v>
      </c>
      <c r="K689">
        <v>79.310344827586206</v>
      </c>
      <c r="L689">
        <v>20.869091331205151</v>
      </c>
      <c r="M689">
        <v>63.853673506557463</v>
      </c>
      <c r="N689">
        <v>54.133122548923886</v>
      </c>
      <c r="O689">
        <v>4.625</v>
      </c>
      <c r="P689">
        <v>2.5000000000000355E-2</v>
      </c>
      <c r="Q689">
        <v>688</v>
      </c>
      <c r="R689">
        <v>11</v>
      </c>
      <c r="S689" t="s">
        <v>24</v>
      </c>
      <c r="T689" t="s">
        <v>788</v>
      </c>
      <c r="U689">
        <v>5000</v>
      </c>
      <c r="V689">
        <v>1000</v>
      </c>
    </row>
    <row r="690" spans="1:22" x14ac:dyDescent="0.3">
      <c r="A690" t="s">
        <v>824</v>
      </c>
      <c r="B690" t="s">
        <v>77</v>
      </c>
      <c r="C690">
        <v>7.06</v>
      </c>
      <c r="D690">
        <v>15.2</v>
      </c>
      <c r="E690">
        <v>8.5</v>
      </c>
      <c r="F690">
        <v>1.79</v>
      </c>
      <c r="G690">
        <v>67.454350161117077</v>
      </c>
      <c r="H690">
        <v>45.761839396019219</v>
      </c>
      <c r="I690">
        <v>47.094259390503183</v>
      </c>
      <c r="J690">
        <v>50.766551546280773</v>
      </c>
      <c r="K690">
        <v>36.015325670498079</v>
      </c>
      <c r="L690">
        <v>12.157807248315956</v>
      </c>
      <c r="M690">
        <v>78.942060137287598</v>
      </c>
      <c r="N690">
        <v>54.122622225086808</v>
      </c>
      <c r="O690">
        <v>9.0435999999999996</v>
      </c>
      <c r="P690">
        <v>-0.54359999999999964</v>
      </c>
      <c r="Q690">
        <v>689</v>
      </c>
      <c r="R690">
        <v>11</v>
      </c>
      <c r="S690" t="s">
        <v>24</v>
      </c>
      <c r="T690" t="s">
        <v>107</v>
      </c>
      <c r="U690">
        <v>1000</v>
      </c>
      <c r="V690">
        <v>1000</v>
      </c>
    </row>
    <row r="691" spans="1:22" x14ac:dyDescent="0.3">
      <c r="A691" t="s">
        <v>825</v>
      </c>
      <c r="B691" t="s">
        <v>161</v>
      </c>
      <c r="C691">
        <v>3.85</v>
      </c>
      <c r="D691">
        <v>1.42</v>
      </c>
      <c r="E691">
        <v>4.3</v>
      </c>
      <c r="F691">
        <v>0.61</v>
      </c>
      <c r="G691">
        <v>60.558539205155746</v>
      </c>
      <c r="H691">
        <v>22.117364447494854</v>
      </c>
      <c r="I691">
        <v>32.211197732104893</v>
      </c>
      <c r="J691">
        <v>34.852516041332052</v>
      </c>
      <c r="K691">
        <v>81.226053639846739</v>
      </c>
      <c r="L691">
        <v>19.929798275096662</v>
      </c>
      <c r="M691">
        <v>65.48057680293401</v>
      </c>
      <c r="N691">
        <v>54.102915631361213</v>
      </c>
      <c r="O691">
        <v>4.9189795918367345</v>
      </c>
      <c r="P691">
        <v>-0.61897959183673468</v>
      </c>
      <c r="Q691">
        <v>690</v>
      </c>
      <c r="R691">
        <v>32</v>
      </c>
      <c r="S691" t="s">
        <v>24</v>
      </c>
      <c r="T691" t="s">
        <v>535</v>
      </c>
      <c r="U691">
        <v>5000</v>
      </c>
      <c r="V691">
        <v>1000</v>
      </c>
    </row>
    <row r="692" spans="1:22" x14ac:dyDescent="0.3">
      <c r="A692" t="s">
        <v>826</v>
      </c>
      <c r="B692" t="s">
        <v>262</v>
      </c>
      <c r="C692">
        <v>5.63</v>
      </c>
      <c r="D692">
        <v>4.6399999999999997</v>
      </c>
      <c r="E692">
        <v>4.43</v>
      </c>
      <c r="F692">
        <v>0.75</v>
      </c>
      <c r="G692">
        <v>64.382384532760469</v>
      </c>
      <c r="H692">
        <v>27.642415923129722</v>
      </c>
      <c r="I692">
        <v>32.671863926293412</v>
      </c>
      <c r="J692">
        <v>37.505133646637717</v>
      </c>
      <c r="K692">
        <v>75.862068965517238</v>
      </c>
      <c r="L692">
        <v>19.919327957984056</v>
      </c>
      <c r="M692">
        <v>65.498711924144402</v>
      </c>
      <c r="N692">
        <v>54.092762045734268</v>
      </c>
      <c r="O692">
        <v>4.4728846153846158</v>
      </c>
      <c r="P692">
        <v>-4.2884615384616076E-2</v>
      </c>
      <c r="Q692">
        <v>691</v>
      </c>
      <c r="R692">
        <v>40</v>
      </c>
      <c r="S692" t="s">
        <v>24</v>
      </c>
      <c r="T692" t="s">
        <v>263</v>
      </c>
      <c r="U692">
        <v>1000</v>
      </c>
      <c r="V692">
        <v>1000</v>
      </c>
    </row>
    <row r="693" spans="1:22" x14ac:dyDescent="0.3">
      <c r="A693" t="s">
        <v>827</v>
      </c>
      <c r="B693" t="s">
        <v>161</v>
      </c>
      <c r="C693">
        <v>3.85</v>
      </c>
      <c r="D693">
        <v>1.42</v>
      </c>
      <c r="E693">
        <v>4.29</v>
      </c>
      <c r="F693">
        <v>0.61</v>
      </c>
      <c r="G693">
        <v>60.558539205155746</v>
      </c>
      <c r="H693">
        <v>22.117364447494854</v>
      </c>
      <c r="I693">
        <v>32.175761871013464</v>
      </c>
      <c r="J693">
        <v>34.834798110786338</v>
      </c>
      <c r="K693">
        <v>81.226053639846739</v>
      </c>
      <c r="L693">
        <v>19.935217266092902</v>
      </c>
      <c r="M693">
        <v>65.471190835202762</v>
      </c>
      <c r="N693">
        <v>54.091710174155551</v>
      </c>
      <c r="O693">
        <v>4.9189795918367345</v>
      </c>
      <c r="P693">
        <v>-0.62897959183673446</v>
      </c>
      <c r="Q693">
        <v>692</v>
      </c>
      <c r="R693">
        <v>33</v>
      </c>
      <c r="S693" t="s">
        <v>24</v>
      </c>
      <c r="T693" t="s">
        <v>535</v>
      </c>
      <c r="U693">
        <v>5000</v>
      </c>
      <c r="V693">
        <v>1000</v>
      </c>
    </row>
    <row r="694" spans="1:22" x14ac:dyDescent="0.3">
      <c r="A694" t="s">
        <v>828</v>
      </c>
      <c r="B694" t="s">
        <v>77</v>
      </c>
      <c r="C694">
        <v>7.06</v>
      </c>
      <c r="D694">
        <v>15.18</v>
      </c>
      <c r="E694">
        <v>8.4700000000000006</v>
      </c>
      <c r="F694">
        <v>1.79</v>
      </c>
      <c r="G694">
        <v>67.454350161117077</v>
      </c>
      <c r="H694">
        <v>45.727522306108447</v>
      </c>
      <c r="I694">
        <v>46.987951807228917</v>
      </c>
      <c r="J694">
        <v>50.703102627670404</v>
      </c>
      <c r="K694">
        <v>36.015325670498079</v>
      </c>
      <c r="L694">
        <v>12.196428389413228</v>
      </c>
      <c r="M694">
        <v>78.875166358660834</v>
      </c>
      <c r="N694">
        <v>54.074174321124929</v>
      </c>
      <c r="O694">
        <v>9.0435999999999996</v>
      </c>
      <c r="P694">
        <v>-0.573599999999999</v>
      </c>
      <c r="Q694">
        <v>693</v>
      </c>
      <c r="R694">
        <v>12</v>
      </c>
      <c r="S694" t="s">
        <v>24</v>
      </c>
      <c r="T694" t="s">
        <v>107</v>
      </c>
      <c r="U694">
        <v>1000</v>
      </c>
      <c r="V694">
        <v>1000</v>
      </c>
    </row>
    <row r="695" spans="1:22" x14ac:dyDescent="0.3">
      <c r="A695" t="s">
        <v>829</v>
      </c>
      <c r="B695" t="s">
        <v>262</v>
      </c>
      <c r="C695">
        <v>5.63</v>
      </c>
      <c r="D695">
        <v>4.6399999999999997</v>
      </c>
      <c r="E695">
        <v>4.4000000000000004</v>
      </c>
      <c r="F695">
        <v>0.75</v>
      </c>
      <c r="G695">
        <v>64.382384532760469</v>
      </c>
      <c r="H695">
        <v>27.642415923129722</v>
      </c>
      <c r="I695">
        <v>32.565556343019132</v>
      </c>
      <c r="J695">
        <v>37.451979855000573</v>
      </c>
      <c r="K695">
        <v>75.862068965517238</v>
      </c>
      <c r="L695">
        <v>19.943140679968643</v>
      </c>
      <c r="M695">
        <v>65.45746707980058</v>
      </c>
      <c r="N695">
        <v>54.055873938829741</v>
      </c>
      <c r="O695">
        <v>4.4728846153846158</v>
      </c>
      <c r="P695">
        <v>-7.2884615384615437E-2</v>
      </c>
      <c r="Q695">
        <v>694</v>
      </c>
      <c r="R695">
        <v>41</v>
      </c>
      <c r="S695" t="s">
        <v>24</v>
      </c>
      <c r="T695" t="s">
        <v>263</v>
      </c>
      <c r="U695">
        <v>1000</v>
      </c>
      <c r="V695">
        <v>1000</v>
      </c>
    </row>
    <row r="696" spans="1:22" x14ac:dyDescent="0.3">
      <c r="A696" t="s">
        <v>830</v>
      </c>
      <c r="B696" t="s">
        <v>161</v>
      </c>
      <c r="C696">
        <v>5.0999999999999996</v>
      </c>
      <c r="D696">
        <v>3.58</v>
      </c>
      <c r="E696">
        <v>5.21</v>
      </c>
      <c r="F696">
        <v>0.81</v>
      </c>
      <c r="G696">
        <v>63.243823845327597</v>
      </c>
      <c r="H696">
        <v>25.823610157858617</v>
      </c>
      <c r="I696">
        <v>35.43586109142452</v>
      </c>
      <c r="J696">
        <v>38.113778362135363</v>
      </c>
      <c r="K696">
        <v>73.563218390804593</v>
      </c>
      <c r="L696">
        <v>19.433435761371602</v>
      </c>
      <c r="M696">
        <v>66.340301895678408</v>
      </c>
      <c r="N696">
        <v>54.032769252688432</v>
      </c>
      <c r="O696">
        <v>4.9189795918367345</v>
      </c>
      <c r="P696">
        <v>0.29102040816326546</v>
      </c>
      <c r="Q696">
        <v>695</v>
      </c>
      <c r="R696">
        <v>34</v>
      </c>
      <c r="S696" t="s">
        <v>24</v>
      </c>
      <c r="T696" t="s">
        <v>535</v>
      </c>
      <c r="U696">
        <v>1000</v>
      </c>
      <c r="V696">
        <v>1000</v>
      </c>
    </row>
    <row r="697" spans="1:22" x14ac:dyDescent="0.3">
      <c r="A697" t="s">
        <v>831</v>
      </c>
      <c r="B697" t="s">
        <v>51</v>
      </c>
      <c r="C697">
        <v>4.1500000000000004</v>
      </c>
      <c r="D697">
        <v>23</v>
      </c>
      <c r="E697">
        <v>10.47</v>
      </c>
      <c r="F697">
        <v>2.5099999999999998</v>
      </c>
      <c r="G697">
        <v>61.203007518796994</v>
      </c>
      <c r="H697">
        <v>59.145504461221691</v>
      </c>
      <c r="I697">
        <v>54.075124025513823</v>
      </c>
      <c r="J697">
        <v>57.02181485488282</v>
      </c>
      <c r="K697">
        <v>8.4291187739463638</v>
      </c>
      <c r="L697">
        <v>3.6685328513489681</v>
      </c>
      <c r="M697">
        <v>93.645914712228063</v>
      </c>
      <c r="N697">
        <v>54.029665798985015</v>
      </c>
      <c r="O697">
        <v>12.127586206896551</v>
      </c>
      <c r="P697">
        <v>-1.6575862068965499</v>
      </c>
      <c r="Q697">
        <v>696</v>
      </c>
      <c r="R697">
        <v>24</v>
      </c>
      <c r="S697" t="s">
        <v>24</v>
      </c>
      <c r="T697" t="s">
        <v>52</v>
      </c>
      <c r="U697">
        <v>5000</v>
      </c>
      <c r="V697">
        <v>1000</v>
      </c>
    </row>
    <row r="698" spans="1:22" x14ac:dyDescent="0.3">
      <c r="A698" t="s">
        <v>832</v>
      </c>
      <c r="B698" t="s">
        <v>51</v>
      </c>
      <c r="C698">
        <v>4.1500000000000004</v>
      </c>
      <c r="D698">
        <v>23</v>
      </c>
      <c r="E698">
        <v>10.47</v>
      </c>
      <c r="F698">
        <v>2.5099999999999998</v>
      </c>
      <c r="G698">
        <v>61.203007518796994</v>
      </c>
      <c r="H698">
        <v>59.145504461221691</v>
      </c>
      <c r="I698">
        <v>54.075124025513823</v>
      </c>
      <c r="J698">
        <v>57.02181485488282</v>
      </c>
      <c r="K698">
        <v>8.4291187739463638</v>
      </c>
      <c r="L698">
        <v>3.6685328513489681</v>
      </c>
      <c r="M698">
        <v>93.645914712228063</v>
      </c>
      <c r="N698">
        <v>54.029665798985015</v>
      </c>
      <c r="O698">
        <v>12.127586206896551</v>
      </c>
      <c r="P698">
        <v>-1.6575862068965499</v>
      </c>
      <c r="Q698">
        <v>696</v>
      </c>
      <c r="R698">
        <v>24</v>
      </c>
      <c r="S698" t="s">
        <v>24</v>
      </c>
      <c r="T698" t="s">
        <v>52</v>
      </c>
      <c r="U698">
        <v>5000</v>
      </c>
      <c r="V698">
        <v>1000</v>
      </c>
    </row>
    <row r="699" spans="1:22" x14ac:dyDescent="0.3">
      <c r="A699" t="s">
        <v>833</v>
      </c>
      <c r="B699" t="s">
        <v>410</v>
      </c>
      <c r="C699">
        <v>5.81</v>
      </c>
      <c r="D699">
        <v>4.9000000000000004</v>
      </c>
      <c r="E699">
        <v>4.46</v>
      </c>
      <c r="F699">
        <v>0.77</v>
      </c>
      <c r="G699">
        <v>64.769065520945219</v>
      </c>
      <c r="H699">
        <v>28.088538091969806</v>
      </c>
      <c r="I699">
        <v>32.778171509567677</v>
      </c>
      <c r="J699">
        <v>37.769460286563827</v>
      </c>
      <c r="K699">
        <v>75.095785440613028</v>
      </c>
      <c r="L699">
        <v>19.961926483961328</v>
      </c>
      <c r="M699">
        <v>65.424929112824231</v>
      </c>
      <c r="N699">
        <v>54.014908781641232</v>
      </c>
      <c r="O699">
        <v>4.4264935064935065</v>
      </c>
      <c r="P699">
        <v>3.3506493506493484E-2</v>
      </c>
      <c r="Q699">
        <v>698</v>
      </c>
      <c r="R699">
        <v>33</v>
      </c>
      <c r="S699" t="s">
        <v>24</v>
      </c>
      <c r="T699" t="s">
        <v>411</v>
      </c>
      <c r="U699">
        <v>1000</v>
      </c>
      <c r="V699">
        <v>1000</v>
      </c>
    </row>
    <row r="700" spans="1:22" x14ac:dyDescent="0.3">
      <c r="A700" t="s">
        <v>834</v>
      </c>
      <c r="B700" t="s">
        <v>262</v>
      </c>
      <c r="C700">
        <v>5.63</v>
      </c>
      <c r="D700">
        <v>4.6399999999999997</v>
      </c>
      <c r="E700">
        <v>4.3499999999999996</v>
      </c>
      <c r="F700">
        <v>0.75</v>
      </c>
      <c r="G700">
        <v>64.382384532760469</v>
      </c>
      <c r="H700">
        <v>27.642415923129722</v>
      </c>
      <c r="I700">
        <v>32.388377037562009</v>
      </c>
      <c r="J700">
        <v>37.363390202272015</v>
      </c>
      <c r="K700">
        <v>75.862068965517238</v>
      </c>
      <c r="L700">
        <v>19.983184413981551</v>
      </c>
      <c r="M700">
        <v>65.388109297965457</v>
      </c>
      <c r="N700">
        <v>53.994239667006681</v>
      </c>
      <c r="O700">
        <v>4.4728846153846158</v>
      </c>
      <c r="P700">
        <v>-0.12288461538461615</v>
      </c>
      <c r="Q700">
        <v>699</v>
      </c>
      <c r="R700">
        <v>42</v>
      </c>
      <c r="S700" t="s">
        <v>24</v>
      </c>
      <c r="T700" t="s">
        <v>263</v>
      </c>
      <c r="U700">
        <v>1000</v>
      </c>
      <c r="V700">
        <v>1000</v>
      </c>
    </row>
    <row r="701" spans="1:22" x14ac:dyDescent="0.3">
      <c r="A701" t="s">
        <v>835</v>
      </c>
      <c r="B701" t="s">
        <v>126</v>
      </c>
      <c r="C701">
        <v>4.6100000000000003</v>
      </c>
      <c r="D701">
        <v>14.89</v>
      </c>
      <c r="E701">
        <v>8.65</v>
      </c>
      <c r="F701">
        <v>1.89</v>
      </c>
      <c r="G701">
        <v>62.191192266380234</v>
      </c>
      <c r="H701">
        <v>45.229924502402206</v>
      </c>
      <c r="I701">
        <v>47.62579730687456</v>
      </c>
      <c r="J701">
        <v>49.820114457433988</v>
      </c>
      <c r="K701">
        <v>32.18390804597702</v>
      </c>
      <c r="L701">
        <v>9.1794656796475529</v>
      </c>
      <c r="M701">
        <v>84.100699056515666</v>
      </c>
      <c r="N701">
        <v>53.981209004340172</v>
      </c>
      <c r="O701">
        <v>11.362272727272726</v>
      </c>
      <c r="P701">
        <v>-2.7122727272727261</v>
      </c>
      <c r="Q701">
        <v>700</v>
      </c>
      <c r="R701">
        <v>34</v>
      </c>
      <c r="S701" t="s">
        <v>24</v>
      </c>
      <c r="T701" t="s">
        <v>127</v>
      </c>
      <c r="U701">
        <v>5000</v>
      </c>
      <c r="V701">
        <v>1000</v>
      </c>
    </row>
    <row r="702" spans="1:22" x14ac:dyDescent="0.3">
      <c r="A702" t="s">
        <v>836</v>
      </c>
      <c r="B702" t="s">
        <v>195</v>
      </c>
      <c r="C702">
        <v>7.16</v>
      </c>
      <c r="D702">
        <v>15.73</v>
      </c>
      <c r="E702">
        <v>10.09</v>
      </c>
      <c r="F702">
        <v>2.0299999999999998</v>
      </c>
      <c r="G702">
        <v>67.669172932330824</v>
      </c>
      <c r="H702">
        <v>46.671242278654773</v>
      </c>
      <c r="I702">
        <v>52.728561304039687</v>
      </c>
      <c r="J702">
        <v>53.899487922082443</v>
      </c>
      <c r="K702">
        <v>26.819923371647512</v>
      </c>
      <c r="L702">
        <v>10.807605974029793</v>
      </c>
      <c r="M702">
        <v>81.280677344795478</v>
      </c>
      <c r="N702">
        <v>53.974894140151974</v>
      </c>
      <c r="O702">
        <v>10.412619047619048</v>
      </c>
      <c r="P702">
        <v>-0.32261904761904781</v>
      </c>
      <c r="Q702">
        <v>701</v>
      </c>
      <c r="R702">
        <v>23</v>
      </c>
      <c r="S702" t="s">
        <v>24</v>
      </c>
      <c r="T702" t="s">
        <v>196</v>
      </c>
      <c r="U702">
        <v>1000</v>
      </c>
      <c r="V702">
        <v>1000</v>
      </c>
    </row>
    <row r="703" spans="1:22" x14ac:dyDescent="0.3">
      <c r="A703" t="s">
        <v>837</v>
      </c>
      <c r="B703" t="s">
        <v>410</v>
      </c>
      <c r="C703">
        <v>5.72</v>
      </c>
      <c r="D703">
        <v>4.72</v>
      </c>
      <c r="E703">
        <v>4.47</v>
      </c>
      <c r="F703">
        <v>0.77</v>
      </c>
      <c r="G703">
        <v>64.575725026852851</v>
      </c>
      <c r="H703">
        <v>27.779684282772827</v>
      </c>
      <c r="I703">
        <v>32.813607370659106</v>
      </c>
      <c r="J703">
        <v>37.655853975531969</v>
      </c>
      <c r="K703">
        <v>75.095785440613028</v>
      </c>
      <c r="L703">
        <v>19.950443245287584</v>
      </c>
      <c r="M703">
        <v>65.444818665642586</v>
      </c>
      <c r="N703">
        <v>53.963078014329881</v>
      </c>
      <c r="O703">
        <v>4.4264935064935065</v>
      </c>
      <c r="P703">
        <v>4.3506493506493271E-2</v>
      </c>
      <c r="Q703">
        <v>702</v>
      </c>
      <c r="R703">
        <v>34</v>
      </c>
      <c r="S703" t="s">
        <v>24</v>
      </c>
      <c r="T703" t="s">
        <v>411</v>
      </c>
      <c r="U703">
        <v>1000</v>
      </c>
      <c r="V703">
        <v>1000</v>
      </c>
    </row>
    <row r="704" spans="1:22" x14ac:dyDescent="0.3">
      <c r="A704" t="s">
        <v>838</v>
      </c>
      <c r="B704" t="s">
        <v>405</v>
      </c>
      <c r="C704">
        <v>1.0900000000000001</v>
      </c>
      <c r="D704">
        <v>14.5</v>
      </c>
      <c r="E704">
        <v>9.19</v>
      </c>
      <c r="F704">
        <v>2.04</v>
      </c>
      <c r="G704">
        <v>54.629430719656277</v>
      </c>
      <c r="H704">
        <v>44.560741249142076</v>
      </c>
      <c r="I704">
        <v>49.539333805811474</v>
      </c>
      <c r="J704">
        <v>49.063775421579621</v>
      </c>
      <c r="K704">
        <v>26.436781609195403</v>
      </c>
      <c r="L704">
        <v>5.0344476375483982</v>
      </c>
      <c r="M704">
        <v>91.280080903721071</v>
      </c>
      <c r="N704">
        <v>53.961103339018933</v>
      </c>
      <c r="O704">
        <v>12.057857142857143</v>
      </c>
      <c r="P704">
        <v>-2.8678571428571438</v>
      </c>
      <c r="Q704">
        <v>703</v>
      </c>
      <c r="R704">
        <v>13</v>
      </c>
      <c r="S704" t="s">
        <v>24</v>
      </c>
      <c r="T704" t="s">
        <v>406</v>
      </c>
      <c r="U704">
        <v>1000</v>
      </c>
      <c r="V704">
        <v>1000</v>
      </c>
    </row>
    <row r="705" spans="1:22" x14ac:dyDescent="0.3">
      <c r="A705" t="s">
        <v>839</v>
      </c>
      <c r="B705" t="s">
        <v>405</v>
      </c>
      <c r="C705">
        <v>1.0900000000000001</v>
      </c>
      <c r="D705">
        <v>14.5</v>
      </c>
      <c r="E705">
        <v>9.18</v>
      </c>
      <c r="F705">
        <v>2.04</v>
      </c>
      <c r="G705">
        <v>54.629430719656277</v>
      </c>
      <c r="H705">
        <v>44.560741249142076</v>
      </c>
      <c r="I705">
        <v>49.503897944720052</v>
      </c>
      <c r="J705">
        <v>49.046057491033906</v>
      </c>
      <c r="K705">
        <v>26.436781609195403</v>
      </c>
      <c r="L705">
        <v>5.0346200121033027</v>
      </c>
      <c r="M705">
        <v>91.279782342234043</v>
      </c>
      <c r="N705">
        <v>53.952169733374319</v>
      </c>
      <c r="O705">
        <v>12.057857142857143</v>
      </c>
      <c r="P705">
        <v>-2.8778571428571436</v>
      </c>
      <c r="Q705">
        <v>704</v>
      </c>
      <c r="R705">
        <v>14</v>
      </c>
      <c r="S705" t="s">
        <v>24</v>
      </c>
      <c r="T705" t="s">
        <v>406</v>
      </c>
      <c r="U705">
        <v>1000</v>
      </c>
      <c r="V705">
        <v>1000</v>
      </c>
    </row>
    <row r="706" spans="1:22" x14ac:dyDescent="0.3">
      <c r="A706" t="s">
        <v>840</v>
      </c>
      <c r="B706" t="s">
        <v>202</v>
      </c>
      <c r="C706">
        <v>2.96</v>
      </c>
      <c r="D706">
        <v>18.309999999999999</v>
      </c>
      <c r="E706">
        <v>12.17</v>
      </c>
      <c r="F706">
        <v>2.4700000000000002</v>
      </c>
      <c r="G706">
        <v>58.646616541353382</v>
      </c>
      <c r="H706">
        <v>51.098146877144821</v>
      </c>
      <c r="I706">
        <v>60.099220411055988</v>
      </c>
      <c r="J706">
        <v>57.108377576942118</v>
      </c>
      <c r="K706">
        <v>9.9616858237547845</v>
      </c>
      <c r="L706">
        <v>4.8323351331874731</v>
      </c>
      <c r="M706">
        <v>91.630150030119182</v>
      </c>
      <c r="N706">
        <v>53.952147751939549</v>
      </c>
      <c r="O706">
        <v>10.023387096774194</v>
      </c>
      <c r="P706">
        <v>2.1466129032258063</v>
      </c>
      <c r="Q706">
        <v>705</v>
      </c>
      <c r="R706">
        <v>24</v>
      </c>
      <c r="S706" t="s">
        <v>24</v>
      </c>
      <c r="T706" t="s">
        <v>107</v>
      </c>
      <c r="U706">
        <v>1000</v>
      </c>
      <c r="V706">
        <v>1000</v>
      </c>
    </row>
    <row r="707" spans="1:22" x14ac:dyDescent="0.3">
      <c r="A707" t="s">
        <v>841</v>
      </c>
      <c r="B707" t="s">
        <v>202</v>
      </c>
      <c r="C707">
        <v>2.93</v>
      </c>
      <c r="D707">
        <v>18.309999999999999</v>
      </c>
      <c r="E707">
        <v>12.17</v>
      </c>
      <c r="F707">
        <v>2.4700000000000002</v>
      </c>
      <c r="G707">
        <v>58.582169709989252</v>
      </c>
      <c r="H707">
        <v>51.098146877144821</v>
      </c>
      <c r="I707">
        <v>60.099220411055988</v>
      </c>
      <c r="J707">
        <v>57.095488210669288</v>
      </c>
      <c r="K707">
        <v>9.9616858237547845</v>
      </c>
      <c r="L707">
        <v>4.8189100661702184</v>
      </c>
      <c r="M707">
        <v>91.653402928288074</v>
      </c>
      <c r="N707">
        <v>53.951516293345357</v>
      </c>
      <c r="O707">
        <v>10.023387096774194</v>
      </c>
      <c r="P707">
        <v>2.1466129032258063</v>
      </c>
      <c r="Q707">
        <v>706</v>
      </c>
      <c r="R707">
        <v>25</v>
      </c>
      <c r="S707" t="s">
        <v>24</v>
      </c>
      <c r="T707" t="s">
        <v>107</v>
      </c>
      <c r="U707">
        <v>1000</v>
      </c>
      <c r="V707">
        <v>1000</v>
      </c>
    </row>
    <row r="708" spans="1:22" x14ac:dyDescent="0.3">
      <c r="A708" t="s">
        <v>842</v>
      </c>
      <c r="B708" t="s">
        <v>773</v>
      </c>
      <c r="C708">
        <v>9.9600000000000009</v>
      </c>
      <c r="D708">
        <v>3.68</v>
      </c>
      <c r="E708">
        <v>3.97</v>
      </c>
      <c r="F708">
        <v>0.51</v>
      </c>
      <c r="G708">
        <v>73.68421052631578</v>
      </c>
      <c r="H708">
        <v>25.995195607412498</v>
      </c>
      <c r="I708">
        <v>31.04181431608788</v>
      </c>
      <c r="J708">
        <v>38.056307945530847</v>
      </c>
      <c r="K708">
        <v>85.057471264367805</v>
      </c>
      <c r="L708">
        <v>26.198232952103822</v>
      </c>
      <c r="M708">
        <v>54.623329458431002</v>
      </c>
      <c r="N708">
        <v>53.948354153465118</v>
      </c>
      <c r="O708">
        <v>4.1175000000000006</v>
      </c>
      <c r="P708">
        <v>-0.14750000000000041</v>
      </c>
      <c r="Q708">
        <v>707</v>
      </c>
      <c r="R708">
        <v>6</v>
      </c>
      <c r="S708" t="s">
        <v>24</v>
      </c>
      <c r="T708" t="s">
        <v>774</v>
      </c>
      <c r="U708">
        <v>5000</v>
      </c>
      <c r="V708">
        <v>1000</v>
      </c>
    </row>
    <row r="709" spans="1:22" x14ac:dyDescent="0.3">
      <c r="A709" t="s">
        <v>843</v>
      </c>
      <c r="B709" t="s">
        <v>844</v>
      </c>
      <c r="C709">
        <v>4.9400000000000004</v>
      </c>
      <c r="D709">
        <v>4.0599999999999996</v>
      </c>
      <c r="E709">
        <v>4.8499999999999996</v>
      </c>
      <c r="F709">
        <v>0.81</v>
      </c>
      <c r="G709">
        <v>62.900107411385605</v>
      </c>
      <c r="H709">
        <v>26.647220315717231</v>
      </c>
      <c r="I709">
        <v>34.160170092133235</v>
      </c>
      <c r="J709">
        <v>37.654272623058908</v>
      </c>
      <c r="K709">
        <v>73.563218390804593</v>
      </c>
      <c r="L709">
        <v>19.134176379055283</v>
      </c>
      <c r="M709">
        <v>66.858634350491968</v>
      </c>
      <c r="N709">
        <v>53.932599496853598</v>
      </c>
      <c r="O709">
        <v>4.4820000000000002</v>
      </c>
      <c r="P709">
        <v>0.36799999999999944</v>
      </c>
      <c r="Q709">
        <v>708</v>
      </c>
      <c r="R709">
        <v>1</v>
      </c>
      <c r="S709" t="s">
        <v>24</v>
      </c>
      <c r="T709" t="s">
        <v>845</v>
      </c>
      <c r="U709">
        <v>5000</v>
      </c>
      <c r="V709">
        <v>1000</v>
      </c>
    </row>
    <row r="710" spans="1:22" x14ac:dyDescent="0.3">
      <c r="A710" t="s">
        <v>846</v>
      </c>
      <c r="B710" t="s">
        <v>358</v>
      </c>
      <c r="C710">
        <v>4.97</v>
      </c>
      <c r="D710">
        <v>3.34</v>
      </c>
      <c r="E710">
        <v>5.03</v>
      </c>
      <c r="F710">
        <v>0.79</v>
      </c>
      <c r="G710">
        <v>62.964554242749728</v>
      </c>
      <c r="H710">
        <v>25.411805078929312</v>
      </c>
      <c r="I710">
        <v>34.798015591778878</v>
      </c>
      <c r="J710">
        <v>37.615460168118176</v>
      </c>
      <c r="K710">
        <v>74.329501915708818</v>
      </c>
      <c r="L710">
        <v>19.543386848790981</v>
      </c>
      <c r="M710">
        <v>66.1498610259206</v>
      </c>
      <c r="N710">
        <v>53.927570819466439</v>
      </c>
      <c r="O710">
        <v>5.0554237288135591</v>
      </c>
      <c r="P710">
        <v>-2.542372881355881E-2</v>
      </c>
      <c r="Q710">
        <v>709</v>
      </c>
      <c r="R710">
        <v>36</v>
      </c>
      <c r="S710" t="s">
        <v>24</v>
      </c>
      <c r="T710" t="s">
        <v>359</v>
      </c>
      <c r="U710">
        <v>5000</v>
      </c>
      <c r="V710">
        <v>1000</v>
      </c>
    </row>
    <row r="711" spans="1:22" x14ac:dyDescent="0.3">
      <c r="A711" t="s">
        <v>847</v>
      </c>
      <c r="B711" t="s">
        <v>358</v>
      </c>
      <c r="C711">
        <v>4.9800000000000004</v>
      </c>
      <c r="D711">
        <v>3.34</v>
      </c>
      <c r="E711">
        <v>5.03</v>
      </c>
      <c r="F711">
        <v>0.79</v>
      </c>
      <c r="G711">
        <v>62.986036519871099</v>
      </c>
      <c r="H711">
        <v>25.411805078929312</v>
      </c>
      <c r="I711">
        <v>34.798015591778878</v>
      </c>
      <c r="J711">
        <v>37.619756623542457</v>
      </c>
      <c r="K711">
        <v>74.329501915708818</v>
      </c>
      <c r="L711">
        <v>19.555426953540508</v>
      </c>
      <c r="M711">
        <v>66.129006952765963</v>
      </c>
      <c r="N711">
        <v>53.924505528889924</v>
      </c>
      <c r="O711">
        <v>5.0554237288135591</v>
      </c>
      <c r="P711">
        <v>-2.542372881355881E-2</v>
      </c>
      <c r="Q711">
        <v>710</v>
      </c>
      <c r="R711">
        <v>37</v>
      </c>
      <c r="S711" t="s">
        <v>24</v>
      </c>
      <c r="T711" t="s">
        <v>359</v>
      </c>
      <c r="U711">
        <v>5000</v>
      </c>
      <c r="V711">
        <v>1000</v>
      </c>
    </row>
    <row r="712" spans="1:22" x14ac:dyDescent="0.3">
      <c r="A712" t="s">
        <v>848</v>
      </c>
      <c r="B712" t="s">
        <v>161</v>
      </c>
      <c r="C712">
        <v>5.15</v>
      </c>
      <c r="D712">
        <v>3.75</v>
      </c>
      <c r="E712">
        <v>3.53</v>
      </c>
      <c r="F712">
        <v>0.62</v>
      </c>
      <c r="G712">
        <v>63.351235230934478</v>
      </c>
      <c r="H712">
        <v>26.11530542210021</v>
      </c>
      <c r="I712">
        <v>29.482636428065202</v>
      </c>
      <c r="J712">
        <v>35.246156886849562</v>
      </c>
      <c r="K712">
        <v>80.842911877394627</v>
      </c>
      <c r="L712">
        <v>20.595045406205038</v>
      </c>
      <c r="M712">
        <v>64.328334972264869</v>
      </c>
      <c r="N712">
        <v>53.915890155839662</v>
      </c>
      <c r="O712">
        <v>4.9189795918367345</v>
      </c>
      <c r="P712">
        <v>-1.3889795918367347</v>
      </c>
      <c r="Q712">
        <v>711</v>
      </c>
      <c r="R712">
        <v>35</v>
      </c>
      <c r="S712" t="s">
        <v>24</v>
      </c>
      <c r="T712" t="s">
        <v>535</v>
      </c>
      <c r="U712">
        <v>1000</v>
      </c>
      <c r="V712">
        <v>1000</v>
      </c>
    </row>
    <row r="713" spans="1:22" x14ac:dyDescent="0.3">
      <c r="A713" t="s">
        <v>849</v>
      </c>
      <c r="B713" t="s">
        <v>410</v>
      </c>
      <c r="C713">
        <v>5.75</v>
      </c>
      <c r="D713">
        <v>4.8499999999999996</v>
      </c>
      <c r="E713">
        <v>4.93</v>
      </c>
      <c r="F713">
        <v>0.84</v>
      </c>
      <c r="G713">
        <v>64.640171858216959</v>
      </c>
      <c r="H713">
        <v>28.002745367192865</v>
      </c>
      <c r="I713">
        <v>34.443656980864631</v>
      </c>
      <c r="J713">
        <v>38.550686472233565</v>
      </c>
      <c r="K713">
        <v>72.41379310344827</v>
      </c>
      <c r="L713">
        <v>19.560231223234926</v>
      </c>
      <c r="M713">
        <v>66.120685713561983</v>
      </c>
      <c r="N713">
        <v>53.908962940369342</v>
      </c>
      <c r="O713">
        <v>4.4264935064935065</v>
      </c>
      <c r="P713">
        <v>0.50350649350649324</v>
      </c>
      <c r="Q713">
        <v>712</v>
      </c>
      <c r="R713">
        <v>35</v>
      </c>
      <c r="S713" t="s">
        <v>24</v>
      </c>
      <c r="T713" t="s">
        <v>411</v>
      </c>
      <c r="U713">
        <v>5000</v>
      </c>
      <c r="V713">
        <v>1000</v>
      </c>
    </row>
    <row r="714" spans="1:22" x14ac:dyDescent="0.3">
      <c r="A714" t="s">
        <v>850</v>
      </c>
      <c r="B714" t="s">
        <v>551</v>
      </c>
      <c r="C714">
        <v>5.75</v>
      </c>
      <c r="D714">
        <v>2.46</v>
      </c>
      <c r="E714">
        <v>4.3</v>
      </c>
      <c r="F714">
        <v>0.63</v>
      </c>
      <c r="G714">
        <v>64.640171858216959</v>
      </c>
      <c r="H714">
        <v>23.901853122855186</v>
      </c>
      <c r="I714">
        <v>32.211197732104893</v>
      </c>
      <c r="J714">
        <v>36.204189174552397</v>
      </c>
      <c r="K714">
        <v>80.459770114942529</v>
      </c>
      <c r="L714">
        <v>21.52631793909973</v>
      </c>
      <c r="M714">
        <v>62.715323629597904</v>
      </c>
      <c r="N714">
        <v>53.89586802341131</v>
      </c>
      <c r="O714">
        <v>3.9855555555555551</v>
      </c>
      <c r="P714">
        <v>0.31444444444444475</v>
      </c>
      <c r="Q714">
        <v>713</v>
      </c>
      <c r="R714">
        <v>3</v>
      </c>
      <c r="S714" t="s">
        <v>24</v>
      </c>
      <c r="T714" t="s">
        <v>851</v>
      </c>
      <c r="U714">
        <v>5000</v>
      </c>
      <c r="V714">
        <v>1000</v>
      </c>
    </row>
    <row r="715" spans="1:22" x14ac:dyDescent="0.3">
      <c r="A715" t="s">
        <v>852</v>
      </c>
      <c r="B715" t="s">
        <v>161</v>
      </c>
      <c r="C715">
        <v>4.9400000000000004</v>
      </c>
      <c r="D715">
        <v>3.27</v>
      </c>
      <c r="E715">
        <v>5.44</v>
      </c>
      <c r="F715">
        <v>0.84</v>
      </c>
      <c r="G715">
        <v>62.900107411385605</v>
      </c>
      <c r="H715">
        <v>25.291695264241596</v>
      </c>
      <c r="I715">
        <v>36.250885896527286</v>
      </c>
      <c r="J715">
        <v>38.292973009813238</v>
      </c>
      <c r="K715">
        <v>72.41379310344827</v>
      </c>
      <c r="L715">
        <v>19.341998909506977</v>
      </c>
      <c r="M715">
        <v>66.49867516879209</v>
      </c>
      <c r="N715">
        <v>53.874603572966706</v>
      </c>
      <c r="O715">
        <v>4.9189795918367345</v>
      </c>
      <c r="P715">
        <v>0.52102040816326589</v>
      </c>
      <c r="Q715">
        <v>714</v>
      </c>
      <c r="R715">
        <v>36</v>
      </c>
      <c r="S715" t="s">
        <v>24</v>
      </c>
      <c r="T715" t="s">
        <v>535</v>
      </c>
      <c r="U715">
        <v>5000</v>
      </c>
      <c r="V715">
        <v>1000</v>
      </c>
    </row>
    <row r="716" spans="1:22" x14ac:dyDescent="0.3">
      <c r="A716" t="s">
        <v>853</v>
      </c>
      <c r="B716" t="s">
        <v>161</v>
      </c>
      <c r="C716">
        <v>4.9400000000000004</v>
      </c>
      <c r="D716">
        <v>3.27</v>
      </c>
      <c r="E716">
        <v>5.44</v>
      </c>
      <c r="F716">
        <v>0.84</v>
      </c>
      <c r="G716">
        <v>62.900107411385605</v>
      </c>
      <c r="H716">
        <v>25.291695264241596</v>
      </c>
      <c r="I716">
        <v>36.250885896527286</v>
      </c>
      <c r="J716">
        <v>38.292973009813238</v>
      </c>
      <c r="K716">
        <v>72.41379310344827</v>
      </c>
      <c r="L716">
        <v>19.341998909506977</v>
      </c>
      <c r="M716">
        <v>66.49867516879209</v>
      </c>
      <c r="N716">
        <v>53.874603572966706</v>
      </c>
      <c r="O716">
        <v>4.9189795918367345</v>
      </c>
      <c r="P716">
        <v>0.52102040816326589</v>
      </c>
      <c r="Q716">
        <v>714</v>
      </c>
      <c r="R716">
        <v>36</v>
      </c>
      <c r="S716" t="s">
        <v>24</v>
      </c>
      <c r="T716" t="s">
        <v>535</v>
      </c>
      <c r="U716">
        <v>5000</v>
      </c>
      <c r="V716">
        <v>1000</v>
      </c>
    </row>
    <row r="717" spans="1:22" x14ac:dyDescent="0.3">
      <c r="A717" t="s">
        <v>854</v>
      </c>
      <c r="B717" t="s">
        <v>358</v>
      </c>
      <c r="C717">
        <v>4.97</v>
      </c>
      <c r="D717">
        <v>3.34</v>
      </c>
      <c r="E717">
        <v>4.9800000000000004</v>
      </c>
      <c r="F717">
        <v>0.79</v>
      </c>
      <c r="G717">
        <v>62.964554242749728</v>
      </c>
      <c r="H717">
        <v>25.411805078929312</v>
      </c>
      <c r="I717">
        <v>34.620836286321754</v>
      </c>
      <c r="J717">
        <v>37.526870515389618</v>
      </c>
      <c r="K717">
        <v>74.329501915708818</v>
      </c>
      <c r="L717">
        <v>19.572010513030591</v>
      </c>
      <c r="M717">
        <v>66.100283385158804</v>
      </c>
      <c r="N717">
        <v>53.870881582911714</v>
      </c>
      <c r="O717">
        <v>5.0554237288135591</v>
      </c>
      <c r="P717">
        <v>-7.5423728813558633E-2</v>
      </c>
      <c r="Q717">
        <v>716</v>
      </c>
      <c r="R717">
        <v>38</v>
      </c>
      <c r="S717" t="s">
        <v>24</v>
      </c>
      <c r="T717" t="s">
        <v>359</v>
      </c>
      <c r="U717">
        <v>5000</v>
      </c>
      <c r="V717">
        <v>1000</v>
      </c>
    </row>
    <row r="718" spans="1:22" x14ac:dyDescent="0.3">
      <c r="A718" t="s">
        <v>855</v>
      </c>
      <c r="B718" t="s">
        <v>520</v>
      </c>
      <c r="C718">
        <v>5.5</v>
      </c>
      <c r="D718">
        <v>2.79</v>
      </c>
      <c r="E718">
        <v>4.8</v>
      </c>
      <c r="F718">
        <v>0.72</v>
      </c>
      <c r="G718">
        <v>64.103114930182585</v>
      </c>
      <c r="H718">
        <v>24.468085106382983</v>
      </c>
      <c r="I718">
        <v>33.982990786676112</v>
      </c>
      <c r="J718">
        <v>37.15254391128947</v>
      </c>
      <c r="K718">
        <v>77.011494252873575</v>
      </c>
      <c r="L718">
        <v>20.690943661654646</v>
      </c>
      <c r="M718">
        <v>64.162234321468929</v>
      </c>
      <c r="N718">
        <v>53.869704099230361</v>
      </c>
      <c r="O718">
        <v>4.625</v>
      </c>
      <c r="P718">
        <v>0.17499999999999982</v>
      </c>
      <c r="Q718">
        <v>717</v>
      </c>
      <c r="R718">
        <v>12</v>
      </c>
      <c r="S718" t="s">
        <v>24</v>
      </c>
      <c r="T718" t="s">
        <v>521</v>
      </c>
      <c r="U718">
        <v>5000</v>
      </c>
      <c r="V718">
        <v>1000</v>
      </c>
    </row>
    <row r="719" spans="1:22" x14ac:dyDescent="0.3">
      <c r="A719" t="s">
        <v>856</v>
      </c>
      <c r="B719" t="s">
        <v>520</v>
      </c>
      <c r="C719">
        <v>5.5</v>
      </c>
      <c r="D719">
        <v>2.79</v>
      </c>
      <c r="E719">
        <v>4.8</v>
      </c>
      <c r="F719">
        <v>0.72</v>
      </c>
      <c r="G719">
        <v>64.103114930182585</v>
      </c>
      <c r="H719">
        <v>24.468085106382983</v>
      </c>
      <c r="I719">
        <v>33.982990786676112</v>
      </c>
      <c r="J719">
        <v>37.15254391128947</v>
      </c>
      <c r="K719">
        <v>77.011494252873575</v>
      </c>
      <c r="L719">
        <v>20.690943661654646</v>
      </c>
      <c r="M719">
        <v>64.162234321468929</v>
      </c>
      <c r="N719">
        <v>53.869704099230361</v>
      </c>
      <c r="O719">
        <v>4.625</v>
      </c>
      <c r="P719">
        <v>0.17499999999999982</v>
      </c>
      <c r="Q719">
        <v>717</v>
      </c>
      <c r="R719">
        <v>12</v>
      </c>
      <c r="S719" t="s">
        <v>24</v>
      </c>
      <c r="T719" t="s">
        <v>521</v>
      </c>
      <c r="U719">
        <v>5000</v>
      </c>
      <c r="V719">
        <v>1000</v>
      </c>
    </row>
    <row r="720" spans="1:22" x14ac:dyDescent="0.3">
      <c r="A720" t="s">
        <v>857</v>
      </c>
      <c r="B720" t="s">
        <v>229</v>
      </c>
      <c r="C720">
        <v>5.03</v>
      </c>
      <c r="D720">
        <v>4.41</v>
      </c>
      <c r="E720">
        <v>4.82</v>
      </c>
      <c r="F720">
        <v>0.83</v>
      </c>
      <c r="G720">
        <v>63.093447905477973</v>
      </c>
      <c r="H720">
        <v>27.247769389155806</v>
      </c>
      <c r="I720">
        <v>34.05386250885897</v>
      </c>
      <c r="J720">
        <v>37.819951652271818</v>
      </c>
      <c r="K720">
        <v>72.796934865900369</v>
      </c>
      <c r="L720">
        <v>19.037389053548978</v>
      </c>
      <c r="M720">
        <v>67.026274915797586</v>
      </c>
      <c r="N720">
        <v>53.865778271560394</v>
      </c>
      <c r="O720">
        <v>5.1221052631578941</v>
      </c>
      <c r="P720">
        <v>-0.30210526315789377</v>
      </c>
      <c r="Q720">
        <v>719</v>
      </c>
      <c r="R720">
        <v>35</v>
      </c>
      <c r="S720" t="s">
        <v>24</v>
      </c>
      <c r="T720" t="s">
        <v>230</v>
      </c>
      <c r="U720">
        <v>5000</v>
      </c>
      <c r="V720">
        <v>1000</v>
      </c>
    </row>
    <row r="721" spans="1:22" x14ac:dyDescent="0.3">
      <c r="A721" t="s">
        <v>858</v>
      </c>
      <c r="B721" t="s">
        <v>551</v>
      </c>
      <c r="C721">
        <v>5.75</v>
      </c>
      <c r="D721">
        <v>2.46</v>
      </c>
      <c r="E721">
        <v>4.2699999999999996</v>
      </c>
      <c r="F721">
        <v>0.63</v>
      </c>
      <c r="G721">
        <v>64.640171858216959</v>
      </c>
      <c r="H721">
        <v>23.901853122855186</v>
      </c>
      <c r="I721">
        <v>32.104890148830613</v>
      </c>
      <c r="J721">
        <v>36.151035382915254</v>
      </c>
      <c r="K721">
        <v>80.459770114942529</v>
      </c>
      <c r="L721">
        <v>21.546248651612117</v>
      </c>
      <c r="M721">
        <v>62.680802622895399</v>
      </c>
      <c r="N721">
        <v>53.860660875917105</v>
      </c>
      <c r="O721">
        <v>3.9855555555555551</v>
      </c>
      <c r="P721">
        <v>0.2844444444444445</v>
      </c>
      <c r="Q721">
        <v>720</v>
      </c>
      <c r="R721">
        <v>4</v>
      </c>
      <c r="S721" t="s">
        <v>24</v>
      </c>
      <c r="T721" t="s">
        <v>851</v>
      </c>
      <c r="U721">
        <v>5000</v>
      </c>
      <c r="V721">
        <v>1000</v>
      </c>
    </row>
    <row r="722" spans="1:22" x14ac:dyDescent="0.3">
      <c r="A722" t="s">
        <v>859</v>
      </c>
      <c r="B722" t="s">
        <v>755</v>
      </c>
      <c r="C722">
        <v>5.09</v>
      </c>
      <c r="D722">
        <v>14.06</v>
      </c>
      <c r="E722">
        <v>12.33</v>
      </c>
      <c r="F722">
        <v>2.17</v>
      </c>
      <c r="G722">
        <v>63.222341568206232</v>
      </c>
      <c r="H722">
        <v>43.80576527110501</v>
      </c>
      <c r="I722">
        <v>60.666194188518773</v>
      </c>
      <c r="J722">
        <v>56.119294989232138</v>
      </c>
      <c r="K722">
        <v>21.455938697318011</v>
      </c>
      <c r="L722">
        <v>10.549971467631231</v>
      </c>
      <c r="M722">
        <v>81.726913399660717</v>
      </c>
      <c r="N722">
        <v>53.855360518860749</v>
      </c>
      <c r="O722">
        <v>11.035555555555554</v>
      </c>
      <c r="P722">
        <v>1.2944444444444461</v>
      </c>
      <c r="Q722">
        <v>721</v>
      </c>
      <c r="R722">
        <v>3</v>
      </c>
      <c r="S722" t="s">
        <v>24</v>
      </c>
      <c r="T722" t="s">
        <v>756</v>
      </c>
      <c r="U722">
        <v>1000</v>
      </c>
      <c r="V722">
        <v>1000</v>
      </c>
    </row>
    <row r="723" spans="1:22" x14ac:dyDescent="0.3">
      <c r="A723" t="s">
        <v>860</v>
      </c>
      <c r="B723" t="s">
        <v>410</v>
      </c>
      <c r="C723">
        <v>5.75</v>
      </c>
      <c r="D723">
        <v>4.8499999999999996</v>
      </c>
      <c r="E723">
        <v>4.88</v>
      </c>
      <c r="F723">
        <v>0.84</v>
      </c>
      <c r="G723">
        <v>64.640171858216959</v>
      </c>
      <c r="H723">
        <v>28.002745367192865</v>
      </c>
      <c r="I723">
        <v>34.266477675407508</v>
      </c>
      <c r="J723">
        <v>38.462096819505007</v>
      </c>
      <c r="K723">
        <v>72.41379310344827</v>
      </c>
      <c r="L723">
        <v>19.596328995609522</v>
      </c>
      <c r="M723">
        <v>66.058162537769121</v>
      </c>
      <c r="N723">
        <v>53.849037320056851</v>
      </c>
      <c r="O723">
        <v>4.4264935064935065</v>
      </c>
      <c r="P723">
        <v>0.45350649350649341</v>
      </c>
      <c r="Q723">
        <v>722</v>
      </c>
      <c r="R723">
        <v>36</v>
      </c>
      <c r="S723" t="s">
        <v>24</v>
      </c>
      <c r="T723" t="s">
        <v>411</v>
      </c>
      <c r="U723">
        <v>5000</v>
      </c>
      <c r="V723">
        <v>1000</v>
      </c>
    </row>
    <row r="724" spans="1:22" x14ac:dyDescent="0.3">
      <c r="A724" t="s">
        <v>861</v>
      </c>
      <c r="B724" t="s">
        <v>155</v>
      </c>
      <c r="C724">
        <v>4.42</v>
      </c>
      <c r="D724">
        <v>2.89</v>
      </c>
      <c r="E724">
        <v>4.8600000000000003</v>
      </c>
      <c r="F724">
        <v>0.77</v>
      </c>
      <c r="G724">
        <v>61.783029001074105</v>
      </c>
      <c r="H724">
        <v>24.63967055593686</v>
      </c>
      <c r="I724">
        <v>34.195605953224664</v>
      </c>
      <c r="J724">
        <v>36.846309943608212</v>
      </c>
      <c r="K724">
        <v>75.095785440613028</v>
      </c>
      <c r="L724">
        <v>19.287348566362098</v>
      </c>
      <c r="M724">
        <v>66.5933323397701</v>
      </c>
      <c r="N724">
        <v>53.845434416899892</v>
      </c>
      <c r="O724">
        <v>5.2086538461538465</v>
      </c>
      <c r="P724">
        <v>-0.3486538461538462</v>
      </c>
      <c r="Q724">
        <v>723</v>
      </c>
      <c r="R724">
        <v>11</v>
      </c>
      <c r="S724" t="s">
        <v>24</v>
      </c>
      <c r="T724" t="s">
        <v>577</v>
      </c>
      <c r="U724">
        <v>1000</v>
      </c>
      <c r="V724">
        <v>1000</v>
      </c>
    </row>
    <row r="725" spans="1:22" x14ac:dyDescent="0.3">
      <c r="A725" t="s">
        <v>862</v>
      </c>
      <c r="B725" t="s">
        <v>35</v>
      </c>
      <c r="C725">
        <v>-0.64</v>
      </c>
      <c r="D725">
        <v>8.3800000000000008</v>
      </c>
      <c r="E725">
        <v>5.96</v>
      </c>
      <c r="F725">
        <v>1.38</v>
      </c>
      <c r="G725">
        <v>50.912996777658428</v>
      </c>
      <c r="H725">
        <v>34.059711736444754</v>
      </c>
      <c r="I725">
        <v>38.093550673281356</v>
      </c>
      <c r="J725">
        <v>39.447288213105793</v>
      </c>
      <c r="K725">
        <v>51.724137931034477</v>
      </c>
      <c r="L725">
        <v>8.8000309816856532</v>
      </c>
      <c r="M725">
        <v>84.757899231540222</v>
      </c>
      <c r="N725">
        <v>53.844153397196571</v>
      </c>
      <c r="O725">
        <v>9.2084615384615383</v>
      </c>
      <c r="P725">
        <v>-3.2484615384615383</v>
      </c>
      <c r="Q725">
        <v>724</v>
      </c>
      <c r="R725">
        <v>13</v>
      </c>
      <c r="S725" t="s">
        <v>24</v>
      </c>
      <c r="T725" t="s">
        <v>134</v>
      </c>
      <c r="U725">
        <v>1000</v>
      </c>
      <c r="V725">
        <v>1000</v>
      </c>
    </row>
    <row r="726" spans="1:22" x14ac:dyDescent="0.3">
      <c r="A726" t="s">
        <v>863</v>
      </c>
      <c r="B726" t="s">
        <v>383</v>
      </c>
      <c r="C726">
        <v>3.61</v>
      </c>
      <c r="D726">
        <v>7.15</v>
      </c>
      <c r="E726">
        <v>6.36</v>
      </c>
      <c r="F726">
        <v>1.22</v>
      </c>
      <c r="G726">
        <v>60.042964554242751</v>
      </c>
      <c r="H726">
        <v>31.949210706932057</v>
      </c>
      <c r="I726">
        <v>39.510985116938343</v>
      </c>
      <c r="J726">
        <v>41.348848681397342</v>
      </c>
      <c r="K726">
        <v>57.854406130268202</v>
      </c>
      <c r="L726">
        <v>14.537317594585103</v>
      </c>
      <c r="M726">
        <v>74.820627320413621</v>
      </c>
      <c r="N726">
        <v>53.843182703369123</v>
      </c>
      <c r="O726">
        <v>6.1480952380952392</v>
      </c>
      <c r="P726">
        <v>0.21190476190476115</v>
      </c>
      <c r="Q726">
        <v>725</v>
      </c>
      <c r="R726">
        <v>10</v>
      </c>
      <c r="S726" t="s">
        <v>24</v>
      </c>
      <c r="T726" t="s">
        <v>816</v>
      </c>
      <c r="U726">
        <v>5000</v>
      </c>
      <c r="V726">
        <v>1000</v>
      </c>
    </row>
    <row r="727" spans="1:22" x14ac:dyDescent="0.3">
      <c r="A727" t="s">
        <v>864</v>
      </c>
      <c r="B727" t="s">
        <v>410</v>
      </c>
      <c r="C727">
        <v>5.75</v>
      </c>
      <c r="D727">
        <v>4.8499999999999996</v>
      </c>
      <c r="E727">
        <v>4.87</v>
      </c>
      <c r="F727">
        <v>0.84</v>
      </c>
      <c r="G727">
        <v>64.640171858216959</v>
      </c>
      <c r="H727">
        <v>28.002745367192865</v>
      </c>
      <c r="I727">
        <v>34.231041814316086</v>
      </c>
      <c r="J727">
        <v>38.444378888959292</v>
      </c>
      <c r="K727">
        <v>72.41379310344827</v>
      </c>
      <c r="L727">
        <v>19.603604628338623</v>
      </c>
      <c r="M727">
        <v>66.045560772225116</v>
      </c>
      <c r="N727">
        <v>53.837027913397996</v>
      </c>
      <c r="O727">
        <v>4.4264935064935065</v>
      </c>
      <c r="P727">
        <v>0.44350649350649363</v>
      </c>
      <c r="Q727">
        <v>726</v>
      </c>
      <c r="R727">
        <v>37</v>
      </c>
      <c r="S727" t="s">
        <v>24</v>
      </c>
      <c r="T727" t="s">
        <v>411</v>
      </c>
      <c r="U727">
        <v>5000</v>
      </c>
      <c r="V727">
        <v>1000</v>
      </c>
    </row>
    <row r="728" spans="1:22" x14ac:dyDescent="0.3">
      <c r="A728" t="s">
        <v>865</v>
      </c>
      <c r="B728" t="s">
        <v>410</v>
      </c>
      <c r="C728">
        <v>5.75</v>
      </c>
      <c r="D728">
        <v>4.8499999999999996</v>
      </c>
      <c r="E728">
        <v>4.87</v>
      </c>
      <c r="F728">
        <v>0.84</v>
      </c>
      <c r="G728">
        <v>64.640171858216959</v>
      </c>
      <c r="H728">
        <v>28.002745367192865</v>
      </c>
      <c r="I728">
        <v>34.231041814316086</v>
      </c>
      <c r="J728">
        <v>38.444378888959292</v>
      </c>
      <c r="K728">
        <v>72.41379310344827</v>
      </c>
      <c r="L728">
        <v>19.603604628338623</v>
      </c>
      <c r="M728">
        <v>66.045560772225116</v>
      </c>
      <c r="N728">
        <v>53.837027913397996</v>
      </c>
      <c r="O728">
        <v>4.4264935064935065</v>
      </c>
      <c r="P728">
        <v>0.44350649350649363</v>
      </c>
      <c r="Q728">
        <v>726</v>
      </c>
      <c r="R728">
        <v>37</v>
      </c>
      <c r="S728" t="s">
        <v>24</v>
      </c>
      <c r="T728" t="s">
        <v>411</v>
      </c>
      <c r="U728">
        <v>5000</v>
      </c>
      <c r="V728">
        <v>1000</v>
      </c>
    </row>
    <row r="729" spans="1:22" x14ac:dyDescent="0.3">
      <c r="A729" t="s">
        <v>866</v>
      </c>
      <c r="B729" t="s">
        <v>410</v>
      </c>
      <c r="C729">
        <v>5.75</v>
      </c>
      <c r="D729">
        <v>4.8499999999999996</v>
      </c>
      <c r="E729">
        <v>4.87</v>
      </c>
      <c r="F729">
        <v>0.84</v>
      </c>
      <c r="G729">
        <v>64.640171858216959</v>
      </c>
      <c r="H729">
        <v>28.002745367192865</v>
      </c>
      <c r="I729">
        <v>34.231041814316086</v>
      </c>
      <c r="J729">
        <v>38.444378888959292</v>
      </c>
      <c r="K729">
        <v>72.41379310344827</v>
      </c>
      <c r="L729">
        <v>19.603604628338623</v>
      </c>
      <c r="M729">
        <v>66.045560772225116</v>
      </c>
      <c r="N729">
        <v>53.837027913397996</v>
      </c>
      <c r="O729">
        <v>4.4264935064935065</v>
      </c>
      <c r="P729">
        <v>0.44350649350649363</v>
      </c>
      <c r="Q729">
        <v>726</v>
      </c>
      <c r="R729">
        <v>37</v>
      </c>
      <c r="S729" t="s">
        <v>24</v>
      </c>
      <c r="T729" t="s">
        <v>411</v>
      </c>
      <c r="U729">
        <v>5000</v>
      </c>
      <c r="V729">
        <v>1000</v>
      </c>
    </row>
    <row r="730" spans="1:22" x14ac:dyDescent="0.3">
      <c r="A730" t="s">
        <v>867</v>
      </c>
      <c r="B730" t="s">
        <v>77</v>
      </c>
      <c r="C730">
        <v>6.9</v>
      </c>
      <c r="D730">
        <v>14.63</v>
      </c>
      <c r="E730">
        <v>8.2899999999999991</v>
      </c>
      <c r="F730">
        <v>1.77</v>
      </c>
      <c r="G730">
        <v>67.11063372717507</v>
      </c>
      <c r="H730">
        <v>44.783802333562122</v>
      </c>
      <c r="I730">
        <v>46.350106307583268</v>
      </c>
      <c r="J730">
        <v>50.032320599295289</v>
      </c>
      <c r="K730">
        <v>36.781609195402297</v>
      </c>
      <c r="L730">
        <v>12.46287959607435</v>
      </c>
      <c r="M730">
        <v>78.413659330985737</v>
      </c>
      <c r="N730">
        <v>53.814977431244657</v>
      </c>
      <c r="O730">
        <v>9.0435999999999996</v>
      </c>
      <c r="P730">
        <v>-0.75360000000000049</v>
      </c>
      <c r="Q730">
        <v>729</v>
      </c>
      <c r="R730">
        <v>13</v>
      </c>
      <c r="S730" t="s">
        <v>24</v>
      </c>
      <c r="T730" t="s">
        <v>78</v>
      </c>
      <c r="U730">
        <v>5000</v>
      </c>
      <c r="V730">
        <v>1000</v>
      </c>
    </row>
    <row r="731" spans="1:22" x14ac:dyDescent="0.3">
      <c r="A731" t="s">
        <v>868</v>
      </c>
      <c r="B731" t="s">
        <v>155</v>
      </c>
      <c r="C731">
        <v>4.57</v>
      </c>
      <c r="D731">
        <v>2.81</v>
      </c>
      <c r="E731">
        <v>4.74</v>
      </c>
      <c r="F731">
        <v>0.75</v>
      </c>
      <c r="G731">
        <v>62.105263157894733</v>
      </c>
      <c r="H731">
        <v>24.502402196293758</v>
      </c>
      <c r="I731">
        <v>33.770375620127567</v>
      </c>
      <c r="J731">
        <v>36.656961100530857</v>
      </c>
      <c r="K731">
        <v>75.862068965517238</v>
      </c>
      <c r="L731">
        <v>19.590543363488319</v>
      </c>
      <c r="M731">
        <v>66.068183546556952</v>
      </c>
      <c r="N731">
        <v>53.81104367828398</v>
      </c>
      <c r="O731">
        <v>5.2086538461538465</v>
      </c>
      <c r="P731">
        <v>-0.46865384615384631</v>
      </c>
      <c r="Q731">
        <v>730</v>
      </c>
      <c r="R731">
        <v>12</v>
      </c>
      <c r="S731" t="s">
        <v>24</v>
      </c>
      <c r="T731" t="s">
        <v>577</v>
      </c>
      <c r="U731">
        <v>5000</v>
      </c>
      <c r="V731">
        <v>1000</v>
      </c>
    </row>
    <row r="732" spans="1:22" x14ac:dyDescent="0.3">
      <c r="A732" t="s">
        <v>869</v>
      </c>
      <c r="B732" t="s">
        <v>202</v>
      </c>
      <c r="C732">
        <v>4.0599999999999996</v>
      </c>
      <c r="D732">
        <v>18.920000000000002</v>
      </c>
      <c r="E732">
        <v>12.07</v>
      </c>
      <c r="F732">
        <v>2.52</v>
      </c>
      <c r="G732">
        <v>61.009667024704619</v>
      </c>
      <c r="H732">
        <v>52.144818119423483</v>
      </c>
      <c r="I732">
        <v>59.744861800141734</v>
      </c>
      <c r="J732">
        <v>57.717809740838831</v>
      </c>
      <c r="K732">
        <v>8.045977011494255</v>
      </c>
      <c r="L732">
        <v>4.7948921141559788</v>
      </c>
      <c r="M732">
        <v>91.695003241470488</v>
      </c>
      <c r="N732">
        <v>53.794149933660606</v>
      </c>
      <c r="O732">
        <v>10.023387096774194</v>
      </c>
      <c r="P732">
        <v>2.0466129032258067</v>
      </c>
      <c r="Q732">
        <v>731</v>
      </c>
      <c r="R732">
        <v>26</v>
      </c>
      <c r="S732" t="s">
        <v>24</v>
      </c>
      <c r="T732" t="s">
        <v>78</v>
      </c>
      <c r="U732">
        <v>1000</v>
      </c>
      <c r="V732">
        <v>1000</v>
      </c>
    </row>
    <row r="733" spans="1:22" x14ac:dyDescent="0.3">
      <c r="A733" t="s">
        <v>870</v>
      </c>
      <c r="B733" t="s">
        <v>410</v>
      </c>
      <c r="C733">
        <v>5.75</v>
      </c>
      <c r="D733">
        <v>4.76</v>
      </c>
      <c r="E733">
        <v>4.3099999999999996</v>
      </c>
      <c r="F733">
        <v>0.77</v>
      </c>
      <c r="G733">
        <v>64.640171858216959</v>
      </c>
      <c r="H733">
        <v>27.848318462594374</v>
      </c>
      <c r="I733">
        <v>32.246633593196314</v>
      </c>
      <c r="J733">
        <v>37.405846707019862</v>
      </c>
      <c r="K733">
        <v>75.095785440613028</v>
      </c>
      <c r="L733">
        <v>20.092813697109158</v>
      </c>
      <c r="M733">
        <v>65.198225809591079</v>
      </c>
      <c r="N733">
        <v>53.776426166060958</v>
      </c>
      <c r="O733">
        <v>4.4264935064935065</v>
      </c>
      <c r="P733">
        <v>-0.11649350649350687</v>
      </c>
      <c r="Q733">
        <v>732</v>
      </c>
      <c r="R733">
        <v>40</v>
      </c>
      <c r="S733" t="s">
        <v>24</v>
      </c>
      <c r="T733" t="s">
        <v>411</v>
      </c>
      <c r="U733">
        <v>1000</v>
      </c>
      <c r="V733">
        <v>1000</v>
      </c>
    </row>
    <row r="734" spans="1:22" x14ac:dyDescent="0.3">
      <c r="A734" t="s">
        <v>871</v>
      </c>
      <c r="B734" t="s">
        <v>161</v>
      </c>
      <c r="C734">
        <v>4.9400000000000004</v>
      </c>
      <c r="D734">
        <v>3.27</v>
      </c>
      <c r="E734">
        <v>5.35</v>
      </c>
      <c r="F734">
        <v>0.84</v>
      </c>
      <c r="G734">
        <v>62.900107411385605</v>
      </c>
      <c r="H734">
        <v>25.291695264241596</v>
      </c>
      <c r="I734">
        <v>35.931963146704462</v>
      </c>
      <c r="J734">
        <v>38.133511634901829</v>
      </c>
      <c r="K734">
        <v>72.41379310344827</v>
      </c>
      <c r="L734">
        <v>19.385943231805335</v>
      </c>
      <c r="M734">
        <v>66.422561369867154</v>
      </c>
      <c r="N734">
        <v>53.775844435779774</v>
      </c>
      <c r="O734">
        <v>4.9189795918367345</v>
      </c>
      <c r="P734">
        <v>0.43102040816326515</v>
      </c>
      <c r="Q734">
        <v>733</v>
      </c>
      <c r="R734">
        <v>38</v>
      </c>
      <c r="S734" t="s">
        <v>24</v>
      </c>
      <c r="T734" t="s">
        <v>535</v>
      </c>
      <c r="U734">
        <v>5000</v>
      </c>
      <c r="V734">
        <v>1000</v>
      </c>
    </row>
    <row r="735" spans="1:22" x14ac:dyDescent="0.3">
      <c r="A735" t="s">
        <v>872</v>
      </c>
      <c r="B735" t="s">
        <v>262</v>
      </c>
      <c r="C735">
        <v>5.49</v>
      </c>
      <c r="D735">
        <v>4.3899999999999997</v>
      </c>
      <c r="E735">
        <v>4.08</v>
      </c>
      <c r="F735">
        <v>0.73</v>
      </c>
      <c r="G735">
        <v>64.08163265306122</v>
      </c>
      <c r="H735">
        <v>27.213452299245027</v>
      </c>
      <c r="I735">
        <v>31.431608788093545</v>
      </c>
      <c r="J735">
        <v>36.696166614432521</v>
      </c>
      <c r="K735">
        <v>76.628352490421463</v>
      </c>
      <c r="L735">
        <v>20.178700095021366</v>
      </c>
      <c r="M735">
        <v>65.049466204728063</v>
      </c>
      <c r="N735">
        <v>53.767537981003642</v>
      </c>
      <c r="O735">
        <v>4.4728846153846158</v>
      </c>
      <c r="P735">
        <v>-0.39288461538461572</v>
      </c>
      <c r="Q735">
        <v>734</v>
      </c>
      <c r="R735">
        <v>43</v>
      </c>
      <c r="S735" t="s">
        <v>24</v>
      </c>
      <c r="T735" t="s">
        <v>295</v>
      </c>
      <c r="U735">
        <v>5000</v>
      </c>
      <c r="V735">
        <v>1000</v>
      </c>
    </row>
    <row r="736" spans="1:22" x14ac:dyDescent="0.3">
      <c r="A736" t="s">
        <v>873</v>
      </c>
      <c r="B736" t="s">
        <v>199</v>
      </c>
      <c r="C736">
        <v>1.82</v>
      </c>
      <c r="D736">
        <v>12.58</v>
      </c>
      <c r="E736">
        <v>9.89</v>
      </c>
      <c r="F736">
        <v>1.97</v>
      </c>
      <c r="G736">
        <v>56.197636949516649</v>
      </c>
      <c r="H736">
        <v>41.266300617707621</v>
      </c>
      <c r="I736">
        <v>52.0198440822112</v>
      </c>
      <c r="J736">
        <v>49.629339616321218</v>
      </c>
      <c r="K736">
        <v>29.118773946360154</v>
      </c>
      <c r="L736">
        <v>7.7032185366321198</v>
      </c>
      <c r="M736">
        <v>86.657634112746791</v>
      </c>
      <c r="N736">
        <v>53.758771822937348</v>
      </c>
      <c r="O736">
        <v>9.83</v>
      </c>
      <c r="P736">
        <v>6.0000000000000497E-2</v>
      </c>
      <c r="Q736">
        <v>735</v>
      </c>
      <c r="R736">
        <v>11</v>
      </c>
      <c r="S736" t="s">
        <v>24</v>
      </c>
      <c r="T736" t="s">
        <v>78</v>
      </c>
      <c r="U736">
        <v>1000</v>
      </c>
      <c r="V736">
        <v>1000</v>
      </c>
    </row>
    <row r="737" spans="1:22" x14ac:dyDescent="0.3">
      <c r="A737" t="s">
        <v>874</v>
      </c>
      <c r="B737" t="s">
        <v>358</v>
      </c>
      <c r="C737">
        <v>4.6399999999999997</v>
      </c>
      <c r="D737">
        <v>3.37</v>
      </c>
      <c r="E737">
        <v>4.6100000000000003</v>
      </c>
      <c r="F737">
        <v>0.77</v>
      </c>
      <c r="G737">
        <v>62.25563909774435</v>
      </c>
      <c r="H737">
        <v>25.463280713795474</v>
      </c>
      <c r="I737">
        <v>33.309709425939047</v>
      </c>
      <c r="J737">
        <v>36.744966746657035</v>
      </c>
      <c r="K737">
        <v>75.095785440613028</v>
      </c>
      <c r="L737">
        <v>19.378299390266349</v>
      </c>
      <c r="M737">
        <v>66.435800891777689</v>
      </c>
      <c r="N737">
        <v>53.755379956426196</v>
      </c>
      <c r="O737">
        <v>5.0554237288135591</v>
      </c>
      <c r="P737">
        <v>-0.44542372881355874</v>
      </c>
      <c r="Q737">
        <v>736</v>
      </c>
      <c r="R737">
        <v>39</v>
      </c>
      <c r="S737" t="s">
        <v>24</v>
      </c>
      <c r="T737" t="s">
        <v>359</v>
      </c>
      <c r="U737">
        <v>10000</v>
      </c>
      <c r="V737">
        <v>1000</v>
      </c>
    </row>
    <row r="738" spans="1:22" x14ac:dyDescent="0.3">
      <c r="A738" t="s">
        <v>875</v>
      </c>
      <c r="B738" t="s">
        <v>77</v>
      </c>
      <c r="C738">
        <v>6.85</v>
      </c>
      <c r="D738">
        <v>14.58</v>
      </c>
      <c r="E738">
        <v>8.24</v>
      </c>
      <c r="F738">
        <v>1.77</v>
      </c>
      <c r="G738">
        <v>67.003222341568204</v>
      </c>
      <c r="H738">
        <v>44.698009608785178</v>
      </c>
      <c r="I738">
        <v>46.172927002126151</v>
      </c>
      <c r="J738">
        <v>49.89651085201227</v>
      </c>
      <c r="K738">
        <v>36.781609195402297</v>
      </c>
      <c r="L738">
        <v>12.473966893095575</v>
      </c>
      <c r="M738">
        <v>78.394455569226366</v>
      </c>
      <c r="N738">
        <v>53.742271617163297</v>
      </c>
      <c r="O738">
        <v>9.0435999999999996</v>
      </c>
      <c r="P738">
        <v>-0.80359999999999943</v>
      </c>
      <c r="Q738">
        <v>737</v>
      </c>
      <c r="R738">
        <v>14</v>
      </c>
      <c r="S738" t="s">
        <v>24</v>
      </c>
      <c r="T738" t="s">
        <v>78</v>
      </c>
      <c r="U738">
        <v>5000</v>
      </c>
      <c r="V738">
        <v>1000</v>
      </c>
    </row>
    <row r="739" spans="1:22" x14ac:dyDescent="0.3">
      <c r="A739" t="s">
        <v>876</v>
      </c>
      <c r="B739" t="s">
        <v>755</v>
      </c>
      <c r="C739">
        <v>5.09</v>
      </c>
      <c r="D739">
        <v>14.06</v>
      </c>
      <c r="E739">
        <v>12.1</v>
      </c>
      <c r="F739">
        <v>2.17</v>
      </c>
      <c r="G739">
        <v>63.222341568206232</v>
      </c>
      <c r="H739">
        <v>43.80576527110501</v>
      </c>
      <c r="I739">
        <v>59.851169383416014</v>
      </c>
      <c r="J739">
        <v>55.711782586680755</v>
      </c>
      <c r="K739">
        <v>21.455938697318011</v>
      </c>
      <c r="L739">
        <v>10.374835180442011</v>
      </c>
      <c r="M739">
        <v>82.030258347321421</v>
      </c>
      <c r="N739">
        <v>53.727440554500234</v>
      </c>
      <c r="O739">
        <v>11.035555555555554</v>
      </c>
      <c r="P739">
        <v>1.0644444444444456</v>
      </c>
      <c r="Q739">
        <v>738</v>
      </c>
      <c r="R739">
        <v>4</v>
      </c>
      <c r="S739" t="s">
        <v>24</v>
      </c>
      <c r="T739" t="s">
        <v>756</v>
      </c>
      <c r="U739">
        <v>1000</v>
      </c>
      <c r="V739">
        <v>1000</v>
      </c>
    </row>
    <row r="740" spans="1:22" x14ac:dyDescent="0.3">
      <c r="A740" t="s">
        <v>877</v>
      </c>
      <c r="B740" t="s">
        <v>155</v>
      </c>
      <c r="C740">
        <v>4.3600000000000003</v>
      </c>
      <c r="D740">
        <v>2.86</v>
      </c>
      <c r="E740">
        <v>4.75</v>
      </c>
      <c r="F740">
        <v>0.77</v>
      </c>
      <c r="G740">
        <v>61.65413533834586</v>
      </c>
      <c r="H740">
        <v>24.588194921070698</v>
      </c>
      <c r="I740">
        <v>33.805811481218996</v>
      </c>
      <c r="J740">
        <v>36.610191284599878</v>
      </c>
      <c r="K740">
        <v>75.095785440613028</v>
      </c>
      <c r="L740">
        <v>19.297571244927575</v>
      </c>
      <c r="M740">
        <v>66.575626141105246</v>
      </c>
      <c r="N740">
        <v>53.722948537729508</v>
      </c>
      <c r="O740">
        <v>5.2086538461538465</v>
      </c>
      <c r="P740">
        <v>-0.45865384615384652</v>
      </c>
      <c r="Q740">
        <v>739</v>
      </c>
      <c r="R740">
        <v>13</v>
      </c>
      <c r="S740" t="s">
        <v>24</v>
      </c>
      <c r="T740" t="s">
        <v>577</v>
      </c>
      <c r="U740">
        <v>1000</v>
      </c>
      <c r="V740">
        <v>1000</v>
      </c>
    </row>
    <row r="741" spans="1:22" x14ac:dyDescent="0.3">
      <c r="A741" t="s">
        <v>878</v>
      </c>
      <c r="B741" t="s">
        <v>383</v>
      </c>
      <c r="C741">
        <v>3.61</v>
      </c>
      <c r="D741">
        <v>6.9</v>
      </c>
      <c r="E741">
        <v>6.37</v>
      </c>
      <c r="F741">
        <v>1.22</v>
      </c>
      <c r="G741">
        <v>60.042964554242751</v>
      </c>
      <c r="H741">
        <v>31.520247083047359</v>
      </c>
      <c r="I741">
        <v>39.546420978029758</v>
      </c>
      <c r="J741">
        <v>41.237877524777637</v>
      </c>
      <c r="K741">
        <v>57.854406130268202</v>
      </c>
      <c r="L741">
        <v>14.708688916791836</v>
      </c>
      <c r="M741">
        <v>74.523803483391305</v>
      </c>
      <c r="N741">
        <v>53.713491165803696</v>
      </c>
      <c r="O741">
        <v>6.1480952380952392</v>
      </c>
      <c r="P741">
        <v>0.22190476190476094</v>
      </c>
      <c r="Q741">
        <v>740</v>
      </c>
      <c r="R741">
        <v>11</v>
      </c>
      <c r="S741" t="s">
        <v>24</v>
      </c>
      <c r="T741" t="s">
        <v>816</v>
      </c>
      <c r="U741">
        <v>5000</v>
      </c>
      <c r="V741">
        <v>1000</v>
      </c>
    </row>
    <row r="742" spans="1:22" x14ac:dyDescent="0.3">
      <c r="A742" t="s">
        <v>879</v>
      </c>
      <c r="B742" t="s">
        <v>199</v>
      </c>
      <c r="C742">
        <v>5.24</v>
      </c>
      <c r="D742">
        <v>21.05</v>
      </c>
      <c r="E742">
        <v>11.73</v>
      </c>
      <c r="F742">
        <v>2.62</v>
      </c>
      <c r="G742">
        <v>63.544575725026853</v>
      </c>
      <c r="H742">
        <v>55.799588194921078</v>
      </c>
      <c r="I742">
        <v>58.540042523033307</v>
      </c>
      <c r="J742">
        <v>58.718812864998348</v>
      </c>
      <c r="K742">
        <v>4.2145593869731712</v>
      </c>
      <c r="L742">
        <v>3.9272610119483775</v>
      </c>
      <c r="M742">
        <v>93.197784392721047</v>
      </c>
      <c r="N742">
        <v>53.712492377422727</v>
      </c>
      <c r="O742">
        <v>9.83</v>
      </c>
      <c r="P742">
        <v>1.9000000000000004</v>
      </c>
      <c r="Q742">
        <v>741</v>
      </c>
      <c r="R742">
        <v>12</v>
      </c>
      <c r="S742" t="s">
        <v>24</v>
      </c>
      <c r="T742" t="s">
        <v>78</v>
      </c>
      <c r="U742">
        <v>5000</v>
      </c>
      <c r="V742">
        <v>1000</v>
      </c>
    </row>
    <row r="743" spans="1:22" x14ac:dyDescent="0.3">
      <c r="A743" t="s">
        <v>880</v>
      </c>
      <c r="B743" t="s">
        <v>155</v>
      </c>
      <c r="C743">
        <v>4.42</v>
      </c>
      <c r="D743">
        <v>2.89</v>
      </c>
      <c r="E743">
        <v>4.74</v>
      </c>
      <c r="F743">
        <v>0.77</v>
      </c>
      <c r="G743">
        <v>61.783029001074105</v>
      </c>
      <c r="H743">
        <v>24.63967055593686</v>
      </c>
      <c r="I743">
        <v>33.770375620127567</v>
      </c>
      <c r="J743">
        <v>36.633694777059659</v>
      </c>
      <c r="K743">
        <v>75.095785440613028</v>
      </c>
      <c r="L743">
        <v>19.355049302418227</v>
      </c>
      <c r="M743">
        <v>66.476071225211072</v>
      </c>
      <c r="N743">
        <v>53.709811554985848</v>
      </c>
      <c r="O743">
        <v>5.2086538461538465</v>
      </c>
      <c r="P743">
        <v>-0.46865384615384631</v>
      </c>
      <c r="Q743">
        <v>742</v>
      </c>
      <c r="R743">
        <v>14</v>
      </c>
      <c r="S743" t="s">
        <v>24</v>
      </c>
      <c r="T743" t="s">
        <v>577</v>
      </c>
      <c r="U743">
        <v>1000</v>
      </c>
      <c r="V743">
        <v>1000</v>
      </c>
    </row>
    <row r="744" spans="1:22" x14ac:dyDescent="0.3">
      <c r="A744" t="s">
        <v>881</v>
      </c>
      <c r="B744" t="s">
        <v>161</v>
      </c>
      <c r="C744">
        <v>4.9400000000000004</v>
      </c>
      <c r="D744">
        <v>3.27</v>
      </c>
      <c r="E744">
        <v>5.29</v>
      </c>
      <c r="F744">
        <v>0.84</v>
      </c>
      <c r="G744">
        <v>62.900107411385605</v>
      </c>
      <c r="H744">
        <v>25.291695264241596</v>
      </c>
      <c r="I744">
        <v>35.719347980155916</v>
      </c>
      <c r="J744">
        <v>38.027204051627557</v>
      </c>
      <c r="K744">
        <v>72.41379310344827</v>
      </c>
      <c r="L744">
        <v>19.416154307910485</v>
      </c>
      <c r="M744">
        <v>66.370234251101706</v>
      </c>
      <c r="N744">
        <v>53.709608864451269</v>
      </c>
      <c r="O744">
        <v>4.9189795918367345</v>
      </c>
      <c r="P744">
        <v>0.37102040816326554</v>
      </c>
      <c r="Q744">
        <v>743</v>
      </c>
      <c r="R744">
        <v>39</v>
      </c>
      <c r="S744" t="s">
        <v>24</v>
      </c>
      <c r="T744" t="s">
        <v>535</v>
      </c>
      <c r="U744">
        <v>5000</v>
      </c>
      <c r="V744">
        <v>1000</v>
      </c>
    </row>
    <row r="745" spans="1:22" x14ac:dyDescent="0.3">
      <c r="A745" t="s">
        <v>882</v>
      </c>
      <c r="B745" t="s">
        <v>202</v>
      </c>
      <c r="C745">
        <v>4.12</v>
      </c>
      <c r="D745">
        <v>18.95</v>
      </c>
      <c r="E745">
        <v>11.9</v>
      </c>
      <c r="F745">
        <v>2.52</v>
      </c>
      <c r="G745">
        <v>61.138560687432864</v>
      </c>
      <c r="H745">
        <v>52.196293754289648</v>
      </c>
      <c r="I745">
        <v>59.142452161587521</v>
      </c>
      <c r="J745">
        <v>57.457826344567223</v>
      </c>
      <c r="K745">
        <v>8.045977011494255</v>
      </c>
      <c r="L745">
        <v>4.6939269943515658</v>
      </c>
      <c r="M745">
        <v>91.869879958764017</v>
      </c>
      <c r="N745">
        <v>53.707877414848184</v>
      </c>
      <c r="O745">
        <v>10.023387096774194</v>
      </c>
      <c r="P745">
        <v>1.8766129032258068</v>
      </c>
      <c r="Q745">
        <v>744</v>
      </c>
      <c r="R745">
        <v>27</v>
      </c>
      <c r="S745" t="s">
        <v>24</v>
      </c>
      <c r="T745" t="s">
        <v>78</v>
      </c>
      <c r="U745">
        <v>1000</v>
      </c>
      <c r="V745">
        <v>1000</v>
      </c>
    </row>
    <row r="746" spans="1:22" x14ac:dyDescent="0.3">
      <c r="A746" t="s">
        <v>883</v>
      </c>
      <c r="B746" t="s">
        <v>884</v>
      </c>
      <c r="C746">
        <v>6.02</v>
      </c>
      <c r="D746">
        <v>23.75</v>
      </c>
      <c r="E746">
        <v>9.35</v>
      </c>
      <c r="F746">
        <v>2.3199999999999998</v>
      </c>
      <c r="G746">
        <v>65.220193340494092</v>
      </c>
      <c r="H746">
        <v>60.432395332875778</v>
      </c>
      <c r="I746">
        <v>50.106307583274265</v>
      </c>
      <c r="J746">
        <v>56.226911059598692</v>
      </c>
      <c r="K746">
        <v>15.708812260536398</v>
      </c>
      <c r="L746">
        <v>7.7242112936803746</v>
      </c>
      <c r="M746">
        <v>86.621273590948263</v>
      </c>
      <c r="N746">
        <v>53.695976992670509</v>
      </c>
      <c r="O746">
        <v>9.6316666666666659</v>
      </c>
      <c r="P746">
        <v>-0.28166666666666629</v>
      </c>
      <c r="Q746">
        <v>745</v>
      </c>
      <c r="R746">
        <v>1</v>
      </c>
      <c r="S746" t="s">
        <v>24</v>
      </c>
      <c r="T746" t="s">
        <v>45</v>
      </c>
      <c r="U746">
        <v>1000</v>
      </c>
      <c r="V746">
        <v>1000</v>
      </c>
    </row>
    <row r="747" spans="1:22" x14ac:dyDescent="0.3">
      <c r="A747" t="s">
        <v>885</v>
      </c>
      <c r="B747" t="s">
        <v>262</v>
      </c>
      <c r="C747">
        <v>5.45</v>
      </c>
      <c r="D747">
        <v>4.41</v>
      </c>
      <c r="E747">
        <v>4</v>
      </c>
      <c r="F747">
        <v>0.73</v>
      </c>
      <c r="G747">
        <v>63.995703544575719</v>
      </c>
      <c r="H747">
        <v>27.247769389155806</v>
      </c>
      <c r="I747">
        <v>31.148121899362152</v>
      </c>
      <c r="J747">
        <v>36.547532475342962</v>
      </c>
      <c r="K747">
        <v>76.628352490421463</v>
      </c>
      <c r="L747">
        <v>20.184924384029458</v>
      </c>
      <c r="M747">
        <v>65.038685419925059</v>
      </c>
      <c r="N747">
        <v>53.690525715258111</v>
      </c>
      <c r="O747">
        <v>4.4728846153846158</v>
      </c>
      <c r="P747">
        <v>-0.47288461538461579</v>
      </c>
      <c r="Q747">
        <v>746</v>
      </c>
      <c r="R747">
        <v>44</v>
      </c>
      <c r="S747" t="s">
        <v>24</v>
      </c>
      <c r="T747" t="s">
        <v>295</v>
      </c>
      <c r="U747">
        <v>5000</v>
      </c>
      <c r="V747">
        <v>1000</v>
      </c>
    </row>
    <row r="748" spans="1:22" x14ac:dyDescent="0.3">
      <c r="A748" t="s">
        <v>886</v>
      </c>
      <c r="B748" t="s">
        <v>138</v>
      </c>
      <c r="C748">
        <v>0.39</v>
      </c>
      <c r="D748">
        <v>10.4</v>
      </c>
      <c r="E748">
        <v>9.68</v>
      </c>
      <c r="F748">
        <v>1.83</v>
      </c>
      <c r="G748">
        <v>53.125671321160041</v>
      </c>
      <c r="H748">
        <v>37.525737817433082</v>
      </c>
      <c r="I748">
        <v>51.275690999291278</v>
      </c>
      <c r="J748">
        <v>47.520701109107577</v>
      </c>
      <c r="K748">
        <v>34.482758620689658</v>
      </c>
      <c r="L748">
        <v>8.5229256030944445</v>
      </c>
      <c r="M748">
        <v>85.23785982631081</v>
      </c>
      <c r="N748">
        <v>53.690505166303907</v>
      </c>
      <c r="O748">
        <v>9.219019607843137</v>
      </c>
      <c r="P748">
        <v>0.46098039215686271</v>
      </c>
      <c r="Q748">
        <v>747</v>
      </c>
      <c r="R748">
        <v>15</v>
      </c>
      <c r="S748" t="s">
        <v>24</v>
      </c>
      <c r="T748" t="s">
        <v>134</v>
      </c>
      <c r="U748">
        <v>1000</v>
      </c>
      <c r="V748">
        <v>1000</v>
      </c>
    </row>
    <row r="749" spans="1:22" x14ac:dyDescent="0.3">
      <c r="A749" t="s">
        <v>887</v>
      </c>
      <c r="B749" t="s">
        <v>155</v>
      </c>
      <c r="C749">
        <v>4.57</v>
      </c>
      <c r="D749">
        <v>2.81</v>
      </c>
      <c r="E749">
        <v>4.63</v>
      </c>
      <c r="F749">
        <v>0.75</v>
      </c>
      <c r="G749">
        <v>62.105263157894733</v>
      </c>
      <c r="H749">
        <v>24.502402196293758</v>
      </c>
      <c r="I749">
        <v>33.380581148121898</v>
      </c>
      <c r="J749">
        <v>36.46206386452802</v>
      </c>
      <c r="K749">
        <v>75.862068965517238</v>
      </c>
      <c r="L749">
        <v>19.654959385020135</v>
      </c>
      <c r="M749">
        <v>65.956611724442396</v>
      </c>
      <c r="N749">
        <v>53.685702104753915</v>
      </c>
      <c r="O749">
        <v>5.2086538461538465</v>
      </c>
      <c r="P749">
        <v>-0.57865384615384663</v>
      </c>
      <c r="Q749">
        <v>748</v>
      </c>
      <c r="R749">
        <v>15</v>
      </c>
      <c r="S749" t="s">
        <v>24</v>
      </c>
      <c r="T749" t="s">
        <v>577</v>
      </c>
      <c r="U749">
        <v>5000</v>
      </c>
      <c r="V749">
        <v>1000</v>
      </c>
    </row>
    <row r="750" spans="1:22" x14ac:dyDescent="0.3">
      <c r="A750" t="s">
        <v>888</v>
      </c>
      <c r="B750" t="s">
        <v>755</v>
      </c>
      <c r="C750">
        <v>6.25</v>
      </c>
      <c r="D750">
        <v>15.33</v>
      </c>
      <c r="E750">
        <v>13.91</v>
      </c>
      <c r="F750">
        <v>2.35</v>
      </c>
      <c r="G750">
        <v>65.714285714285708</v>
      </c>
      <c r="H750">
        <v>45.984900480439265</v>
      </c>
      <c r="I750">
        <v>66.265060240963862</v>
      </c>
      <c r="J750">
        <v>60.070857407470854</v>
      </c>
      <c r="K750">
        <v>14.559386973180066</v>
      </c>
      <c r="L750">
        <v>11.553043424405224</v>
      </c>
      <c r="M750">
        <v>79.989541806880624</v>
      </c>
      <c r="N750">
        <v>53.6726608987506</v>
      </c>
      <c r="O750">
        <v>11.035555555555554</v>
      </c>
      <c r="P750">
        <v>2.8744444444444461</v>
      </c>
      <c r="Q750">
        <v>749</v>
      </c>
      <c r="R750">
        <v>5</v>
      </c>
      <c r="S750" t="s">
        <v>24</v>
      </c>
      <c r="T750" t="s">
        <v>291</v>
      </c>
      <c r="U750">
        <v>5000</v>
      </c>
      <c r="V750">
        <v>1000</v>
      </c>
    </row>
    <row r="751" spans="1:22" x14ac:dyDescent="0.3">
      <c r="A751" t="s">
        <v>889</v>
      </c>
      <c r="B751" t="s">
        <v>185</v>
      </c>
      <c r="C751">
        <v>5.74</v>
      </c>
      <c r="D751">
        <v>19.3</v>
      </c>
      <c r="E751">
        <v>11.74</v>
      </c>
      <c r="F751">
        <v>2.5</v>
      </c>
      <c r="G751">
        <v>64.618689581095595</v>
      </c>
      <c r="H751">
        <v>52.796842827728206</v>
      </c>
      <c r="I751">
        <v>58.575478384124736</v>
      </c>
      <c r="J751">
        <v>58.050529956599945</v>
      </c>
      <c r="K751">
        <v>8.812260536398453</v>
      </c>
      <c r="L751">
        <v>5.9114167947138139</v>
      </c>
      <c r="M751">
        <v>89.761125766839712</v>
      </c>
      <c r="N751">
        <v>53.668611554109518</v>
      </c>
      <c r="O751">
        <v>9.4014285714285712</v>
      </c>
      <c r="P751">
        <v>2.338571428571429</v>
      </c>
      <c r="Q751">
        <v>750</v>
      </c>
      <c r="R751">
        <v>5</v>
      </c>
      <c r="S751" t="s">
        <v>24</v>
      </c>
      <c r="T751" t="s">
        <v>666</v>
      </c>
      <c r="U751">
        <v>1000</v>
      </c>
      <c r="V751">
        <v>1000</v>
      </c>
    </row>
    <row r="752" spans="1:22" x14ac:dyDescent="0.3">
      <c r="A752" t="s">
        <v>890</v>
      </c>
      <c r="B752" t="s">
        <v>358</v>
      </c>
      <c r="C752">
        <v>4.96</v>
      </c>
      <c r="D752">
        <v>3.78</v>
      </c>
      <c r="E752">
        <v>5.77</v>
      </c>
      <c r="F752">
        <v>0.93</v>
      </c>
      <c r="G752">
        <v>62.943071965628349</v>
      </c>
      <c r="H752">
        <v>26.166781056966371</v>
      </c>
      <c r="I752">
        <v>37.420269312544292</v>
      </c>
      <c r="J752">
        <v>39.148783366487727</v>
      </c>
      <c r="K752">
        <v>68.965517241379317</v>
      </c>
      <c r="L752">
        <v>18.843876220960301</v>
      </c>
      <c r="M752">
        <v>67.361448973757746</v>
      </c>
      <c r="N752">
        <v>53.656133237028129</v>
      </c>
      <c r="O752">
        <v>5.0554237288135591</v>
      </c>
      <c r="P752">
        <v>0.71457627118644051</v>
      </c>
      <c r="Q752">
        <v>751</v>
      </c>
      <c r="R752">
        <v>40</v>
      </c>
      <c r="S752" t="s">
        <v>24</v>
      </c>
      <c r="T752" t="s">
        <v>359</v>
      </c>
      <c r="U752">
        <v>5000</v>
      </c>
      <c r="V752">
        <v>1000</v>
      </c>
    </row>
    <row r="753" spans="1:22" x14ac:dyDescent="0.3">
      <c r="A753" t="s">
        <v>891</v>
      </c>
      <c r="B753" t="s">
        <v>358</v>
      </c>
      <c r="C753">
        <v>4.96</v>
      </c>
      <c r="D753">
        <v>3.78</v>
      </c>
      <c r="E753">
        <v>5.77</v>
      </c>
      <c r="F753">
        <v>0.93</v>
      </c>
      <c r="G753">
        <v>62.943071965628349</v>
      </c>
      <c r="H753">
        <v>26.166781056966371</v>
      </c>
      <c r="I753">
        <v>37.420269312544292</v>
      </c>
      <c r="J753">
        <v>39.148783366487727</v>
      </c>
      <c r="K753">
        <v>68.965517241379317</v>
      </c>
      <c r="L753">
        <v>18.843876220960301</v>
      </c>
      <c r="M753">
        <v>67.361448973757746</v>
      </c>
      <c r="N753">
        <v>53.656133237028129</v>
      </c>
      <c r="O753">
        <v>5.0554237288135591</v>
      </c>
      <c r="P753">
        <v>0.71457627118644051</v>
      </c>
      <c r="Q753">
        <v>751</v>
      </c>
      <c r="R753">
        <v>40</v>
      </c>
      <c r="S753" t="s">
        <v>24</v>
      </c>
      <c r="T753" t="s">
        <v>359</v>
      </c>
      <c r="U753">
        <v>5000</v>
      </c>
      <c r="V753">
        <v>1000</v>
      </c>
    </row>
    <row r="754" spans="1:22" x14ac:dyDescent="0.3">
      <c r="A754" t="s">
        <v>892</v>
      </c>
      <c r="B754" t="s">
        <v>138</v>
      </c>
      <c r="C754">
        <v>6.44</v>
      </c>
      <c r="D754">
        <v>16.260000000000002</v>
      </c>
      <c r="E754">
        <v>9.06</v>
      </c>
      <c r="F754">
        <v>1.99</v>
      </c>
      <c r="G754">
        <v>66.122448979591837</v>
      </c>
      <c r="H754">
        <v>47.580645161290327</v>
      </c>
      <c r="I754">
        <v>49.078667611622961</v>
      </c>
      <c r="J754">
        <v>52.038017150116943</v>
      </c>
      <c r="K754">
        <v>28.352490421455933</v>
      </c>
      <c r="L754">
        <v>10.299943716813894</v>
      </c>
      <c r="M754">
        <v>82.159974167378508</v>
      </c>
      <c r="N754">
        <v>53.64712472226708</v>
      </c>
      <c r="O754">
        <v>9.219019607843137</v>
      </c>
      <c r="P754">
        <v>-0.15901960784313651</v>
      </c>
      <c r="Q754">
        <v>753</v>
      </c>
      <c r="R754">
        <v>16</v>
      </c>
      <c r="S754" t="s">
        <v>24</v>
      </c>
      <c r="T754" t="s">
        <v>134</v>
      </c>
      <c r="U754">
        <v>1000</v>
      </c>
      <c r="V754">
        <v>1000</v>
      </c>
    </row>
    <row r="755" spans="1:22" x14ac:dyDescent="0.3">
      <c r="A755" t="s">
        <v>893</v>
      </c>
      <c r="B755" t="s">
        <v>199</v>
      </c>
      <c r="C755">
        <v>4.92</v>
      </c>
      <c r="D755">
        <v>20.92</v>
      </c>
      <c r="E755">
        <v>11.65</v>
      </c>
      <c r="F755">
        <v>2.62</v>
      </c>
      <c r="G755">
        <v>62.857142857142854</v>
      </c>
      <c r="H755">
        <v>55.57652711050104</v>
      </c>
      <c r="I755">
        <v>58.256555634301911</v>
      </c>
      <c r="J755">
        <v>58.372664521729831</v>
      </c>
      <c r="K755">
        <v>4.2145593869731712</v>
      </c>
      <c r="L755">
        <v>3.6822846470998223</v>
      </c>
      <c r="M755">
        <v>93.622095903292276</v>
      </c>
      <c r="N755">
        <v>53.645496083431283</v>
      </c>
      <c r="O755">
        <v>9.83</v>
      </c>
      <c r="P755">
        <v>1.8200000000000003</v>
      </c>
      <c r="Q755">
        <v>754</v>
      </c>
      <c r="R755">
        <v>13</v>
      </c>
      <c r="S755" t="s">
        <v>24</v>
      </c>
      <c r="T755" t="s">
        <v>78</v>
      </c>
      <c r="U755">
        <v>5000</v>
      </c>
      <c r="V755">
        <v>1000</v>
      </c>
    </row>
    <row r="756" spans="1:22" x14ac:dyDescent="0.3">
      <c r="A756" t="s">
        <v>894</v>
      </c>
      <c r="B756" t="s">
        <v>410</v>
      </c>
      <c r="C756">
        <v>5.61</v>
      </c>
      <c r="D756">
        <v>4.74</v>
      </c>
      <c r="E756">
        <v>4.47</v>
      </c>
      <c r="F756">
        <v>0.81</v>
      </c>
      <c r="G756">
        <v>64.339419978517725</v>
      </c>
      <c r="H756">
        <v>27.814001372683599</v>
      </c>
      <c r="I756">
        <v>32.813607370659106</v>
      </c>
      <c r="J756">
        <v>37.618888092838176</v>
      </c>
      <c r="K756">
        <v>73.563218390804593</v>
      </c>
      <c r="L756">
        <v>19.803110551342787</v>
      </c>
      <c r="M756">
        <v>65.700006377170979</v>
      </c>
      <c r="N756">
        <v>53.625250238412981</v>
      </c>
      <c r="O756">
        <v>4.4264935064935065</v>
      </c>
      <c r="P756">
        <v>4.3506493506493271E-2</v>
      </c>
      <c r="Q756">
        <v>755</v>
      </c>
      <c r="R756">
        <v>41</v>
      </c>
      <c r="S756" t="s">
        <v>24</v>
      </c>
      <c r="T756" t="s">
        <v>499</v>
      </c>
      <c r="U756">
        <v>5000</v>
      </c>
      <c r="V756">
        <v>1000</v>
      </c>
    </row>
    <row r="757" spans="1:22" x14ac:dyDescent="0.3">
      <c r="A757" t="s">
        <v>895</v>
      </c>
      <c r="B757" t="s">
        <v>185</v>
      </c>
      <c r="C757">
        <v>5.71</v>
      </c>
      <c r="D757">
        <v>19.239999999999998</v>
      </c>
      <c r="E757">
        <v>11.72</v>
      </c>
      <c r="F757">
        <v>2.5</v>
      </c>
      <c r="G757">
        <v>64.554242749731472</v>
      </c>
      <c r="H757">
        <v>52.693891557995883</v>
      </c>
      <c r="I757">
        <v>58.504606661941885</v>
      </c>
      <c r="J757">
        <v>57.971319348316001</v>
      </c>
      <c r="K757">
        <v>8.812260536398453</v>
      </c>
      <c r="L757">
        <v>5.9305766611858823</v>
      </c>
      <c r="M757">
        <v>89.727939904643861</v>
      </c>
      <c r="N757">
        <v>53.62070978441858</v>
      </c>
      <c r="O757">
        <v>9.4014285714285712</v>
      </c>
      <c r="P757">
        <v>2.3185714285714294</v>
      </c>
      <c r="Q757">
        <v>756</v>
      </c>
      <c r="R757">
        <v>6</v>
      </c>
      <c r="S757" t="s">
        <v>24</v>
      </c>
      <c r="T757" t="s">
        <v>666</v>
      </c>
      <c r="U757">
        <v>1000</v>
      </c>
      <c r="V757">
        <v>1000</v>
      </c>
    </row>
    <row r="758" spans="1:22" x14ac:dyDescent="0.3">
      <c r="A758" t="s">
        <v>896</v>
      </c>
      <c r="B758" t="s">
        <v>262</v>
      </c>
      <c r="C758">
        <v>5.49</v>
      </c>
      <c r="D758">
        <v>4.3899999999999997</v>
      </c>
      <c r="E758">
        <v>3.96</v>
      </c>
      <c r="F758">
        <v>0.73</v>
      </c>
      <c r="G758">
        <v>64.08163265306122</v>
      </c>
      <c r="H758">
        <v>27.213452299245027</v>
      </c>
      <c r="I758">
        <v>31.006378454996451</v>
      </c>
      <c r="J758">
        <v>36.483551447883976</v>
      </c>
      <c r="K758">
        <v>76.628352490421463</v>
      </c>
      <c r="L758">
        <v>20.279798863610978</v>
      </c>
      <c r="M758">
        <v>64.874358000948206</v>
      </c>
      <c r="N758">
        <v>53.617453346784409</v>
      </c>
      <c r="O758">
        <v>4.4728846153846158</v>
      </c>
      <c r="P758">
        <v>-0.51288461538461583</v>
      </c>
      <c r="Q758">
        <v>757</v>
      </c>
      <c r="R758">
        <v>45</v>
      </c>
      <c r="S758" t="s">
        <v>24</v>
      </c>
      <c r="T758" t="s">
        <v>295</v>
      </c>
      <c r="U758">
        <v>5000</v>
      </c>
      <c r="V758">
        <v>1000</v>
      </c>
    </row>
    <row r="759" spans="1:22" x14ac:dyDescent="0.3">
      <c r="A759" t="s">
        <v>897</v>
      </c>
      <c r="B759" t="s">
        <v>202</v>
      </c>
      <c r="C759">
        <v>4.72</v>
      </c>
      <c r="D759">
        <v>14</v>
      </c>
      <c r="E759">
        <v>9.9700000000000006</v>
      </c>
      <c r="F759">
        <v>2.02</v>
      </c>
      <c r="G759">
        <v>62.427497314715353</v>
      </c>
      <c r="H759">
        <v>43.702814001372694</v>
      </c>
      <c r="I759">
        <v>52.303330970942596</v>
      </c>
      <c r="J759">
        <v>51.748009148826178</v>
      </c>
      <c r="K759">
        <v>27.203065134099624</v>
      </c>
      <c r="L759">
        <v>9.3726677230944055</v>
      </c>
      <c r="M759">
        <v>83.766063301139582</v>
      </c>
      <c r="N759">
        <v>53.616286683222889</v>
      </c>
      <c r="O759">
        <v>10.023387096774194</v>
      </c>
      <c r="P759">
        <v>-5.3387096774192955E-2</v>
      </c>
      <c r="Q759">
        <v>758</v>
      </c>
      <c r="R759">
        <v>28</v>
      </c>
      <c r="S759" t="s">
        <v>24</v>
      </c>
      <c r="T759" t="s">
        <v>78</v>
      </c>
      <c r="U759">
        <v>1000</v>
      </c>
      <c r="V759">
        <v>1000</v>
      </c>
    </row>
    <row r="760" spans="1:22" x14ac:dyDescent="0.3">
      <c r="A760" t="s">
        <v>898</v>
      </c>
      <c r="B760" t="s">
        <v>77</v>
      </c>
      <c r="C760">
        <v>5.53</v>
      </c>
      <c r="D760">
        <v>14.11</v>
      </c>
      <c r="E760">
        <v>7.99</v>
      </c>
      <c r="F760">
        <v>1.77</v>
      </c>
      <c r="G760">
        <v>64.167561761546722</v>
      </c>
      <c r="H760">
        <v>43.891557995881954</v>
      </c>
      <c r="I760">
        <v>45.287030474840535</v>
      </c>
      <c r="J760">
        <v>48.644494988494202</v>
      </c>
      <c r="K760">
        <v>36.781609195402297</v>
      </c>
      <c r="L760">
        <v>11.325032257592571</v>
      </c>
      <c r="M760">
        <v>80.384468732493204</v>
      </c>
      <c r="N760">
        <v>53.613766976220973</v>
      </c>
      <c r="O760">
        <v>9.0435999999999996</v>
      </c>
      <c r="P760">
        <v>-1.0535999999999994</v>
      </c>
      <c r="Q760">
        <v>759</v>
      </c>
      <c r="R760">
        <v>15</v>
      </c>
      <c r="S760" t="s">
        <v>24</v>
      </c>
      <c r="T760" t="s">
        <v>78</v>
      </c>
      <c r="U760">
        <v>5000</v>
      </c>
      <c r="V760">
        <v>1000</v>
      </c>
    </row>
    <row r="761" spans="1:22" x14ac:dyDescent="0.3">
      <c r="A761" t="s">
        <v>899</v>
      </c>
      <c r="B761" t="s">
        <v>161</v>
      </c>
      <c r="C761">
        <v>4.9400000000000004</v>
      </c>
      <c r="D761">
        <v>3.27</v>
      </c>
      <c r="E761">
        <v>5.2</v>
      </c>
      <c r="F761">
        <v>0.84</v>
      </c>
      <c r="G761">
        <v>62.900107411385605</v>
      </c>
      <c r="H761">
        <v>25.291695264241596</v>
      </c>
      <c r="I761">
        <v>35.400425230333099</v>
      </c>
      <c r="J761">
        <v>37.867742676716148</v>
      </c>
      <c r="K761">
        <v>72.41379310344827</v>
      </c>
      <c r="L761">
        <v>19.462834693400062</v>
      </c>
      <c r="M761">
        <v>66.289381451716864</v>
      </c>
      <c r="N761">
        <v>53.60966497714935</v>
      </c>
      <c r="O761">
        <v>4.9189795918367345</v>
      </c>
      <c r="P761">
        <v>0.28102040816326568</v>
      </c>
      <c r="Q761">
        <v>760</v>
      </c>
      <c r="R761">
        <v>40</v>
      </c>
      <c r="S761" t="s">
        <v>24</v>
      </c>
      <c r="T761" t="s">
        <v>535</v>
      </c>
      <c r="U761">
        <v>5000</v>
      </c>
      <c r="V761">
        <v>1000</v>
      </c>
    </row>
    <row r="762" spans="1:22" x14ac:dyDescent="0.3">
      <c r="A762" t="s">
        <v>900</v>
      </c>
      <c r="B762" t="s">
        <v>195</v>
      </c>
      <c r="C762">
        <v>0.16</v>
      </c>
      <c r="D762">
        <v>11.34</v>
      </c>
      <c r="E762">
        <v>9.7100000000000009</v>
      </c>
      <c r="F762">
        <v>1.91</v>
      </c>
      <c r="G762">
        <v>52.631578947368418</v>
      </c>
      <c r="H762">
        <v>39.138641043239545</v>
      </c>
      <c r="I762">
        <v>51.381998582565558</v>
      </c>
      <c r="J762">
        <v>47.958907393728325</v>
      </c>
      <c r="K762">
        <v>31.417624521072796</v>
      </c>
      <c r="L762">
        <v>7.4556536512965517</v>
      </c>
      <c r="M762">
        <v>87.086429072317955</v>
      </c>
      <c r="N762">
        <v>53.60546709521185</v>
      </c>
      <c r="O762">
        <v>10.412619047619048</v>
      </c>
      <c r="P762">
        <v>-0.70261904761904681</v>
      </c>
      <c r="Q762">
        <v>761</v>
      </c>
      <c r="R762">
        <v>24</v>
      </c>
      <c r="S762" t="s">
        <v>24</v>
      </c>
      <c r="T762" t="s">
        <v>196</v>
      </c>
      <c r="U762">
        <v>1000</v>
      </c>
      <c r="V762">
        <v>1000</v>
      </c>
    </row>
    <row r="763" spans="1:22" x14ac:dyDescent="0.3">
      <c r="A763" t="s">
        <v>901</v>
      </c>
      <c r="B763" t="s">
        <v>844</v>
      </c>
      <c r="C763">
        <v>4.9400000000000004</v>
      </c>
      <c r="D763">
        <v>4.0199999999999996</v>
      </c>
      <c r="E763">
        <v>4.59</v>
      </c>
      <c r="F763">
        <v>0.81</v>
      </c>
      <c r="G763">
        <v>62.900107411385605</v>
      </c>
      <c r="H763">
        <v>26.578586135895677</v>
      </c>
      <c r="I763">
        <v>33.238837703756197</v>
      </c>
      <c r="J763">
        <v>37.173016174923923</v>
      </c>
      <c r="K763">
        <v>73.563218390804593</v>
      </c>
      <c r="L763">
        <v>19.336505972649203</v>
      </c>
      <c r="M763">
        <v>66.508189214512527</v>
      </c>
      <c r="N763">
        <v>53.604359988791245</v>
      </c>
      <c r="O763">
        <v>4.4820000000000002</v>
      </c>
      <c r="P763">
        <v>0.10799999999999965</v>
      </c>
      <c r="Q763">
        <v>762</v>
      </c>
      <c r="R763">
        <v>2</v>
      </c>
      <c r="S763" t="s">
        <v>24</v>
      </c>
      <c r="T763" t="s">
        <v>845</v>
      </c>
      <c r="U763">
        <v>5000</v>
      </c>
      <c r="V763">
        <v>1000</v>
      </c>
    </row>
    <row r="764" spans="1:22" x14ac:dyDescent="0.3">
      <c r="A764" t="s">
        <v>902</v>
      </c>
      <c r="B764" t="s">
        <v>199</v>
      </c>
      <c r="C764">
        <v>1.82</v>
      </c>
      <c r="D764">
        <v>12.58</v>
      </c>
      <c r="E764">
        <v>9.66</v>
      </c>
      <c r="F764">
        <v>1.97</v>
      </c>
      <c r="G764">
        <v>56.197636949516649</v>
      </c>
      <c r="H764">
        <v>41.266300617707621</v>
      </c>
      <c r="I764">
        <v>51.204819277108427</v>
      </c>
      <c r="J764">
        <v>49.221827213769828</v>
      </c>
      <c r="K764">
        <v>29.118773946360154</v>
      </c>
      <c r="L764">
        <v>7.6009559278945318</v>
      </c>
      <c r="M764">
        <v>86.834758146794826</v>
      </c>
      <c r="N764">
        <v>53.599296630173654</v>
      </c>
      <c r="O764">
        <v>9.83</v>
      </c>
      <c r="P764">
        <v>-0.16999999999999993</v>
      </c>
      <c r="Q764">
        <v>763</v>
      </c>
      <c r="R764">
        <v>14</v>
      </c>
      <c r="S764" t="s">
        <v>24</v>
      </c>
      <c r="T764" t="s">
        <v>78</v>
      </c>
      <c r="U764">
        <v>1000</v>
      </c>
      <c r="V764">
        <v>1000</v>
      </c>
    </row>
    <row r="765" spans="1:22" x14ac:dyDescent="0.3">
      <c r="A765" t="s">
        <v>903</v>
      </c>
      <c r="B765" t="s">
        <v>195</v>
      </c>
      <c r="C765">
        <v>0.16</v>
      </c>
      <c r="D765">
        <v>11.33</v>
      </c>
      <c r="E765">
        <v>9.7100000000000009</v>
      </c>
      <c r="F765">
        <v>1.91</v>
      </c>
      <c r="G765">
        <v>52.631578947368418</v>
      </c>
      <c r="H765">
        <v>39.121482498284152</v>
      </c>
      <c r="I765">
        <v>51.381998582565558</v>
      </c>
      <c r="J765">
        <v>47.953759830241708</v>
      </c>
      <c r="K765">
        <v>31.417624521072796</v>
      </c>
      <c r="L765">
        <v>7.4655253421374974</v>
      </c>
      <c r="M765">
        <v>87.069330802224826</v>
      </c>
      <c r="N765">
        <v>53.598618745945259</v>
      </c>
      <c r="O765">
        <v>10.412619047619048</v>
      </c>
      <c r="P765">
        <v>-0.70261904761904681</v>
      </c>
      <c r="Q765">
        <v>764</v>
      </c>
      <c r="R765">
        <v>25</v>
      </c>
      <c r="S765" t="s">
        <v>24</v>
      </c>
      <c r="T765" t="s">
        <v>196</v>
      </c>
      <c r="U765">
        <v>1000</v>
      </c>
      <c r="V765">
        <v>1000</v>
      </c>
    </row>
    <row r="766" spans="1:22" x14ac:dyDescent="0.3">
      <c r="A766" t="s">
        <v>904</v>
      </c>
      <c r="B766" t="s">
        <v>229</v>
      </c>
      <c r="C766">
        <v>5.0599999999999996</v>
      </c>
      <c r="D766">
        <v>4.07</v>
      </c>
      <c r="E766">
        <v>4.75</v>
      </c>
      <c r="F766">
        <v>0.83</v>
      </c>
      <c r="G766">
        <v>63.157894736842103</v>
      </c>
      <c r="H766">
        <v>26.66437886067262</v>
      </c>
      <c r="I766">
        <v>33.805811481218996</v>
      </c>
      <c r="J766">
        <v>37.533798346179708</v>
      </c>
      <c r="K766">
        <v>72.796934865900369</v>
      </c>
      <c r="L766">
        <v>19.340465145746744</v>
      </c>
      <c r="M766">
        <v>66.501331725551637</v>
      </c>
      <c r="N766">
        <v>53.591465820952855</v>
      </c>
      <c r="O766">
        <v>5.1221052631578941</v>
      </c>
      <c r="P766">
        <v>-0.37210526315789405</v>
      </c>
      <c r="Q766">
        <v>765</v>
      </c>
      <c r="R766">
        <v>36</v>
      </c>
      <c r="S766" t="s">
        <v>24</v>
      </c>
      <c r="T766" t="s">
        <v>230</v>
      </c>
      <c r="U766">
        <v>5000</v>
      </c>
      <c r="V766">
        <v>1000</v>
      </c>
    </row>
    <row r="767" spans="1:22" x14ac:dyDescent="0.3">
      <c r="A767" t="s">
        <v>905</v>
      </c>
      <c r="B767" t="s">
        <v>229</v>
      </c>
      <c r="C767">
        <v>5.0599999999999996</v>
      </c>
      <c r="D767">
        <v>4.07</v>
      </c>
      <c r="E767">
        <v>4.75</v>
      </c>
      <c r="F767">
        <v>0.83</v>
      </c>
      <c r="G767">
        <v>63.157894736842103</v>
      </c>
      <c r="H767">
        <v>26.66437886067262</v>
      </c>
      <c r="I767">
        <v>33.805811481218996</v>
      </c>
      <c r="J767">
        <v>37.533798346179708</v>
      </c>
      <c r="K767">
        <v>72.796934865900369</v>
      </c>
      <c r="L767">
        <v>19.340465145746744</v>
      </c>
      <c r="M767">
        <v>66.501331725551637</v>
      </c>
      <c r="N767">
        <v>53.591465820952855</v>
      </c>
      <c r="O767">
        <v>5.1221052631578941</v>
      </c>
      <c r="P767">
        <v>-0.37210526315789405</v>
      </c>
      <c r="Q767">
        <v>765</v>
      </c>
      <c r="R767">
        <v>36</v>
      </c>
      <c r="S767" t="s">
        <v>24</v>
      </c>
      <c r="T767" t="s">
        <v>230</v>
      </c>
      <c r="U767">
        <v>5000</v>
      </c>
      <c r="V767">
        <v>1000</v>
      </c>
    </row>
    <row r="768" spans="1:22" x14ac:dyDescent="0.3">
      <c r="A768" t="s">
        <v>906</v>
      </c>
      <c r="B768" t="s">
        <v>410</v>
      </c>
      <c r="C768">
        <v>5.61</v>
      </c>
      <c r="D768">
        <v>4.74</v>
      </c>
      <c r="E768">
        <v>4.4400000000000004</v>
      </c>
      <c r="F768">
        <v>0.81</v>
      </c>
      <c r="G768">
        <v>64.339419978517725</v>
      </c>
      <c r="H768">
        <v>27.814001372683599</v>
      </c>
      <c r="I768">
        <v>32.707299787384834</v>
      </c>
      <c r="J768">
        <v>37.565734301201047</v>
      </c>
      <c r="K768">
        <v>73.563218390804593</v>
      </c>
      <c r="L768">
        <v>19.826924460999191</v>
      </c>
      <c r="M768">
        <v>65.658759475719222</v>
      </c>
      <c r="N768">
        <v>53.588361617231477</v>
      </c>
      <c r="O768">
        <v>4.4264935064935065</v>
      </c>
      <c r="P768">
        <v>1.3506493506493911E-2</v>
      </c>
      <c r="Q768">
        <v>767</v>
      </c>
      <c r="R768">
        <v>42</v>
      </c>
      <c r="S768" t="s">
        <v>24</v>
      </c>
      <c r="T768" t="s">
        <v>499</v>
      </c>
      <c r="U768">
        <v>5000</v>
      </c>
      <c r="V768">
        <v>1000</v>
      </c>
    </row>
    <row r="769" spans="1:22" x14ac:dyDescent="0.3">
      <c r="A769" t="s">
        <v>907</v>
      </c>
      <c r="B769" t="s">
        <v>358</v>
      </c>
      <c r="C769">
        <v>4.97</v>
      </c>
      <c r="D769">
        <v>3.78</v>
      </c>
      <c r="E769">
        <v>5.71</v>
      </c>
      <c r="F769">
        <v>0.93</v>
      </c>
      <c r="G769">
        <v>62.964554242749728</v>
      </c>
      <c r="H769">
        <v>26.166781056966371</v>
      </c>
      <c r="I769">
        <v>37.207654145995747</v>
      </c>
      <c r="J769">
        <v>39.046772238637729</v>
      </c>
      <c r="K769">
        <v>68.965517241379317</v>
      </c>
      <c r="L769">
        <v>18.882950390032516</v>
      </c>
      <c r="M769">
        <v>67.293770527661138</v>
      </c>
      <c r="N769">
        <v>53.588208061578982</v>
      </c>
      <c r="O769">
        <v>5.0554237288135591</v>
      </c>
      <c r="P769">
        <v>0.65457627118644091</v>
      </c>
      <c r="Q769">
        <v>768</v>
      </c>
      <c r="R769">
        <v>42</v>
      </c>
      <c r="S769" t="s">
        <v>24</v>
      </c>
      <c r="T769" t="s">
        <v>359</v>
      </c>
      <c r="U769">
        <v>5000</v>
      </c>
      <c r="V769">
        <v>1000</v>
      </c>
    </row>
    <row r="770" spans="1:22" x14ac:dyDescent="0.3">
      <c r="A770" t="s">
        <v>908</v>
      </c>
      <c r="B770" t="s">
        <v>358</v>
      </c>
      <c r="C770">
        <v>4.97</v>
      </c>
      <c r="D770">
        <v>3.78</v>
      </c>
      <c r="E770">
        <v>5.71</v>
      </c>
      <c r="F770">
        <v>0.93</v>
      </c>
      <c r="G770">
        <v>62.964554242749728</v>
      </c>
      <c r="H770">
        <v>26.166781056966371</v>
      </c>
      <c r="I770">
        <v>37.207654145995747</v>
      </c>
      <c r="J770">
        <v>39.046772238637729</v>
      </c>
      <c r="K770">
        <v>68.965517241379317</v>
      </c>
      <c r="L770">
        <v>18.882950390032516</v>
      </c>
      <c r="M770">
        <v>67.293770527661138</v>
      </c>
      <c r="N770">
        <v>53.588208061578982</v>
      </c>
      <c r="O770">
        <v>5.0554237288135591</v>
      </c>
      <c r="P770">
        <v>0.65457627118644091</v>
      </c>
      <c r="Q770">
        <v>768</v>
      </c>
      <c r="R770">
        <v>42</v>
      </c>
      <c r="S770" t="s">
        <v>24</v>
      </c>
      <c r="T770" t="s">
        <v>359</v>
      </c>
      <c r="U770">
        <v>5000</v>
      </c>
      <c r="V770">
        <v>1000</v>
      </c>
    </row>
    <row r="771" spans="1:22" x14ac:dyDescent="0.3">
      <c r="A771" t="s">
        <v>909</v>
      </c>
      <c r="B771" t="s">
        <v>262</v>
      </c>
      <c r="C771">
        <v>5.49</v>
      </c>
      <c r="D771">
        <v>4.3899999999999997</v>
      </c>
      <c r="E771">
        <v>3.92</v>
      </c>
      <c r="F771">
        <v>0.73</v>
      </c>
      <c r="G771">
        <v>64.08163265306122</v>
      </c>
      <c r="H771">
        <v>27.213452299245027</v>
      </c>
      <c r="I771">
        <v>30.86463501063076</v>
      </c>
      <c r="J771">
        <v>36.412679725701132</v>
      </c>
      <c r="K771">
        <v>76.628352490421463</v>
      </c>
      <c r="L771">
        <v>20.314046003404766</v>
      </c>
      <c r="M771">
        <v>64.815040214811447</v>
      </c>
      <c r="N771">
        <v>53.567188039158793</v>
      </c>
      <c r="O771">
        <v>4.4728846153846158</v>
      </c>
      <c r="P771">
        <v>-0.55288461538461586</v>
      </c>
      <c r="Q771">
        <v>770</v>
      </c>
      <c r="R771">
        <v>46</v>
      </c>
      <c r="S771" t="s">
        <v>24</v>
      </c>
      <c r="T771" t="s">
        <v>295</v>
      </c>
      <c r="U771">
        <v>5000</v>
      </c>
      <c r="V771">
        <v>1000</v>
      </c>
    </row>
    <row r="772" spans="1:22" x14ac:dyDescent="0.3">
      <c r="A772" t="s">
        <v>910</v>
      </c>
      <c r="B772" t="s">
        <v>44</v>
      </c>
      <c r="C772">
        <v>5.94</v>
      </c>
      <c r="D772">
        <v>10.16</v>
      </c>
      <c r="E772">
        <v>6.96</v>
      </c>
      <c r="F772">
        <v>1.42</v>
      </c>
      <c r="G772">
        <v>65.048335123523088</v>
      </c>
      <c r="H772">
        <v>37.113932738503777</v>
      </c>
      <c r="I772">
        <v>41.637136782423809</v>
      </c>
      <c r="J772">
        <v>44.962415237467653</v>
      </c>
      <c r="K772">
        <v>50.191570881226056</v>
      </c>
      <c r="L772">
        <v>14.993745469347081</v>
      </c>
      <c r="M772">
        <v>74.030071051335199</v>
      </c>
      <c r="N772">
        <v>53.53661810187414</v>
      </c>
      <c r="O772">
        <v>7.5967647058823538</v>
      </c>
      <c r="P772">
        <v>-0.63676470588235379</v>
      </c>
      <c r="Q772">
        <v>771</v>
      </c>
      <c r="R772">
        <v>30</v>
      </c>
      <c r="S772" t="s">
        <v>24</v>
      </c>
      <c r="T772" t="s">
        <v>112</v>
      </c>
      <c r="U772">
        <v>5000</v>
      </c>
      <c r="V772">
        <v>1000</v>
      </c>
    </row>
    <row r="773" spans="1:22" x14ac:dyDescent="0.3">
      <c r="A773" t="s">
        <v>911</v>
      </c>
      <c r="B773" t="s">
        <v>229</v>
      </c>
      <c r="C773">
        <v>5.0599999999999996</v>
      </c>
      <c r="D773">
        <v>4.07</v>
      </c>
      <c r="E773">
        <v>4.6900000000000004</v>
      </c>
      <c r="F773">
        <v>0.83</v>
      </c>
      <c r="G773">
        <v>63.157894736842103</v>
      </c>
      <c r="H773">
        <v>26.66437886067262</v>
      </c>
      <c r="I773">
        <v>33.59319631467045</v>
      </c>
      <c r="J773">
        <v>37.427490762905435</v>
      </c>
      <c r="K773">
        <v>72.796934865900369</v>
      </c>
      <c r="L773">
        <v>19.381505811421611</v>
      </c>
      <c r="M773">
        <v>66.430247207426305</v>
      </c>
      <c r="N773">
        <v>53.520540899784386</v>
      </c>
      <c r="O773">
        <v>5.1221052631578941</v>
      </c>
      <c r="P773">
        <v>-0.43210526315789366</v>
      </c>
      <c r="Q773">
        <v>772</v>
      </c>
      <c r="R773">
        <v>38</v>
      </c>
      <c r="S773" t="s">
        <v>24</v>
      </c>
      <c r="T773" t="s">
        <v>230</v>
      </c>
      <c r="U773">
        <v>5000</v>
      </c>
      <c r="V773">
        <v>1000</v>
      </c>
    </row>
    <row r="774" spans="1:22" x14ac:dyDescent="0.3">
      <c r="A774" t="s">
        <v>912</v>
      </c>
      <c r="B774" t="s">
        <v>755</v>
      </c>
      <c r="C774">
        <v>6.26</v>
      </c>
      <c r="D774">
        <v>15.34</v>
      </c>
      <c r="E774">
        <v>13.55</v>
      </c>
      <c r="F774">
        <v>2.35</v>
      </c>
      <c r="G774">
        <v>65.735767991407073</v>
      </c>
      <c r="H774">
        <v>46.002059025394651</v>
      </c>
      <c r="I774">
        <v>64.989369241672577</v>
      </c>
      <c r="J774">
        <v>59.442455926736102</v>
      </c>
      <c r="K774">
        <v>14.559386973180066</v>
      </c>
      <c r="L774">
        <v>11.184023798094438</v>
      </c>
      <c r="M774">
        <v>80.628702548640987</v>
      </c>
      <c r="N774">
        <v>53.518250343823311</v>
      </c>
      <c r="O774">
        <v>11.035555555555554</v>
      </c>
      <c r="P774">
        <v>2.5144444444444467</v>
      </c>
      <c r="Q774">
        <v>773</v>
      </c>
      <c r="R774">
        <v>6</v>
      </c>
      <c r="S774" t="s">
        <v>24</v>
      </c>
      <c r="T774" t="s">
        <v>291</v>
      </c>
      <c r="U774">
        <v>5000</v>
      </c>
      <c r="V774">
        <v>1000</v>
      </c>
    </row>
    <row r="775" spans="1:22" x14ac:dyDescent="0.3">
      <c r="A775" t="s">
        <v>913</v>
      </c>
      <c r="B775" t="s">
        <v>358</v>
      </c>
      <c r="C775">
        <v>4.97</v>
      </c>
      <c r="D775">
        <v>3.79</v>
      </c>
      <c r="E775">
        <v>5.64</v>
      </c>
      <c r="F775">
        <v>0.93</v>
      </c>
      <c r="G775">
        <v>62.964554242749728</v>
      </c>
      <c r="H775">
        <v>26.183939601921765</v>
      </c>
      <c r="I775">
        <v>36.959603118355773</v>
      </c>
      <c r="J775">
        <v>38.927894288304358</v>
      </c>
      <c r="K775">
        <v>68.965517241379317</v>
      </c>
      <c r="L775">
        <v>18.908490247146535</v>
      </c>
      <c r="M775">
        <v>67.249534197521598</v>
      </c>
      <c r="N775">
        <v>53.517710003877411</v>
      </c>
      <c r="O775">
        <v>5.0554237288135591</v>
      </c>
      <c r="P775">
        <v>0.58457627118644062</v>
      </c>
      <c r="Q775">
        <v>774</v>
      </c>
      <c r="R775">
        <v>44</v>
      </c>
      <c r="S775" t="s">
        <v>24</v>
      </c>
      <c r="T775" t="s">
        <v>359</v>
      </c>
      <c r="U775">
        <v>5000</v>
      </c>
      <c r="V775">
        <v>1000</v>
      </c>
    </row>
    <row r="776" spans="1:22" x14ac:dyDescent="0.3">
      <c r="A776" t="s">
        <v>914</v>
      </c>
      <c r="B776" t="s">
        <v>551</v>
      </c>
      <c r="C776">
        <v>5.45</v>
      </c>
      <c r="D776">
        <v>1.71</v>
      </c>
      <c r="E776">
        <v>3.35</v>
      </c>
      <c r="F776">
        <v>0.52</v>
      </c>
      <c r="G776">
        <v>63.995703544575719</v>
      </c>
      <c r="H776">
        <v>22.614962251201103</v>
      </c>
      <c r="I776">
        <v>28.844790928419563</v>
      </c>
      <c r="J776">
        <v>34.006024848485254</v>
      </c>
      <c r="K776">
        <v>84.674329501915707</v>
      </c>
      <c r="L776">
        <v>22.311294498098711</v>
      </c>
      <c r="M776">
        <v>61.355704346661078</v>
      </c>
      <c r="N776">
        <v>53.510520886386821</v>
      </c>
      <c r="O776">
        <v>3.9855555555555551</v>
      </c>
      <c r="P776">
        <v>-0.63555555555555499</v>
      </c>
      <c r="Q776">
        <v>775</v>
      </c>
      <c r="R776">
        <v>5</v>
      </c>
      <c r="S776" t="s">
        <v>24</v>
      </c>
      <c r="T776" t="s">
        <v>45</v>
      </c>
      <c r="U776">
        <v>1000</v>
      </c>
      <c r="V776">
        <v>1000</v>
      </c>
    </row>
    <row r="777" spans="1:22" x14ac:dyDescent="0.3">
      <c r="A777" t="s">
        <v>915</v>
      </c>
      <c r="B777" t="s">
        <v>358</v>
      </c>
      <c r="C777">
        <v>4.8600000000000003</v>
      </c>
      <c r="D777">
        <v>1.96</v>
      </c>
      <c r="E777">
        <v>4.04</v>
      </c>
      <c r="F777">
        <v>0.64</v>
      </c>
      <c r="G777">
        <v>62.728249194414609</v>
      </c>
      <c r="H777">
        <v>23.043925875085797</v>
      </c>
      <c r="I777">
        <v>31.28986534372785</v>
      </c>
      <c r="J777">
        <v>35.103760273272584</v>
      </c>
      <c r="K777">
        <v>80.076628352490417</v>
      </c>
      <c r="L777">
        <v>20.941239274760601</v>
      </c>
      <c r="M777">
        <v>63.728709602657808</v>
      </c>
      <c r="N777">
        <v>53.503214625423347</v>
      </c>
      <c r="O777">
        <v>5.0554237288135591</v>
      </c>
      <c r="P777">
        <v>-1.015423728813559</v>
      </c>
      <c r="Q777">
        <v>776</v>
      </c>
      <c r="R777">
        <v>45</v>
      </c>
      <c r="S777" t="s">
        <v>24</v>
      </c>
      <c r="T777" t="s">
        <v>457</v>
      </c>
      <c r="U777">
        <v>5000</v>
      </c>
      <c r="V777">
        <v>1000</v>
      </c>
    </row>
    <row r="778" spans="1:22" x14ac:dyDescent="0.3">
      <c r="A778" t="s">
        <v>916</v>
      </c>
      <c r="B778" t="s">
        <v>185</v>
      </c>
      <c r="C778">
        <v>10.050000000000001</v>
      </c>
      <c r="D778">
        <v>21.02</v>
      </c>
      <c r="E778">
        <v>10.5</v>
      </c>
      <c r="F778">
        <v>2.3199999999999998</v>
      </c>
      <c r="G778">
        <v>73.877551020408163</v>
      </c>
      <c r="H778">
        <v>55.748112560054921</v>
      </c>
      <c r="I778">
        <v>54.181431608788088</v>
      </c>
      <c r="J778">
        <v>58.590659776492153</v>
      </c>
      <c r="K778">
        <v>15.708812260536398</v>
      </c>
      <c r="L778">
        <v>10.94736001636616</v>
      </c>
      <c r="M778">
        <v>81.038616242905761</v>
      </c>
      <c r="N778">
        <v>53.482187014106614</v>
      </c>
      <c r="O778">
        <v>9.4014285714285712</v>
      </c>
      <c r="P778">
        <v>1.0985714285714288</v>
      </c>
      <c r="Q778">
        <v>777</v>
      </c>
      <c r="R778">
        <v>7</v>
      </c>
      <c r="S778" t="s">
        <v>24</v>
      </c>
      <c r="T778" t="s">
        <v>666</v>
      </c>
      <c r="U778">
        <v>5000</v>
      </c>
      <c r="V778">
        <v>1000</v>
      </c>
    </row>
    <row r="779" spans="1:22" x14ac:dyDescent="0.3">
      <c r="A779" t="s">
        <v>917</v>
      </c>
      <c r="B779" t="s">
        <v>358</v>
      </c>
      <c r="C779">
        <v>4.87</v>
      </c>
      <c r="D779">
        <v>1.97</v>
      </c>
      <c r="E779">
        <v>4.0199999999999996</v>
      </c>
      <c r="F779">
        <v>0.64</v>
      </c>
      <c r="G779">
        <v>62.749731471535974</v>
      </c>
      <c r="H779">
        <v>23.061084420041183</v>
      </c>
      <c r="I779">
        <v>31.218993621545</v>
      </c>
      <c r="J779">
        <v>35.077768431092053</v>
      </c>
      <c r="K779">
        <v>80.076628352490417</v>
      </c>
      <c r="L779">
        <v>20.959992114673135</v>
      </c>
      <c r="M779">
        <v>63.696228731143094</v>
      </c>
      <c r="N779">
        <v>53.482098486454404</v>
      </c>
      <c r="O779">
        <v>5.0554237288135591</v>
      </c>
      <c r="P779">
        <v>-1.0354237288135595</v>
      </c>
      <c r="Q779">
        <v>778</v>
      </c>
      <c r="R779">
        <v>46</v>
      </c>
      <c r="S779" t="s">
        <v>24</v>
      </c>
      <c r="T779" t="s">
        <v>457</v>
      </c>
      <c r="U779">
        <v>5000</v>
      </c>
      <c r="V779">
        <v>1000</v>
      </c>
    </row>
    <row r="780" spans="1:22" x14ac:dyDescent="0.3">
      <c r="A780" t="s">
        <v>918</v>
      </c>
      <c r="B780" t="s">
        <v>358</v>
      </c>
      <c r="C780">
        <v>4.87</v>
      </c>
      <c r="D780">
        <v>1.96</v>
      </c>
      <c r="E780">
        <v>4.0199999999999996</v>
      </c>
      <c r="F780">
        <v>0.64</v>
      </c>
      <c r="G780">
        <v>62.749731471535974</v>
      </c>
      <c r="H780">
        <v>23.043925875085797</v>
      </c>
      <c r="I780">
        <v>31.218993621545</v>
      </c>
      <c r="J780">
        <v>35.072620867605437</v>
      </c>
      <c r="K780">
        <v>80.076628352490417</v>
      </c>
      <c r="L780">
        <v>20.966521568471745</v>
      </c>
      <c r="M780">
        <v>63.684919385418233</v>
      </c>
      <c r="N780">
        <v>53.476697368279879</v>
      </c>
      <c r="O780">
        <v>5.0554237288135591</v>
      </c>
      <c r="P780">
        <v>-1.0354237288135595</v>
      </c>
      <c r="Q780">
        <v>779</v>
      </c>
      <c r="R780">
        <v>47</v>
      </c>
      <c r="S780" t="s">
        <v>24</v>
      </c>
      <c r="T780" t="s">
        <v>457</v>
      </c>
      <c r="U780">
        <v>5000</v>
      </c>
      <c r="V780">
        <v>1000</v>
      </c>
    </row>
    <row r="781" spans="1:22" x14ac:dyDescent="0.3">
      <c r="A781" t="s">
        <v>919</v>
      </c>
      <c r="B781" t="s">
        <v>185</v>
      </c>
      <c r="C781">
        <v>9.98</v>
      </c>
      <c r="D781">
        <v>21</v>
      </c>
      <c r="E781">
        <v>10.48</v>
      </c>
      <c r="F781">
        <v>2.3199999999999998</v>
      </c>
      <c r="G781">
        <v>73.727175080558538</v>
      </c>
      <c r="H781">
        <v>55.713795470144149</v>
      </c>
      <c r="I781">
        <v>54.110559886605245</v>
      </c>
      <c r="J781">
        <v>58.514853600457577</v>
      </c>
      <c r="K781">
        <v>15.708812260536398</v>
      </c>
      <c r="L781">
        <v>10.892381136929744</v>
      </c>
      <c r="M781">
        <v>81.133842455432827</v>
      </c>
      <c r="N781">
        <v>53.46809047922109</v>
      </c>
      <c r="O781">
        <v>9.4014285714285712</v>
      </c>
      <c r="P781">
        <v>1.0785714285714292</v>
      </c>
      <c r="Q781">
        <v>780</v>
      </c>
      <c r="R781">
        <v>8</v>
      </c>
      <c r="S781" t="s">
        <v>24</v>
      </c>
      <c r="T781" t="s">
        <v>666</v>
      </c>
      <c r="U781">
        <v>5000</v>
      </c>
      <c r="V781">
        <v>1000</v>
      </c>
    </row>
    <row r="782" spans="1:22" x14ac:dyDescent="0.3">
      <c r="A782" t="s">
        <v>920</v>
      </c>
      <c r="B782" t="s">
        <v>921</v>
      </c>
      <c r="C782">
        <v>4.74</v>
      </c>
      <c r="D782">
        <v>3.08</v>
      </c>
      <c r="E782">
        <v>4.76</v>
      </c>
      <c r="F782">
        <v>0.8</v>
      </c>
      <c r="G782">
        <v>62.470461868958104</v>
      </c>
      <c r="H782">
        <v>24.965682910089228</v>
      </c>
      <c r="I782">
        <v>33.841247342310417</v>
      </c>
      <c r="J782">
        <v>36.904420917973596</v>
      </c>
      <c r="K782">
        <v>73.946360153256705</v>
      </c>
      <c r="L782">
        <v>19.600238149730639</v>
      </c>
      <c r="M782">
        <v>66.051391684216725</v>
      </c>
      <c r="N782">
        <v>53.451648418355155</v>
      </c>
      <c r="O782">
        <v>3.5597297297297299</v>
      </c>
      <c r="P782">
        <v>1.2002702702702699</v>
      </c>
      <c r="Q782">
        <v>781</v>
      </c>
      <c r="R782">
        <v>1</v>
      </c>
      <c r="S782" t="s">
        <v>24</v>
      </c>
      <c r="T782" t="s">
        <v>922</v>
      </c>
      <c r="U782">
        <v>1000</v>
      </c>
      <c r="V782">
        <v>1000</v>
      </c>
    </row>
    <row r="783" spans="1:22" x14ac:dyDescent="0.3">
      <c r="A783" t="s">
        <v>923</v>
      </c>
      <c r="B783" t="s">
        <v>921</v>
      </c>
      <c r="C783">
        <v>4.74</v>
      </c>
      <c r="D783">
        <v>3.08</v>
      </c>
      <c r="E783">
        <v>4.76</v>
      </c>
      <c r="F783">
        <v>0.8</v>
      </c>
      <c r="G783">
        <v>62.470461868958104</v>
      </c>
      <c r="H783">
        <v>24.965682910089228</v>
      </c>
      <c r="I783">
        <v>33.841247342310417</v>
      </c>
      <c r="J783">
        <v>36.904420917973596</v>
      </c>
      <c r="K783">
        <v>73.946360153256705</v>
      </c>
      <c r="L783">
        <v>19.600238149730639</v>
      </c>
      <c r="M783">
        <v>66.051391684216725</v>
      </c>
      <c r="N783">
        <v>53.451648418355155</v>
      </c>
      <c r="O783">
        <v>3.5597297297297299</v>
      </c>
      <c r="P783">
        <v>1.2002702702702699</v>
      </c>
      <c r="Q783">
        <v>781</v>
      </c>
      <c r="R783">
        <v>1</v>
      </c>
      <c r="S783" t="s">
        <v>24</v>
      </c>
      <c r="T783" t="s">
        <v>922</v>
      </c>
      <c r="U783">
        <v>1000</v>
      </c>
      <c r="V783">
        <v>1000</v>
      </c>
    </row>
    <row r="784" spans="1:22" x14ac:dyDescent="0.3">
      <c r="A784" t="s">
        <v>924</v>
      </c>
      <c r="B784" t="s">
        <v>755</v>
      </c>
      <c r="C784">
        <v>14.71</v>
      </c>
      <c r="D784">
        <v>19.13</v>
      </c>
      <c r="E784">
        <v>11.62</v>
      </c>
      <c r="F784">
        <v>2.2200000000000002</v>
      </c>
      <c r="G784">
        <v>83.888292158968852</v>
      </c>
      <c r="H784">
        <v>52.505147563486624</v>
      </c>
      <c r="I784">
        <v>58.150248051027631</v>
      </c>
      <c r="J784">
        <v>61.604326726353577</v>
      </c>
      <c r="K784">
        <v>19.540229885057457</v>
      </c>
      <c r="L784">
        <v>16.729294858210597</v>
      </c>
      <c r="M784">
        <v>71.024011330778478</v>
      </c>
      <c r="N784">
        <v>53.443223667135769</v>
      </c>
      <c r="O784">
        <v>11.035555555555554</v>
      </c>
      <c r="P784">
        <v>0.58444444444444521</v>
      </c>
      <c r="Q784">
        <v>783</v>
      </c>
      <c r="R784">
        <v>7</v>
      </c>
      <c r="S784" t="s">
        <v>24</v>
      </c>
      <c r="T784" t="s">
        <v>756</v>
      </c>
      <c r="U784">
        <v>5000</v>
      </c>
      <c r="V784">
        <v>1000</v>
      </c>
    </row>
    <row r="785" spans="1:22" x14ac:dyDescent="0.3">
      <c r="A785" t="s">
        <v>925</v>
      </c>
      <c r="B785" t="s">
        <v>755</v>
      </c>
      <c r="C785">
        <v>14.71</v>
      </c>
      <c r="D785">
        <v>19.13</v>
      </c>
      <c r="E785">
        <v>11.62</v>
      </c>
      <c r="F785">
        <v>2.2200000000000002</v>
      </c>
      <c r="G785">
        <v>83.888292158968852</v>
      </c>
      <c r="H785">
        <v>52.505147563486624</v>
      </c>
      <c r="I785">
        <v>58.150248051027631</v>
      </c>
      <c r="J785">
        <v>61.604326726353577</v>
      </c>
      <c r="K785">
        <v>19.540229885057457</v>
      </c>
      <c r="L785">
        <v>16.729294858210597</v>
      </c>
      <c r="M785">
        <v>71.024011330778478</v>
      </c>
      <c r="N785">
        <v>53.443223667135769</v>
      </c>
      <c r="O785">
        <v>11.035555555555554</v>
      </c>
      <c r="P785">
        <v>0.58444444444444521</v>
      </c>
      <c r="Q785">
        <v>783</v>
      </c>
      <c r="R785">
        <v>7</v>
      </c>
      <c r="S785" t="s">
        <v>24</v>
      </c>
      <c r="T785" t="s">
        <v>756</v>
      </c>
      <c r="U785">
        <v>5000</v>
      </c>
      <c r="V785">
        <v>1000</v>
      </c>
    </row>
    <row r="786" spans="1:22" x14ac:dyDescent="0.3">
      <c r="A786" t="s">
        <v>926</v>
      </c>
      <c r="B786" t="s">
        <v>185</v>
      </c>
      <c r="C786">
        <v>10.75</v>
      </c>
      <c r="D786">
        <v>19.75</v>
      </c>
      <c r="E786">
        <v>11.1</v>
      </c>
      <c r="F786">
        <v>2.3199999999999998</v>
      </c>
      <c r="G786">
        <v>75.381310418904405</v>
      </c>
      <c r="H786">
        <v>53.568977350720658</v>
      </c>
      <c r="I786">
        <v>56.307583274273568</v>
      </c>
      <c r="J786">
        <v>59.300746926133868</v>
      </c>
      <c r="K786">
        <v>15.708812260536398</v>
      </c>
      <c r="L786">
        <v>11.88195342714971</v>
      </c>
      <c r="M786">
        <v>79.419852971009561</v>
      </c>
      <c r="N786">
        <v>53.432539770953426</v>
      </c>
      <c r="O786">
        <v>9.4014285714285712</v>
      </c>
      <c r="P786">
        <v>1.6985714285714284</v>
      </c>
      <c r="Q786">
        <v>785</v>
      </c>
      <c r="R786">
        <v>9</v>
      </c>
      <c r="S786" t="s">
        <v>24</v>
      </c>
      <c r="T786" t="s">
        <v>666</v>
      </c>
      <c r="U786">
        <v>5000</v>
      </c>
      <c r="V786">
        <v>1000</v>
      </c>
    </row>
    <row r="787" spans="1:22" x14ac:dyDescent="0.3">
      <c r="A787" t="s">
        <v>927</v>
      </c>
      <c r="B787" t="s">
        <v>358</v>
      </c>
      <c r="C787">
        <v>4.6399999999999997</v>
      </c>
      <c r="D787">
        <v>2.68</v>
      </c>
      <c r="E787">
        <v>3.37</v>
      </c>
      <c r="F787">
        <v>0.61</v>
      </c>
      <c r="G787">
        <v>62.25563909774435</v>
      </c>
      <c r="H787">
        <v>24.279341111873716</v>
      </c>
      <c r="I787">
        <v>28.915662650602407</v>
      </c>
      <c r="J787">
        <v>34.192761478412194</v>
      </c>
      <c r="K787">
        <v>81.226053639846739</v>
      </c>
      <c r="L787">
        <v>20.717338614544182</v>
      </c>
      <c r="M787">
        <v>64.116516922000869</v>
      </c>
      <c r="N787">
        <v>53.432023379667996</v>
      </c>
      <c r="O787">
        <v>5.0554237288135591</v>
      </c>
      <c r="P787">
        <v>-1.685423728813559</v>
      </c>
      <c r="Q787">
        <v>786</v>
      </c>
      <c r="R787">
        <v>48</v>
      </c>
      <c r="S787" t="s">
        <v>24</v>
      </c>
      <c r="T787" t="s">
        <v>359</v>
      </c>
      <c r="U787">
        <v>1000</v>
      </c>
      <c r="V787">
        <v>1000</v>
      </c>
    </row>
    <row r="788" spans="1:22" x14ac:dyDescent="0.3">
      <c r="A788" t="s">
        <v>928</v>
      </c>
      <c r="B788" t="s">
        <v>155</v>
      </c>
      <c r="C788">
        <v>5.22</v>
      </c>
      <c r="D788">
        <v>3.6</v>
      </c>
      <c r="E788">
        <v>4.93</v>
      </c>
      <c r="F788">
        <v>0.84</v>
      </c>
      <c r="G788">
        <v>63.501611170784102</v>
      </c>
      <c r="H788">
        <v>25.857927247769393</v>
      </c>
      <c r="I788">
        <v>34.443656980864631</v>
      </c>
      <c r="J788">
        <v>37.679528898919955</v>
      </c>
      <c r="K788">
        <v>72.41379310344827</v>
      </c>
      <c r="L788">
        <v>19.727841561479597</v>
      </c>
      <c r="M788">
        <v>65.830376091848393</v>
      </c>
      <c r="N788">
        <v>53.40080674828414</v>
      </c>
      <c r="O788">
        <v>5.2086538461538465</v>
      </c>
      <c r="P788">
        <v>-0.27865384615384681</v>
      </c>
      <c r="Q788">
        <v>787</v>
      </c>
      <c r="R788">
        <v>16</v>
      </c>
      <c r="S788" t="s">
        <v>24</v>
      </c>
      <c r="T788" t="s">
        <v>45</v>
      </c>
      <c r="U788">
        <v>5000</v>
      </c>
      <c r="V788">
        <v>1000</v>
      </c>
    </row>
    <row r="789" spans="1:22" x14ac:dyDescent="0.3">
      <c r="A789" t="s">
        <v>929</v>
      </c>
      <c r="B789" t="s">
        <v>551</v>
      </c>
      <c r="C789">
        <v>5.68</v>
      </c>
      <c r="D789">
        <v>1.88</v>
      </c>
      <c r="E789">
        <v>4.2699999999999996</v>
      </c>
      <c r="F789">
        <v>0.65</v>
      </c>
      <c r="G789">
        <v>64.489795918367349</v>
      </c>
      <c r="H789">
        <v>22.906657515442692</v>
      </c>
      <c r="I789">
        <v>32.104890148830613</v>
      </c>
      <c r="J789">
        <v>35.822401512721584</v>
      </c>
      <c r="K789">
        <v>79.693486590038304</v>
      </c>
      <c r="L789">
        <v>21.842416703578095</v>
      </c>
      <c r="M789">
        <v>62.167824509311629</v>
      </c>
      <c r="N789">
        <v>53.376528531198275</v>
      </c>
      <c r="O789">
        <v>3.9855555555555551</v>
      </c>
      <c r="P789">
        <v>0.2844444444444445</v>
      </c>
      <c r="Q789">
        <v>788</v>
      </c>
      <c r="R789">
        <v>6</v>
      </c>
      <c r="S789" t="s">
        <v>24</v>
      </c>
      <c r="T789" t="s">
        <v>45</v>
      </c>
      <c r="U789">
        <v>1000</v>
      </c>
      <c r="V789">
        <v>1000</v>
      </c>
    </row>
    <row r="790" spans="1:22" x14ac:dyDescent="0.3">
      <c r="A790" t="s">
        <v>930</v>
      </c>
      <c r="B790" t="s">
        <v>155</v>
      </c>
      <c r="C790">
        <v>5.22</v>
      </c>
      <c r="D790">
        <v>3.6</v>
      </c>
      <c r="E790">
        <v>4.9000000000000004</v>
      </c>
      <c r="F790">
        <v>0.84</v>
      </c>
      <c r="G790">
        <v>63.501611170784102</v>
      </c>
      <c r="H790">
        <v>25.857927247769393</v>
      </c>
      <c r="I790">
        <v>34.337349397590359</v>
      </c>
      <c r="J790">
        <v>37.626375107282819</v>
      </c>
      <c r="K790">
        <v>72.41379310344827</v>
      </c>
      <c r="L790">
        <v>19.746314863226505</v>
      </c>
      <c r="M790">
        <v>65.798379394639198</v>
      </c>
      <c r="N790">
        <v>53.366230678163276</v>
      </c>
      <c r="O790">
        <v>5.2086538461538465</v>
      </c>
      <c r="P790">
        <v>-0.30865384615384617</v>
      </c>
      <c r="Q790">
        <v>789</v>
      </c>
      <c r="R790">
        <v>17</v>
      </c>
      <c r="S790" t="s">
        <v>24</v>
      </c>
      <c r="T790" t="s">
        <v>45</v>
      </c>
      <c r="U790">
        <v>5000</v>
      </c>
      <c r="V790">
        <v>1000</v>
      </c>
    </row>
    <row r="791" spans="1:22" x14ac:dyDescent="0.3">
      <c r="A791" t="s">
        <v>931</v>
      </c>
      <c r="B791" t="s">
        <v>155</v>
      </c>
      <c r="C791">
        <v>5.22</v>
      </c>
      <c r="D791">
        <v>3.6</v>
      </c>
      <c r="E791">
        <v>4.88</v>
      </c>
      <c r="F791">
        <v>0.84</v>
      </c>
      <c r="G791">
        <v>63.501611170784102</v>
      </c>
      <c r="H791">
        <v>25.857927247769393</v>
      </c>
      <c r="I791">
        <v>34.266477675407508</v>
      </c>
      <c r="J791">
        <v>37.590939246191397</v>
      </c>
      <c r="K791">
        <v>72.41379310344827</v>
      </c>
      <c r="L791">
        <v>19.758726722145077</v>
      </c>
      <c r="M791">
        <v>65.776881424375858</v>
      </c>
      <c r="N791">
        <v>53.343138255051727</v>
      </c>
      <c r="O791">
        <v>5.2086538461538465</v>
      </c>
      <c r="P791">
        <v>-0.32865384615384663</v>
      </c>
      <c r="Q791">
        <v>790</v>
      </c>
      <c r="R791">
        <v>18</v>
      </c>
      <c r="S791" t="s">
        <v>24</v>
      </c>
      <c r="T791" t="s">
        <v>45</v>
      </c>
      <c r="U791">
        <v>5000</v>
      </c>
      <c r="V791">
        <v>1000</v>
      </c>
    </row>
    <row r="792" spans="1:22" x14ac:dyDescent="0.3">
      <c r="A792" t="s">
        <v>932</v>
      </c>
      <c r="B792" t="s">
        <v>155</v>
      </c>
      <c r="C792">
        <v>5.22</v>
      </c>
      <c r="D792">
        <v>3.6</v>
      </c>
      <c r="E792">
        <v>4.8499999999999996</v>
      </c>
      <c r="F792">
        <v>0.84</v>
      </c>
      <c r="G792">
        <v>63.501611170784102</v>
      </c>
      <c r="H792">
        <v>25.857927247769393</v>
      </c>
      <c r="I792">
        <v>34.160170092133235</v>
      </c>
      <c r="J792">
        <v>37.537785454554253</v>
      </c>
      <c r="K792">
        <v>72.41379310344827</v>
      </c>
      <c r="L792">
        <v>19.777488634449046</v>
      </c>
      <c r="M792">
        <v>65.744384839018238</v>
      </c>
      <c r="N792">
        <v>53.308437212893757</v>
      </c>
      <c r="O792">
        <v>5.2086538461538465</v>
      </c>
      <c r="P792">
        <v>-0.35865384615384688</v>
      </c>
      <c r="Q792">
        <v>791</v>
      </c>
      <c r="R792">
        <v>19</v>
      </c>
      <c r="S792" t="s">
        <v>24</v>
      </c>
      <c r="T792" t="s">
        <v>45</v>
      </c>
      <c r="U792">
        <v>5000</v>
      </c>
      <c r="V792">
        <v>1000</v>
      </c>
    </row>
    <row r="793" spans="1:22" x14ac:dyDescent="0.3">
      <c r="A793" t="s">
        <v>933</v>
      </c>
      <c r="B793" t="s">
        <v>195</v>
      </c>
      <c r="C793">
        <v>7.14</v>
      </c>
      <c r="D793">
        <v>15.31</v>
      </c>
      <c r="E793">
        <v>9.69</v>
      </c>
      <c r="F793">
        <v>2.0299999999999998</v>
      </c>
      <c r="G793">
        <v>67.626208378088066</v>
      </c>
      <c r="H793">
        <v>45.950583390528486</v>
      </c>
      <c r="I793">
        <v>51.311126860382707</v>
      </c>
      <c r="J793">
        <v>52.965980122967508</v>
      </c>
      <c r="K793">
        <v>26.819923371647512</v>
      </c>
      <c r="L793">
        <v>11.28974482899477</v>
      </c>
      <c r="M793">
        <v>80.445588351693047</v>
      </c>
      <c r="N793">
        <v>53.299367992318892</v>
      </c>
      <c r="O793">
        <v>10.412619047619048</v>
      </c>
      <c r="P793">
        <v>-0.72261904761904816</v>
      </c>
      <c r="Q793">
        <v>792</v>
      </c>
      <c r="R793">
        <v>26</v>
      </c>
      <c r="S793" t="s">
        <v>24</v>
      </c>
      <c r="T793" t="s">
        <v>196</v>
      </c>
      <c r="U793">
        <v>1000</v>
      </c>
      <c r="V793">
        <v>1000</v>
      </c>
    </row>
    <row r="794" spans="1:22" x14ac:dyDescent="0.3">
      <c r="A794" t="s">
        <v>934</v>
      </c>
      <c r="B794" t="s">
        <v>358</v>
      </c>
      <c r="C794">
        <v>4.6399999999999997</v>
      </c>
      <c r="D794">
        <v>3.37</v>
      </c>
      <c r="E794">
        <v>4.22</v>
      </c>
      <c r="F794">
        <v>0.77</v>
      </c>
      <c r="G794">
        <v>62.25563909774435</v>
      </c>
      <c r="H794">
        <v>25.463280713795474</v>
      </c>
      <c r="I794">
        <v>31.92771084337349</v>
      </c>
      <c r="J794">
        <v>36.053967455374256</v>
      </c>
      <c r="K794">
        <v>75.095785440613028</v>
      </c>
      <c r="L794">
        <v>19.643700112060507</v>
      </c>
      <c r="M794">
        <v>65.976113357264751</v>
      </c>
      <c r="N794">
        <v>53.294958427156573</v>
      </c>
      <c r="O794">
        <v>5.0554237288135591</v>
      </c>
      <c r="P794">
        <v>-0.83542372881355931</v>
      </c>
      <c r="Q794">
        <v>793</v>
      </c>
      <c r="R794">
        <v>49</v>
      </c>
      <c r="S794" t="s">
        <v>24</v>
      </c>
      <c r="T794" t="s">
        <v>359</v>
      </c>
      <c r="U794">
        <v>10000</v>
      </c>
      <c r="V794">
        <v>1000</v>
      </c>
    </row>
    <row r="795" spans="1:22" x14ac:dyDescent="0.3">
      <c r="A795" t="s">
        <v>935</v>
      </c>
      <c r="B795" t="s">
        <v>395</v>
      </c>
      <c r="C795">
        <v>5.4</v>
      </c>
      <c r="D795">
        <v>4.1500000000000004</v>
      </c>
      <c r="E795">
        <v>4.68</v>
      </c>
      <c r="F795">
        <v>0.85</v>
      </c>
      <c r="G795">
        <v>63.888292158968852</v>
      </c>
      <c r="H795">
        <v>26.801647220315722</v>
      </c>
      <c r="I795">
        <v>33.557760453579021</v>
      </c>
      <c r="J795">
        <v>37.597032824677996</v>
      </c>
      <c r="K795">
        <v>72.030651340996172</v>
      </c>
      <c r="L795">
        <v>19.752659957408518</v>
      </c>
      <c r="M795">
        <v>65.787389369137145</v>
      </c>
      <c r="N795">
        <v>53.253026589872327</v>
      </c>
      <c r="O795">
        <v>5.2778260869565221</v>
      </c>
      <c r="P795">
        <v>-0.5978260869565224</v>
      </c>
      <c r="Q795">
        <v>794</v>
      </c>
      <c r="R795">
        <v>14</v>
      </c>
      <c r="S795" t="s">
        <v>24</v>
      </c>
      <c r="T795" t="s">
        <v>230</v>
      </c>
      <c r="U795">
        <v>1000</v>
      </c>
      <c r="V795">
        <v>1000</v>
      </c>
    </row>
    <row r="796" spans="1:22" x14ac:dyDescent="0.3">
      <c r="A796" t="s">
        <v>936</v>
      </c>
      <c r="B796" t="s">
        <v>395</v>
      </c>
      <c r="C796">
        <v>5.4</v>
      </c>
      <c r="D796">
        <v>4.1500000000000004</v>
      </c>
      <c r="E796">
        <v>4.68</v>
      </c>
      <c r="F796">
        <v>0.85</v>
      </c>
      <c r="G796">
        <v>63.888292158968852</v>
      </c>
      <c r="H796">
        <v>26.801647220315722</v>
      </c>
      <c r="I796">
        <v>33.557760453579021</v>
      </c>
      <c r="J796">
        <v>37.597032824677996</v>
      </c>
      <c r="K796">
        <v>72.030651340996172</v>
      </c>
      <c r="L796">
        <v>19.752659957408518</v>
      </c>
      <c r="M796">
        <v>65.787389369137145</v>
      </c>
      <c r="N796">
        <v>53.253026589872327</v>
      </c>
      <c r="O796">
        <v>5.2778260869565221</v>
      </c>
      <c r="P796">
        <v>-0.5978260869565224</v>
      </c>
      <c r="Q796">
        <v>794</v>
      </c>
      <c r="R796">
        <v>14</v>
      </c>
      <c r="S796" t="s">
        <v>24</v>
      </c>
      <c r="T796" t="s">
        <v>230</v>
      </c>
      <c r="U796">
        <v>20000</v>
      </c>
      <c r="V796">
        <v>1000</v>
      </c>
    </row>
    <row r="797" spans="1:22" x14ac:dyDescent="0.3">
      <c r="A797" t="s">
        <v>937</v>
      </c>
      <c r="B797" t="s">
        <v>138</v>
      </c>
      <c r="C797">
        <v>0.39</v>
      </c>
      <c r="D797">
        <v>10.3</v>
      </c>
      <c r="E797">
        <v>9.0500000000000007</v>
      </c>
      <c r="F797">
        <v>1.83</v>
      </c>
      <c r="G797">
        <v>53.125671321160041</v>
      </c>
      <c r="H797">
        <v>37.354152367879209</v>
      </c>
      <c r="I797">
        <v>49.043231750531532</v>
      </c>
      <c r="J797">
        <v>46.352995849861536</v>
      </c>
      <c r="K797">
        <v>34.482758620689658</v>
      </c>
      <c r="L797">
        <v>8.1857772971933631</v>
      </c>
      <c r="M797">
        <v>85.821817821817248</v>
      </c>
      <c r="N797">
        <v>53.2526420355575</v>
      </c>
      <c r="O797">
        <v>9.219019607843137</v>
      </c>
      <c r="P797">
        <v>-0.1690196078431363</v>
      </c>
      <c r="Q797">
        <v>796</v>
      </c>
      <c r="R797">
        <v>17</v>
      </c>
      <c r="S797" t="s">
        <v>24</v>
      </c>
      <c r="T797" t="s">
        <v>134</v>
      </c>
      <c r="U797">
        <v>1000</v>
      </c>
      <c r="V797">
        <v>1000</v>
      </c>
    </row>
    <row r="798" spans="1:22" x14ac:dyDescent="0.3">
      <c r="A798" t="s">
        <v>938</v>
      </c>
      <c r="B798" t="s">
        <v>410</v>
      </c>
      <c r="C798">
        <v>5.48</v>
      </c>
      <c r="D798">
        <v>4.6100000000000003</v>
      </c>
      <c r="E798">
        <v>4.38</v>
      </c>
      <c r="F798">
        <v>0.84</v>
      </c>
      <c r="G798">
        <v>64.060150375939855</v>
      </c>
      <c r="H798">
        <v>27.59094028826356</v>
      </c>
      <c r="I798">
        <v>32.494684620836281</v>
      </c>
      <c r="J798">
        <v>37.336654472085179</v>
      </c>
      <c r="K798">
        <v>72.41379310344827</v>
      </c>
      <c r="L798">
        <v>19.79237488375648</v>
      </c>
      <c r="M798">
        <v>65.718601098883624</v>
      </c>
      <c r="N798">
        <v>53.201425786625563</v>
      </c>
      <c r="O798">
        <v>4.4264935064935065</v>
      </c>
      <c r="P798">
        <v>-4.6493506493506587E-2</v>
      </c>
      <c r="Q798">
        <v>797</v>
      </c>
      <c r="R798">
        <v>43</v>
      </c>
      <c r="S798" t="s">
        <v>24</v>
      </c>
      <c r="T798" t="s">
        <v>411</v>
      </c>
      <c r="U798">
        <v>5000</v>
      </c>
      <c r="V798">
        <v>1000</v>
      </c>
    </row>
    <row r="799" spans="1:22" x14ac:dyDescent="0.3">
      <c r="A799" t="s">
        <v>939</v>
      </c>
      <c r="B799" t="s">
        <v>161</v>
      </c>
      <c r="C799">
        <v>4.91</v>
      </c>
      <c r="D799">
        <v>3</v>
      </c>
      <c r="E799">
        <v>4.7</v>
      </c>
      <c r="F799">
        <v>0.81</v>
      </c>
      <c r="G799">
        <v>62.835660580021482</v>
      </c>
      <c r="H799">
        <v>24.828414550446126</v>
      </c>
      <c r="I799">
        <v>33.628632175761872</v>
      </c>
      <c r="J799">
        <v>36.82997256901907</v>
      </c>
      <c r="K799">
        <v>73.563218390804593</v>
      </c>
      <c r="L799">
        <v>19.895749500889284</v>
      </c>
      <c r="M799">
        <v>65.539551009796625</v>
      </c>
      <c r="N799">
        <v>53.190678634659847</v>
      </c>
      <c r="O799">
        <v>4.9189795918367345</v>
      </c>
      <c r="P799">
        <v>-0.21897959183673432</v>
      </c>
      <c r="Q799">
        <v>798</v>
      </c>
      <c r="R799">
        <v>41</v>
      </c>
      <c r="S799" t="s">
        <v>24</v>
      </c>
      <c r="T799" t="s">
        <v>535</v>
      </c>
      <c r="U799">
        <v>5000</v>
      </c>
      <c r="V799">
        <v>1000</v>
      </c>
    </row>
    <row r="800" spans="1:22" x14ac:dyDescent="0.3">
      <c r="A800" t="s">
        <v>940</v>
      </c>
      <c r="B800" t="s">
        <v>358</v>
      </c>
      <c r="C800">
        <v>4.6399999999999997</v>
      </c>
      <c r="D800">
        <v>3.37</v>
      </c>
      <c r="E800">
        <v>4.12</v>
      </c>
      <c r="F800">
        <v>0.77</v>
      </c>
      <c r="G800">
        <v>62.25563909774435</v>
      </c>
      <c r="H800">
        <v>25.463280713795474</v>
      </c>
      <c r="I800">
        <v>31.57335223245925</v>
      </c>
      <c r="J800">
        <v>35.876788149917132</v>
      </c>
      <c r="K800">
        <v>75.095785440613028</v>
      </c>
      <c r="L800">
        <v>19.71637786502956</v>
      </c>
      <c r="M800">
        <v>65.850231796542417</v>
      </c>
      <c r="N800">
        <v>53.174898384247427</v>
      </c>
      <c r="O800">
        <v>5.0554237288135591</v>
      </c>
      <c r="P800">
        <v>-0.93542372881355895</v>
      </c>
      <c r="Q800">
        <v>799</v>
      </c>
      <c r="R800">
        <v>50</v>
      </c>
      <c r="S800" t="s">
        <v>24</v>
      </c>
      <c r="T800" t="s">
        <v>359</v>
      </c>
      <c r="U800">
        <v>10000</v>
      </c>
      <c r="V800">
        <v>1000</v>
      </c>
    </row>
    <row r="801" spans="1:22" x14ac:dyDescent="0.3">
      <c r="A801" t="s">
        <v>941</v>
      </c>
      <c r="B801" t="s">
        <v>410</v>
      </c>
      <c r="C801">
        <v>5.51</v>
      </c>
      <c r="D801">
        <v>4.55</v>
      </c>
      <c r="E801">
        <v>5.34</v>
      </c>
      <c r="F801">
        <v>0.96</v>
      </c>
      <c r="G801">
        <v>64.124597207303964</v>
      </c>
      <c r="H801">
        <v>27.487989018531234</v>
      </c>
      <c r="I801">
        <v>35.896527285613033</v>
      </c>
      <c r="J801">
        <v>39.019579789826679</v>
      </c>
      <c r="K801">
        <v>67.81609195402298</v>
      </c>
      <c r="L801">
        <v>19.191007038326138</v>
      </c>
      <c r="M801">
        <v>66.760200761207216</v>
      </c>
      <c r="N801">
        <v>53.153863073720885</v>
      </c>
      <c r="O801">
        <v>4.4264935064935065</v>
      </c>
      <c r="P801">
        <v>0.91350649350649338</v>
      </c>
      <c r="Q801">
        <v>800</v>
      </c>
      <c r="R801">
        <v>44</v>
      </c>
      <c r="S801" t="s">
        <v>24</v>
      </c>
      <c r="T801" t="s">
        <v>411</v>
      </c>
      <c r="U801">
        <v>5000</v>
      </c>
      <c r="V801">
        <v>1000</v>
      </c>
    </row>
    <row r="802" spans="1:22" x14ac:dyDescent="0.3">
      <c r="A802" t="s">
        <v>942</v>
      </c>
      <c r="B802" t="s">
        <v>520</v>
      </c>
      <c r="C802">
        <v>5.49</v>
      </c>
      <c r="D802">
        <v>3.24</v>
      </c>
      <c r="E802">
        <v>4.3</v>
      </c>
      <c r="F802">
        <v>0.76</v>
      </c>
      <c r="G802">
        <v>64.08163265306122</v>
      </c>
      <c r="H802">
        <v>25.240219629375432</v>
      </c>
      <c r="I802">
        <v>32.211197732104893</v>
      </c>
      <c r="J802">
        <v>36.493991285477321</v>
      </c>
      <c r="K802">
        <v>75.478927203065126</v>
      </c>
      <c r="L802">
        <v>20.708188893270357</v>
      </c>
      <c r="M802">
        <v>64.132364704122224</v>
      </c>
      <c r="N802">
        <v>53.149818619535495</v>
      </c>
      <c r="O802">
        <v>4.625</v>
      </c>
      <c r="P802">
        <v>-0.32500000000000018</v>
      </c>
      <c r="Q802">
        <v>801</v>
      </c>
      <c r="R802">
        <v>14</v>
      </c>
      <c r="S802" t="s">
        <v>24</v>
      </c>
      <c r="T802" t="s">
        <v>521</v>
      </c>
      <c r="U802">
        <v>1000</v>
      </c>
      <c r="V802">
        <v>1000</v>
      </c>
    </row>
    <row r="803" spans="1:22" x14ac:dyDescent="0.3">
      <c r="A803" t="s">
        <v>943</v>
      </c>
      <c r="B803" t="s">
        <v>395</v>
      </c>
      <c r="C803">
        <v>5.4</v>
      </c>
      <c r="D803">
        <v>4.1500000000000004</v>
      </c>
      <c r="E803">
        <v>4.59</v>
      </c>
      <c r="F803">
        <v>0.85</v>
      </c>
      <c r="G803">
        <v>63.888292158968852</v>
      </c>
      <c r="H803">
        <v>26.801647220315722</v>
      </c>
      <c r="I803">
        <v>33.238837703756197</v>
      </c>
      <c r="J803">
        <v>37.43757144976658</v>
      </c>
      <c r="K803">
        <v>72.030651340996172</v>
      </c>
      <c r="L803">
        <v>19.816851888094206</v>
      </c>
      <c r="M803">
        <v>65.676205683753594</v>
      </c>
      <c r="N803">
        <v>53.145499981070728</v>
      </c>
      <c r="O803">
        <v>5.2778260869565221</v>
      </c>
      <c r="P803">
        <v>-0.68782608695652225</v>
      </c>
      <c r="Q803">
        <v>802</v>
      </c>
      <c r="R803">
        <v>16</v>
      </c>
      <c r="S803" t="s">
        <v>24</v>
      </c>
      <c r="T803" t="s">
        <v>230</v>
      </c>
      <c r="U803">
        <v>20000</v>
      </c>
      <c r="V803">
        <v>1000</v>
      </c>
    </row>
    <row r="804" spans="1:22" x14ac:dyDescent="0.3">
      <c r="A804" t="s">
        <v>944</v>
      </c>
      <c r="B804" t="s">
        <v>77</v>
      </c>
      <c r="C804">
        <v>3.11</v>
      </c>
      <c r="D804">
        <v>16.16</v>
      </c>
      <c r="E804">
        <v>8.39</v>
      </c>
      <c r="F804">
        <v>2.06</v>
      </c>
      <c r="G804">
        <v>58.968850698174002</v>
      </c>
      <c r="H804">
        <v>47.409059711736454</v>
      </c>
      <c r="I804">
        <v>46.704464918497521</v>
      </c>
      <c r="J804">
        <v>49.368720512404501</v>
      </c>
      <c r="K804">
        <v>25.670498084291182</v>
      </c>
      <c r="L804">
        <v>6.8864647440409374</v>
      </c>
      <c r="M804">
        <v>88.072293178789295</v>
      </c>
      <c r="N804">
        <v>53.120058071972366</v>
      </c>
      <c r="O804">
        <v>9.0435999999999996</v>
      </c>
      <c r="P804">
        <v>-0.65359999999999907</v>
      </c>
      <c r="Q804">
        <v>803</v>
      </c>
      <c r="R804">
        <v>16</v>
      </c>
      <c r="S804" t="s">
        <v>24</v>
      </c>
      <c r="T804" t="s">
        <v>78</v>
      </c>
      <c r="U804">
        <v>1000</v>
      </c>
      <c r="V804">
        <v>1000</v>
      </c>
    </row>
    <row r="805" spans="1:22" x14ac:dyDescent="0.3">
      <c r="A805" t="s">
        <v>945</v>
      </c>
      <c r="B805" t="s">
        <v>410</v>
      </c>
      <c r="C805">
        <v>5.51</v>
      </c>
      <c r="D805">
        <v>4.55</v>
      </c>
      <c r="E805">
        <v>5.31</v>
      </c>
      <c r="F805">
        <v>0.96</v>
      </c>
      <c r="G805">
        <v>64.124597207303964</v>
      </c>
      <c r="H805">
        <v>27.487989018531234</v>
      </c>
      <c r="I805">
        <v>35.790219702338767</v>
      </c>
      <c r="J805">
        <v>38.96642599818955</v>
      </c>
      <c r="K805">
        <v>67.81609195402298</v>
      </c>
      <c r="L805">
        <v>19.20939458745244</v>
      </c>
      <c r="M805">
        <v>66.728352591893781</v>
      </c>
      <c r="N805">
        <v>53.119324135573962</v>
      </c>
      <c r="O805">
        <v>4.4264935064935065</v>
      </c>
      <c r="P805">
        <v>0.88350649350649313</v>
      </c>
      <c r="Q805">
        <v>804</v>
      </c>
      <c r="R805">
        <v>45</v>
      </c>
      <c r="S805" t="s">
        <v>24</v>
      </c>
      <c r="T805" t="s">
        <v>411</v>
      </c>
      <c r="U805">
        <v>20000</v>
      </c>
      <c r="V805">
        <v>1000</v>
      </c>
    </row>
    <row r="806" spans="1:22" x14ac:dyDescent="0.3">
      <c r="A806" t="s">
        <v>946</v>
      </c>
      <c r="B806" t="s">
        <v>410</v>
      </c>
      <c r="C806">
        <v>5.51</v>
      </c>
      <c r="D806">
        <v>4.6100000000000003</v>
      </c>
      <c r="E806">
        <v>4.32</v>
      </c>
      <c r="F806">
        <v>0.84</v>
      </c>
      <c r="G806">
        <v>64.124597207303964</v>
      </c>
      <c r="H806">
        <v>27.59094028826356</v>
      </c>
      <c r="I806">
        <v>32.282069454287736</v>
      </c>
      <c r="J806">
        <v>37.24323625508373</v>
      </c>
      <c r="K806">
        <v>72.41379310344827</v>
      </c>
      <c r="L806">
        <v>19.877379750326249</v>
      </c>
      <c r="M806">
        <v>65.571368351094179</v>
      </c>
      <c r="N806">
        <v>53.117908491177474</v>
      </c>
      <c r="O806">
        <v>4.4264935064935065</v>
      </c>
      <c r="P806">
        <v>-0.1064935064935062</v>
      </c>
      <c r="Q806">
        <v>805</v>
      </c>
      <c r="R806">
        <v>46</v>
      </c>
      <c r="S806" t="s">
        <v>24</v>
      </c>
      <c r="T806" t="s">
        <v>411</v>
      </c>
      <c r="U806">
        <v>5000</v>
      </c>
      <c r="V806">
        <v>1000</v>
      </c>
    </row>
    <row r="807" spans="1:22" x14ac:dyDescent="0.3">
      <c r="A807" t="s">
        <v>947</v>
      </c>
      <c r="B807" t="s">
        <v>358</v>
      </c>
      <c r="C807">
        <v>4.87</v>
      </c>
      <c r="D807">
        <v>1.97</v>
      </c>
      <c r="E807">
        <v>3.71</v>
      </c>
      <c r="F807">
        <v>0.64</v>
      </c>
      <c r="G807">
        <v>62.749731471535974</v>
      </c>
      <c r="H807">
        <v>23.061084420041183</v>
      </c>
      <c r="I807">
        <v>30.120481927710841</v>
      </c>
      <c r="J807">
        <v>34.528512584174976</v>
      </c>
      <c r="K807">
        <v>80.076628352490417</v>
      </c>
      <c r="L807">
        <v>21.172669977050724</v>
      </c>
      <c r="M807">
        <v>63.327859867859971</v>
      </c>
      <c r="N807">
        <v>53.115378347175081</v>
      </c>
      <c r="O807">
        <v>5.0554237288135591</v>
      </c>
      <c r="P807">
        <v>-1.3454237288135591</v>
      </c>
      <c r="Q807">
        <v>806</v>
      </c>
      <c r="R807">
        <v>51</v>
      </c>
      <c r="S807" t="s">
        <v>24</v>
      </c>
      <c r="T807" t="s">
        <v>457</v>
      </c>
      <c r="U807">
        <v>5000</v>
      </c>
      <c r="V807">
        <v>1000</v>
      </c>
    </row>
    <row r="808" spans="1:22" x14ac:dyDescent="0.3">
      <c r="A808" t="s">
        <v>948</v>
      </c>
      <c r="B808" t="s">
        <v>410</v>
      </c>
      <c r="C808">
        <v>5.48</v>
      </c>
      <c r="D808">
        <v>4.6100000000000003</v>
      </c>
      <c r="E808">
        <v>4.3099999999999996</v>
      </c>
      <c r="F808">
        <v>0.84</v>
      </c>
      <c r="G808">
        <v>64.060150375939855</v>
      </c>
      <c r="H808">
        <v>27.59094028826356</v>
      </c>
      <c r="I808">
        <v>32.246633593196314</v>
      </c>
      <c r="J808">
        <v>37.212628958265199</v>
      </c>
      <c r="K808">
        <v>72.41379310344827</v>
      </c>
      <c r="L808">
        <v>19.848503783470139</v>
      </c>
      <c r="M808">
        <v>65.621382992806616</v>
      </c>
      <c r="N808">
        <v>53.115108503196325</v>
      </c>
      <c r="O808">
        <v>4.4264935064935065</v>
      </c>
      <c r="P808">
        <v>-0.11649350649350687</v>
      </c>
      <c r="Q808">
        <v>807</v>
      </c>
      <c r="R808">
        <v>47</v>
      </c>
      <c r="S808" t="s">
        <v>24</v>
      </c>
      <c r="T808" t="s">
        <v>411</v>
      </c>
      <c r="U808">
        <v>5000</v>
      </c>
      <c r="V808">
        <v>1000</v>
      </c>
    </row>
    <row r="809" spans="1:22" x14ac:dyDescent="0.3">
      <c r="A809" t="s">
        <v>949</v>
      </c>
      <c r="B809" t="s">
        <v>884</v>
      </c>
      <c r="C809">
        <v>6.02</v>
      </c>
      <c r="D809">
        <v>23.43</v>
      </c>
      <c r="E809">
        <v>9.0399999999999991</v>
      </c>
      <c r="F809">
        <v>2.3199999999999998</v>
      </c>
      <c r="G809">
        <v>65.220193340494092</v>
      </c>
      <c r="H809">
        <v>59.883321894303364</v>
      </c>
      <c r="I809">
        <v>49.007795889440111</v>
      </c>
      <c r="J809">
        <v>55.512933181109887</v>
      </c>
      <c r="K809">
        <v>15.708812260536398</v>
      </c>
      <c r="L809">
        <v>8.2623755041207172</v>
      </c>
      <c r="M809">
        <v>85.689145835650407</v>
      </c>
      <c r="N809">
        <v>53.105956114601646</v>
      </c>
      <c r="O809">
        <v>9.6316666666666659</v>
      </c>
      <c r="P809">
        <v>-0.59166666666666679</v>
      </c>
      <c r="Q809">
        <v>808</v>
      </c>
      <c r="R809">
        <v>2</v>
      </c>
      <c r="S809" t="s">
        <v>24</v>
      </c>
      <c r="T809" t="s">
        <v>45</v>
      </c>
      <c r="U809">
        <v>1000</v>
      </c>
      <c r="V809">
        <v>1000</v>
      </c>
    </row>
    <row r="810" spans="1:22" x14ac:dyDescent="0.3">
      <c r="A810" t="s">
        <v>950</v>
      </c>
      <c r="B810" t="s">
        <v>410</v>
      </c>
      <c r="C810">
        <v>5.51</v>
      </c>
      <c r="D810">
        <v>4.55</v>
      </c>
      <c r="E810">
        <v>5.29</v>
      </c>
      <c r="F810">
        <v>0.96</v>
      </c>
      <c r="G810">
        <v>64.124597207303964</v>
      </c>
      <c r="H810">
        <v>27.487989018531234</v>
      </c>
      <c r="I810">
        <v>35.719347980155916</v>
      </c>
      <c r="J810">
        <v>38.930990137098121</v>
      </c>
      <c r="K810">
        <v>67.81609195402298</v>
      </c>
      <c r="L810">
        <v>19.221752060227509</v>
      </c>
      <c r="M810">
        <v>66.706948821194203</v>
      </c>
      <c r="N810">
        <v>53.096255262353353</v>
      </c>
      <c r="O810">
        <v>4.4264935064935065</v>
      </c>
      <c r="P810">
        <v>0.86350649350649356</v>
      </c>
      <c r="Q810">
        <v>809</v>
      </c>
      <c r="R810">
        <v>48</v>
      </c>
      <c r="S810" t="s">
        <v>24</v>
      </c>
      <c r="T810" t="s">
        <v>411</v>
      </c>
      <c r="U810">
        <v>20000</v>
      </c>
      <c r="V810">
        <v>1000</v>
      </c>
    </row>
    <row r="811" spans="1:22" x14ac:dyDescent="0.3">
      <c r="A811" t="s">
        <v>951</v>
      </c>
      <c r="B811" t="s">
        <v>161</v>
      </c>
      <c r="C811">
        <v>4.92</v>
      </c>
      <c r="D811">
        <v>3</v>
      </c>
      <c r="E811">
        <v>4.62</v>
      </c>
      <c r="F811">
        <v>0.81</v>
      </c>
      <c r="G811">
        <v>62.857142857142854</v>
      </c>
      <c r="H811">
        <v>24.828414550446126</v>
      </c>
      <c r="I811">
        <v>33.345145287030476</v>
      </c>
      <c r="J811">
        <v>36.692525580077643</v>
      </c>
      <c r="K811">
        <v>73.563218390804593</v>
      </c>
      <c r="L811">
        <v>19.956940645810239</v>
      </c>
      <c r="M811">
        <v>65.433564837820228</v>
      </c>
      <c r="N811">
        <v>53.095458597195027</v>
      </c>
      <c r="O811">
        <v>4.9189795918367345</v>
      </c>
      <c r="P811">
        <v>-0.29897959183673439</v>
      </c>
      <c r="Q811">
        <v>810</v>
      </c>
      <c r="R811">
        <v>42</v>
      </c>
      <c r="S811" t="s">
        <v>24</v>
      </c>
      <c r="T811" t="s">
        <v>535</v>
      </c>
      <c r="U811">
        <v>5000</v>
      </c>
      <c r="V811">
        <v>1000</v>
      </c>
    </row>
    <row r="812" spans="1:22" x14ac:dyDescent="0.3">
      <c r="A812" t="s">
        <v>952</v>
      </c>
      <c r="B812" t="s">
        <v>520</v>
      </c>
      <c r="C812">
        <v>5.09</v>
      </c>
      <c r="D812">
        <v>6.34</v>
      </c>
      <c r="E812">
        <v>6.24</v>
      </c>
      <c r="F812">
        <v>1.19</v>
      </c>
      <c r="G812">
        <v>63.222341568206232</v>
      </c>
      <c r="H812">
        <v>30.559368565545647</v>
      </c>
      <c r="I812">
        <v>39.085754783841239</v>
      </c>
      <c r="J812">
        <v>41.355156275225561</v>
      </c>
      <c r="K812">
        <v>59.003831417624518</v>
      </c>
      <c r="L812">
        <v>16.941782122488661</v>
      </c>
      <c r="M812">
        <v>70.65597259308754</v>
      </c>
      <c r="N812">
        <v>53.092529140290793</v>
      </c>
      <c r="O812">
        <v>4.625</v>
      </c>
      <c r="P812">
        <v>1.6150000000000002</v>
      </c>
      <c r="Q812">
        <v>811</v>
      </c>
      <c r="R812">
        <v>15</v>
      </c>
      <c r="S812" t="s">
        <v>24</v>
      </c>
      <c r="T812" t="s">
        <v>788</v>
      </c>
      <c r="U812">
        <v>1000</v>
      </c>
      <c r="V812">
        <v>1000</v>
      </c>
    </row>
    <row r="813" spans="1:22" x14ac:dyDescent="0.3">
      <c r="A813" t="s">
        <v>953</v>
      </c>
      <c r="B813" t="s">
        <v>520</v>
      </c>
      <c r="C813">
        <v>5.09</v>
      </c>
      <c r="D813">
        <v>6.34</v>
      </c>
      <c r="E813">
        <v>6.24</v>
      </c>
      <c r="F813">
        <v>1.19</v>
      </c>
      <c r="G813">
        <v>63.222341568206232</v>
      </c>
      <c r="H813">
        <v>30.559368565545647</v>
      </c>
      <c r="I813">
        <v>39.085754783841239</v>
      </c>
      <c r="J813">
        <v>41.355156275225561</v>
      </c>
      <c r="K813">
        <v>59.003831417624518</v>
      </c>
      <c r="L813">
        <v>16.941782122488661</v>
      </c>
      <c r="M813">
        <v>70.65597259308754</v>
      </c>
      <c r="N813">
        <v>53.092529140290793</v>
      </c>
      <c r="O813">
        <v>4.625</v>
      </c>
      <c r="P813">
        <v>1.6150000000000002</v>
      </c>
      <c r="Q813">
        <v>811</v>
      </c>
      <c r="R813">
        <v>15</v>
      </c>
      <c r="S813" t="s">
        <v>24</v>
      </c>
      <c r="T813" t="s">
        <v>788</v>
      </c>
      <c r="U813">
        <v>1000</v>
      </c>
      <c r="V813">
        <v>1000</v>
      </c>
    </row>
    <row r="814" spans="1:22" x14ac:dyDescent="0.3">
      <c r="A814" t="s">
        <v>954</v>
      </c>
      <c r="B814" t="s">
        <v>520</v>
      </c>
      <c r="C814">
        <v>5.09</v>
      </c>
      <c r="D814">
        <v>6.34</v>
      </c>
      <c r="E814">
        <v>6.24</v>
      </c>
      <c r="F814">
        <v>1.19</v>
      </c>
      <c r="G814">
        <v>63.222341568206232</v>
      </c>
      <c r="H814">
        <v>30.559368565545647</v>
      </c>
      <c r="I814">
        <v>39.085754783841239</v>
      </c>
      <c r="J814">
        <v>41.355156275225561</v>
      </c>
      <c r="K814">
        <v>59.003831417624518</v>
      </c>
      <c r="L814">
        <v>16.941782122488661</v>
      </c>
      <c r="M814">
        <v>70.65597259308754</v>
      </c>
      <c r="N814">
        <v>53.092529140290793</v>
      </c>
      <c r="O814">
        <v>4.625</v>
      </c>
      <c r="P814">
        <v>1.6150000000000002</v>
      </c>
      <c r="Q814">
        <v>811</v>
      </c>
      <c r="R814">
        <v>15</v>
      </c>
      <c r="S814" t="s">
        <v>24</v>
      </c>
      <c r="T814" t="s">
        <v>788</v>
      </c>
      <c r="U814">
        <v>1000</v>
      </c>
      <c r="V814">
        <v>1000</v>
      </c>
    </row>
    <row r="815" spans="1:22" x14ac:dyDescent="0.3">
      <c r="A815" t="s">
        <v>955</v>
      </c>
      <c r="B815" t="s">
        <v>138</v>
      </c>
      <c r="C815">
        <v>6.44</v>
      </c>
      <c r="D815">
        <v>16.23</v>
      </c>
      <c r="E815">
        <v>8.64</v>
      </c>
      <c r="F815">
        <v>1.99</v>
      </c>
      <c r="G815">
        <v>66.122448979591837</v>
      </c>
      <c r="H815">
        <v>47.529169526424162</v>
      </c>
      <c r="I815">
        <v>47.590361445783131</v>
      </c>
      <c r="J815">
        <v>51.278421376737185</v>
      </c>
      <c r="K815">
        <v>28.352490421455933</v>
      </c>
      <c r="L815">
        <v>10.717213985261672</v>
      </c>
      <c r="M815">
        <v>81.437240861939046</v>
      </c>
      <c r="N815">
        <v>53.086643509217339</v>
      </c>
      <c r="O815">
        <v>9.219019607843137</v>
      </c>
      <c r="P815">
        <v>-0.57901960784313644</v>
      </c>
      <c r="Q815">
        <v>814</v>
      </c>
      <c r="R815">
        <v>18</v>
      </c>
      <c r="S815" t="s">
        <v>24</v>
      </c>
      <c r="T815" t="s">
        <v>134</v>
      </c>
      <c r="U815">
        <v>5000</v>
      </c>
      <c r="V815">
        <v>1000</v>
      </c>
    </row>
    <row r="816" spans="1:22" x14ac:dyDescent="0.3">
      <c r="A816" t="s">
        <v>956</v>
      </c>
      <c r="B816" t="s">
        <v>520</v>
      </c>
      <c r="C816">
        <v>5.48</v>
      </c>
      <c r="D816">
        <v>3.23</v>
      </c>
      <c r="E816">
        <v>4.2300000000000004</v>
      </c>
      <c r="F816">
        <v>0.76</v>
      </c>
      <c r="G816">
        <v>64.060150375939855</v>
      </c>
      <c r="H816">
        <v>25.223061084420046</v>
      </c>
      <c r="I816">
        <v>31.963146704464918</v>
      </c>
      <c r="J816">
        <v>36.360521752746443</v>
      </c>
      <c r="K816">
        <v>75.478927203065126</v>
      </c>
      <c r="L816">
        <v>20.75237297069781</v>
      </c>
      <c r="M816">
        <v>64.055835637132319</v>
      </c>
      <c r="N816">
        <v>53.063951586422576</v>
      </c>
      <c r="O816">
        <v>4.625</v>
      </c>
      <c r="P816">
        <v>-0.39499999999999957</v>
      </c>
      <c r="Q816">
        <v>815</v>
      </c>
      <c r="R816">
        <v>18</v>
      </c>
      <c r="S816" t="s">
        <v>24</v>
      </c>
      <c r="T816" t="s">
        <v>521</v>
      </c>
      <c r="U816">
        <v>1000</v>
      </c>
      <c r="V816">
        <v>1000</v>
      </c>
    </row>
    <row r="817" spans="1:22" x14ac:dyDescent="0.3">
      <c r="A817" t="s">
        <v>957</v>
      </c>
      <c r="B817" t="s">
        <v>195</v>
      </c>
      <c r="C817">
        <v>-1.1299999999999999</v>
      </c>
      <c r="D817">
        <v>13.98</v>
      </c>
      <c r="E817">
        <v>8.4600000000000009</v>
      </c>
      <c r="F817">
        <v>2.09</v>
      </c>
      <c r="G817">
        <v>49.860365198711058</v>
      </c>
      <c r="H817">
        <v>43.668496911461915</v>
      </c>
      <c r="I817">
        <v>46.952515946137488</v>
      </c>
      <c r="J817">
        <v>46.548880086249525</v>
      </c>
      <c r="K817">
        <v>24.521072796934874</v>
      </c>
      <c r="L817">
        <v>3.0978379875445872</v>
      </c>
      <c r="M817">
        <v>94.634387211955854</v>
      </c>
      <c r="N817">
        <v>53.063305045347448</v>
      </c>
      <c r="O817">
        <v>10.412619047619048</v>
      </c>
      <c r="P817">
        <v>-1.9526190476190468</v>
      </c>
      <c r="Q817">
        <v>816</v>
      </c>
      <c r="R817">
        <v>27</v>
      </c>
      <c r="S817" t="s">
        <v>24</v>
      </c>
      <c r="T817" t="s">
        <v>196</v>
      </c>
      <c r="U817">
        <v>5000</v>
      </c>
      <c r="V817">
        <v>1000</v>
      </c>
    </row>
    <row r="818" spans="1:22" x14ac:dyDescent="0.3">
      <c r="A818" t="s">
        <v>958</v>
      </c>
      <c r="B818" t="s">
        <v>520</v>
      </c>
      <c r="C818">
        <v>5.49</v>
      </c>
      <c r="D818">
        <v>3.25</v>
      </c>
      <c r="E818">
        <v>4.22</v>
      </c>
      <c r="F818">
        <v>0.76</v>
      </c>
      <c r="G818">
        <v>64.08163265306122</v>
      </c>
      <c r="H818">
        <v>25.257378174330817</v>
      </c>
      <c r="I818">
        <v>31.92771084337349</v>
      </c>
      <c r="J818">
        <v>36.357395404598236</v>
      </c>
      <c r="K818">
        <v>75.478927203065126</v>
      </c>
      <c r="L818">
        <v>20.759298163668042</v>
      </c>
      <c r="M818">
        <v>64.043840851055648</v>
      </c>
      <c r="N818">
        <v>53.059389715829312</v>
      </c>
      <c r="O818">
        <v>4.625</v>
      </c>
      <c r="P818">
        <v>-0.40500000000000025</v>
      </c>
      <c r="Q818">
        <v>817</v>
      </c>
      <c r="R818">
        <v>19</v>
      </c>
      <c r="S818" t="s">
        <v>24</v>
      </c>
      <c r="T818" t="s">
        <v>521</v>
      </c>
      <c r="U818">
        <v>1000</v>
      </c>
      <c r="V818">
        <v>1000</v>
      </c>
    </row>
    <row r="819" spans="1:22" x14ac:dyDescent="0.3">
      <c r="A819" t="s">
        <v>959</v>
      </c>
      <c r="B819" t="s">
        <v>358</v>
      </c>
      <c r="C819">
        <v>4.6399999999999997</v>
      </c>
      <c r="D819">
        <v>3.37</v>
      </c>
      <c r="E819">
        <v>4.0199999999999996</v>
      </c>
      <c r="F819">
        <v>0.77</v>
      </c>
      <c r="G819">
        <v>62.25563909774435</v>
      </c>
      <c r="H819">
        <v>25.463280713795474</v>
      </c>
      <c r="I819">
        <v>31.218993621545</v>
      </c>
      <c r="J819">
        <v>35.699608844460009</v>
      </c>
      <c r="K819">
        <v>75.095785440613028</v>
      </c>
      <c r="L819">
        <v>19.790903756291058</v>
      </c>
      <c r="M819">
        <v>65.721149166398149</v>
      </c>
      <c r="N819">
        <v>53.054038073982795</v>
      </c>
      <c r="O819">
        <v>5.0554237288135591</v>
      </c>
      <c r="P819">
        <v>-1.0354237288135595</v>
      </c>
      <c r="Q819">
        <v>818</v>
      </c>
      <c r="R819">
        <v>52</v>
      </c>
      <c r="S819" t="s">
        <v>24</v>
      </c>
      <c r="T819" t="s">
        <v>359</v>
      </c>
      <c r="U819">
        <v>10000</v>
      </c>
      <c r="V819">
        <v>1000</v>
      </c>
    </row>
    <row r="820" spans="1:22" x14ac:dyDescent="0.3">
      <c r="A820" t="s">
        <v>960</v>
      </c>
      <c r="B820" t="s">
        <v>148</v>
      </c>
      <c r="C820">
        <v>-1.53</v>
      </c>
      <c r="D820">
        <v>12.81</v>
      </c>
      <c r="E820">
        <v>7.97</v>
      </c>
      <c r="F820">
        <v>1.98</v>
      </c>
      <c r="G820">
        <v>49.001074113856063</v>
      </c>
      <c r="H820">
        <v>41.66094715168154</v>
      </c>
      <c r="I820">
        <v>45.216158752657684</v>
      </c>
      <c r="J820">
        <v>44.906578344604512</v>
      </c>
      <c r="K820">
        <v>28.735632183908045</v>
      </c>
      <c r="L820">
        <v>3.6706624660950098</v>
      </c>
      <c r="M820">
        <v>93.642226111287371</v>
      </c>
      <c r="N820">
        <v>53.047753746101108</v>
      </c>
      <c r="O820">
        <v>10.461</v>
      </c>
      <c r="P820">
        <v>-2.4910000000000005</v>
      </c>
      <c r="Q820">
        <v>819</v>
      </c>
      <c r="R820">
        <v>24</v>
      </c>
      <c r="S820" t="s">
        <v>24</v>
      </c>
      <c r="T820" t="s">
        <v>78</v>
      </c>
      <c r="U820">
        <v>5000</v>
      </c>
      <c r="V820">
        <v>1000</v>
      </c>
    </row>
    <row r="821" spans="1:22" x14ac:dyDescent="0.3">
      <c r="A821" t="s">
        <v>961</v>
      </c>
      <c r="B821" t="s">
        <v>844</v>
      </c>
      <c r="C821">
        <v>4.42</v>
      </c>
      <c r="D821">
        <v>4.12</v>
      </c>
      <c r="E821">
        <v>4.91</v>
      </c>
      <c r="F821">
        <v>0.93</v>
      </c>
      <c r="G821">
        <v>61.783029001074105</v>
      </c>
      <c r="H821">
        <v>26.750171585449557</v>
      </c>
      <c r="I821">
        <v>34.37278525868178</v>
      </c>
      <c r="J821">
        <v>37.568049905190577</v>
      </c>
      <c r="K821">
        <v>68.965517241379317</v>
      </c>
      <c r="L821">
        <v>18.424290126226413</v>
      </c>
      <c r="M821">
        <v>68.088193407986239</v>
      </c>
      <c r="N821">
        <v>53.047452614936674</v>
      </c>
      <c r="O821">
        <v>4.4820000000000002</v>
      </c>
      <c r="P821">
        <v>0.42799999999999994</v>
      </c>
      <c r="Q821">
        <v>820</v>
      </c>
      <c r="R821">
        <v>3</v>
      </c>
      <c r="S821" t="s">
        <v>24</v>
      </c>
      <c r="T821" t="s">
        <v>845</v>
      </c>
      <c r="U821">
        <v>5000</v>
      </c>
      <c r="V821">
        <v>1000</v>
      </c>
    </row>
    <row r="822" spans="1:22" x14ac:dyDescent="0.3">
      <c r="A822" t="s">
        <v>962</v>
      </c>
      <c r="B822" t="s">
        <v>551</v>
      </c>
      <c r="C822">
        <v>5.69</v>
      </c>
      <c r="D822">
        <v>1.88</v>
      </c>
      <c r="E822">
        <v>3.99</v>
      </c>
      <c r="F822">
        <v>0.65</v>
      </c>
      <c r="G822">
        <v>64.511278195488714</v>
      </c>
      <c r="H822">
        <v>22.906657515442692</v>
      </c>
      <c r="I822">
        <v>31.112686038270731</v>
      </c>
      <c r="J822">
        <v>35.330595912865917</v>
      </c>
      <c r="K822">
        <v>79.693486590038304</v>
      </c>
      <c r="L822">
        <v>22.036898315220327</v>
      </c>
      <c r="M822">
        <v>61.8309724768094</v>
      </c>
      <c r="N822">
        <v>53.046412723144883</v>
      </c>
      <c r="O822">
        <v>3.9855555555555551</v>
      </c>
      <c r="P822">
        <v>4.4444444444451392E-3</v>
      </c>
      <c r="Q822">
        <v>821</v>
      </c>
      <c r="R822">
        <v>7</v>
      </c>
      <c r="S822" t="s">
        <v>24</v>
      </c>
      <c r="T822" t="s">
        <v>45</v>
      </c>
      <c r="U822">
        <v>1000</v>
      </c>
      <c r="V822">
        <v>1000</v>
      </c>
    </row>
    <row r="823" spans="1:22" x14ac:dyDescent="0.3">
      <c r="A823" t="s">
        <v>963</v>
      </c>
      <c r="B823" t="s">
        <v>410</v>
      </c>
      <c r="C823">
        <v>5.48</v>
      </c>
      <c r="D823">
        <v>4.6100000000000003</v>
      </c>
      <c r="E823">
        <v>4.25</v>
      </c>
      <c r="F823">
        <v>0.84</v>
      </c>
      <c r="G823">
        <v>64.060150375939855</v>
      </c>
      <c r="H823">
        <v>27.59094028826356</v>
      </c>
      <c r="I823">
        <v>32.034018426647762</v>
      </c>
      <c r="J823">
        <v>37.10632137499092</v>
      </c>
      <c r="K823">
        <v>72.41379310344827</v>
      </c>
      <c r="L823">
        <v>19.897308676453061</v>
      </c>
      <c r="M823">
        <v>65.536850438502256</v>
      </c>
      <c r="N823">
        <v>53.040821572983091</v>
      </c>
      <c r="O823">
        <v>4.4264935064935065</v>
      </c>
      <c r="P823">
        <v>-0.17649350649350648</v>
      </c>
      <c r="Q823">
        <v>822</v>
      </c>
      <c r="R823">
        <v>49</v>
      </c>
      <c r="S823" t="s">
        <v>24</v>
      </c>
      <c r="T823" t="s">
        <v>411</v>
      </c>
      <c r="U823">
        <v>5000</v>
      </c>
      <c r="V823">
        <v>1000</v>
      </c>
    </row>
    <row r="824" spans="1:22" x14ac:dyDescent="0.3">
      <c r="A824" t="s">
        <v>964</v>
      </c>
      <c r="B824" t="s">
        <v>965</v>
      </c>
      <c r="C824">
        <v>4.79</v>
      </c>
      <c r="D824">
        <v>2.44</v>
      </c>
      <c r="E824">
        <v>5.5</v>
      </c>
      <c r="F824">
        <v>0.89</v>
      </c>
      <c r="G824">
        <v>62.577873254564985</v>
      </c>
      <c r="H824">
        <v>23.867536032944408</v>
      </c>
      <c r="I824">
        <v>36.463501063075832</v>
      </c>
      <c r="J824">
        <v>37.907585992334234</v>
      </c>
      <c r="K824">
        <v>70.498084291187737</v>
      </c>
      <c r="L824">
        <v>19.744657411594911</v>
      </c>
      <c r="M824">
        <v>65.801250185076213</v>
      </c>
      <c r="N824">
        <v>53.028626615233101</v>
      </c>
      <c r="O824">
        <v>4.3271875</v>
      </c>
      <c r="P824">
        <v>1.1728125</v>
      </c>
      <c r="Q824">
        <v>823</v>
      </c>
      <c r="R824">
        <v>1</v>
      </c>
      <c r="S824" t="s">
        <v>24</v>
      </c>
      <c r="T824" t="s">
        <v>966</v>
      </c>
      <c r="U824">
        <v>1000</v>
      </c>
      <c r="V824">
        <v>1000</v>
      </c>
    </row>
    <row r="825" spans="1:22" x14ac:dyDescent="0.3">
      <c r="A825" t="s">
        <v>967</v>
      </c>
      <c r="B825" t="s">
        <v>965</v>
      </c>
      <c r="C825">
        <v>5.85</v>
      </c>
      <c r="D825">
        <v>10.84</v>
      </c>
      <c r="E825">
        <v>7.9</v>
      </c>
      <c r="F825">
        <v>1.63</v>
      </c>
      <c r="G825">
        <v>64.85499462943072</v>
      </c>
      <c r="H825">
        <v>38.280713795470142</v>
      </c>
      <c r="I825">
        <v>44.968107725017717</v>
      </c>
      <c r="J825">
        <v>46.939266927036044</v>
      </c>
      <c r="K825">
        <v>42.145593869731798</v>
      </c>
      <c r="L825">
        <v>13.82269818185574</v>
      </c>
      <c r="M825">
        <v>76.058384451335911</v>
      </c>
      <c r="N825">
        <v>53.020628043784946</v>
      </c>
      <c r="O825">
        <v>4.3271875</v>
      </c>
      <c r="P825">
        <v>3.5728125000000004</v>
      </c>
      <c r="Q825">
        <v>824</v>
      </c>
      <c r="R825">
        <v>2</v>
      </c>
      <c r="S825" t="s">
        <v>24</v>
      </c>
      <c r="T825" t="s">
        <v>968</v>
      </c>
      <c r="U825">
        <v>1000</v>
      </c>
      <c r="V825">
        <v>1000</v>
      </c>
    </row>
    <row r="826" spans="1:22" x14ac:dyDescent="0.3">
      <c r="A826" t="s">
        <v>969</v>
      </c>
      <c r="B826" t="s">
        <v>965</v>
      </c>
      <c r="C826">
        <v>5.85</v>
      </c>
      <c r="D826">
        <v>10.84</v>
      </c>
      <c r="E826">
        <v>7.9</v>
      </c>
      <c r="F826">
        <v>1.63</v>
      </c>
      <c r="G826">
        <v>64.85499462943072</v>
      </c>
      <c r="H826">
        <v>38.280713795470142</v>
      </c>
      <c r="I826">
        <v>44.968107725017717</v>
      </c>
      <c r="J826">
        <v>46.939266927036044</v>
      </c>
      <c r="K826">
        <v>42.145593869731798</v>
      </c>
      <c r="L826">
        <v>13.82269818185574</v>
      </c>
      <c r="M826">
        <v>76.058384451335911</v>
      </c>
      <c r="N826">
        <v>53.020628043784946</v>
      </c>
      <c r="O826">
        <v>4.3271875</v>
      </c>
      <c r="P826">
        <v>3.5728125000000004</v>
      </c>
      <c r="Q826">
        <v>824</v>
      </c>
      <c r="R826">
        <v>2</v>
      </c>
      <c r="S826" t="s">
        <v>24</v>
      </c>
      <c r="T826" t="s">
        <v>968</v>
      </c>
      <c r="U826">
        <v>20000</v>
      </c>
      <c r="V826">
        <v>1000</v>
      </c>
    </row>
    <row r="827" spans="1:22" x14ac:dyDescent="0.3">
      <c r="A827" t="s">
        <v>970</v>
      </c>
      <c r="B827" t="s">
        <v>551</v>
      </c>
      <c r="C827">
        <v>5.68</v>
      </c>
      <c r="D827">
        <v>1.88</v>
      </c>
      <c r="E827">
        <v>3.95</v>
      </c>
      <c r="F827">
        <v>0.65</v>
      </c>
      <c r="G827">
        <v>64.489795918367349</v>
      </c>
      <c r="H827">
        <v>22.906657515442692</v>
      </c>
      <c r="I827">
        <v>30.970942593905026</v>
      </c>
      <c r="J827">
        <v>35.255427735258792</v>
      </c>
      <c r="K827">
        <v>79.693486590038304</v>
      </c>
      <c r="L827">
        <v>22.05184656459377</v>
      </c>
      <c r="M827">
        <v>61.805081349410386</v>
      </c>
      <c r="N827">
        <v>53.002355852491569</v>
      </c>
      <c r="O827">
        <v>3.9855555555555551</v>
      </c>
      <c r="P827">
        <v>-3.5555555555554896E-2</v>
      </c>
      <c r="Q827">
        <v>826</v>
      </c>
      <c r="R827">
        <v>8</v>
      </c>
      <c r="S827" t="s">
        <v>24</v>
      </c>
      <c r="T827" t="s">
        <v>45</v>
      </c>
      <c r="U827">
        <v>1000</v>
      </c>
      <c r="V827">
        <v>1000</v>
      </c>
    </row>
    <row r="828" spans="1:22" x14ac:dyDescent="0.3">
      <c r="A828" t="s">
        <v>971</v>
      </c>
      <c r="B828" t="s">
        <v>520</v>
      </c>
      <c r="C828">
        <v>5.5</v>
      </c>
      <c r="D828">
        <v>3.25</v>
      </c>
      <c r="E828">
        <v>4.16</v>
      </c>
      <c r="F828">
        <v>0.76</v>
      </c>
      <c r="G828">
        <v>64.103114930182585</v>
      </c>
      <c r="H828">
        <v>25.257378174330817</v>
      </c>
      <c r="I828">
        <v>31.715095676824944</v>
      </c>
      <c r="J828">
        <v>36.255384276748231</v>
      </c>
      <c r="K828">
        <v>75.478927203065126</v>
      </c>
      <c r="L828">
        <v>20.815367602658448</v>
      </c>
      <c r="M828">
        <v>63.946725733972386</v>
      </c>
      <c r="N828">
        <v>52.984105372633493</v>
      </c>
      <c r="O828">
        <v>4.625</v>
      </c>
      <c r="P828">
        <v>-0.46499999999999986</v>
      </c>
      <c r="Q828">
        <v>827</v>
      </c>
      <c r="R828">
        <v>20</v>
      </c>
      <c r="S828" t="s">
        <v>24</v>
      </c>
      <c r="T828" t="s">
        <v>521</v>
      </c>
      <c r="U828">
        <v>1000</v>
      </c>
      <c r="V828">
        <v>1000</v>
      </c>
    </row>
    <row r="829" spans="1:22" x14ac:dyDescent="0.3">
      <c r="A829" t="s">
        <v>972</v>
      </c>
      <c r="B829" t="s">
        <v>520</v>
      </c>
      <c r="C829">
        <v>5.48</v>
      </c>
      <c r="D829">
        <v>3.24</v>
      </c>
      <c r="E829">
        <v>4.1500000000000004</v>
      </c>
      <c r="F829">
        <v>0.76</v>
      </c>
      <c r="G829">
        <v>64.060150375939855</v>
      </c>
      <c r="H829">
        <v>25.240219629375432</v>
      </c>
      <c r="I829">
        <v>31.679659815733519</v>
      </c>
      <c r="J829">
        <v>36.223925871867358</v>
      </c>
      <c r="K829">
        <v>75.478927203065126</v>
      </c>
      <c r="L829">
        <v>20.804444965765342</v>
      </c>
      <c r="M829">
        <v>63.965644296023875</v>
      </c>
      <c r="N829">
        <v>52.973105810705931</v>
      </c>
      <c r="O829">
        <v>4.625</v>
      </c>
      <c r="P829">
        <v>-0.47499999999999964</v>
      </c>
      <c r="Q829">
        <v>828</v>
      </c>
      <c r="R829">
        <v>21</v>
      </c>
      <c r="S829" t="s">
        <v>24</v>
      </c>
      <c r="T829" t="s">
        <v>521</v>
      </c>
      <c r="U829">
        <v>1000</v>
      </c>
      <c r="V829">
        <v>1000</v>
      </c>
    </row>
    <row r="830" spans="1:22" x14ac:dyDescent="0.3">
      <c r="A830" t="s">
        <v>973</v>
      </c>
      <c r="B830" t="s">
        <v>229</v>
      </c>
      <c r="C830">
        <v>5.25</v>
      </c>
      <c r="D830">
        <v>4.3</v>
      </c>
      <c r="E830">
        <v>4.9800000000000004</v>
      </c>
      <c r="F830">
        <v>0.93</v>
      </c>
      <c r="G830">
        <v>63.566058002148232</v>
      </c>
      <c r="H830">
        <v>27.05902539464654</v>
      </c>
      <c r="I830">
        <v>34.620836286321754</v>
      </c>
      <c r="J830">
        <v>38.141337361984483</v>
      </c>
      <c r="K830">
        <v>68.965517241379317</v>
      </c>
      <c r="L830">
        <v>19.269017765768456</v>
      </c>
      <c r="M830">
        <v>66.625082217741692</v>
      </c>
      <c r="N830">
        <v>52.96831854577249</v>
      </c>
      <c r="O830">
        <v>5.1221052631578941</v>
      </c>
      <c r="P830">
        <v>-0.14210526315789362</v>
      </c>
      <c r="Q830">
        <v>829</v>
      </c>
      <c r="R830">
        <v>39</v>
      </c>
      <c r="S830" t="s">
        <v>24</v>
      </c>
      <c r="T830" t="s">
        <v>429</v>
      </c>
      <c r="U830">
        <v>5000</v>
      </c>
      <c r="V830">
        <v>1000</v>
      </c>
    </row>
    <row r="831" spans="1:22" x14ac:dyDescent="0.3">
      <c r="A831" t="s">
        <v>974</v>
      </c>
      <c r="B831" t="s">
        <v>202</v>
      </c>
      <c r="C831">
        <v>3.68</v>
      </c>
      <c r="D831">
        <v>17.25</v>
      </c>
      <c r="E831">
        <v>12.04</v>
      </c>
      <c r="F831">
        <v>2.4900000000000002</v>
      </c>
      <c r="G831">
        <v>60.193340494092375</v>
      </c>
      <c r="H831">
        <v>49.27934111187372</v>
      </c>
      <c r="I831">
        <v>59.638554216867455</v>
      </c>
      <c r="J831">
        <v>56.641747540814322</v>
      </c>
      <c r="K831">
        <v>9.1954022988505635</v>
      </c>
      <c r="L831">
        <v>6.1473092553184081</v>
      </c>
      <c r="M831">
        <v>89.352548039950122</v>
      </c>
      <c r="N831">
        <v>52.957861355107333</v>
      </c>
      <c r="O831">
        <v>10.023387096774194</v>
      </c>
      <c r="P831">
        <v>2.0166129032258056</v>
      </c>
      <c r="Q831">
        <v>830</v>
      </c>
      <c r="R831">
        <v>29</v>
      </c>
      <c r="S831" t="s">
        <v>24</v>
      </c>
      <c r="T831" t="s">
        <v>107</v>
      </c>
      <c r="U831">
        <v>1000</v>
      </c>
      <c r="V831">
        <v>1000</v>
      </c>
    </row>
    <row r="832" spans="1:22" x14ac:dyDescent="0.3">
      <c r="A832" t="s">
        <v>975</v>
      </c>
      <c r="B832" t="s">
        <v>976</v>
      </c>
      <c r="C832">
        <v>7.31</v>
      </c>
      <c r="D832">
        <v>4.67</v>
      </c>
      <c r="E832">
        <v>5.43</v>
      </c>
      <c r="F832">
        <v>0.94</v>
      </c>
      <c r="G832">
        <v>67.991407089151451</v>
      </c>
      <c r="H832">
        <v>27.693891557995887</v>
      </c>
      <c r="I832">
        <v>36.215450035435858</v>
      </c>
      <c r="J832">
        <v>40.014173902946986</v>
      </c>
      <c r="K832">
        <v>68.582375478927204</v>
      </c>
      <c r="L832">
        <v>21.237616641028449</v>
      </c>
      <c r="M832">
        <v>63.215368946068445</v>
      </c>
      <c r="N832">
        <v>52.956523057722407</v>
      </c>
      <c r="O832">
        <v>4.3111111111111109</v>
      </c>
      <c r="P832">
        <v>1.1188888888888888</v>
      </c>
      <c r="Q832">
        <v>831</v>
      </c>
      <c r="R832">
        <v>1</v>
      </c>
      <c r="S832" t="s">
        <v>24</v>
      </c>
      <c r="T832" t="s">
        <v>977</v>
      </c>
      <c r="U832">
        <v>5000</v>
      </c>
      <c r="V832">
        <v>1000</v>
      </c>
    </row>
    <row r="833" spans="1:22" x14ac:dyDescent="0.3">
      <c r="A833" t="s">
        <v>978</v>
      </c>
      <c r="B833" t="s">
        <v>272</v>
      </c>
      <c r="C833">
        <v>4.17</v>
      </c>
      <c r="D833">
        <v>13.05</v>
      </c>
      <c r="E833">
        <v>11.42</v>
      </c>
      <c r="F833">
        <v>2.15</v>
      </c>
      <c r="G833">
        <v>61.245972073039731</v>
      </c>
      <c r="H833">
        <v>42.072752230610853</v>
      </c>
      <c r="I833">
        <v>57.441530829199138</v>
      </c>
      <c r="J833">
        <v>53.59178549839077</v>
      </c>
      <c r="K833">
        <v>22.222222222222232</v>
      </c>
      <c r="L833">
        <v>10.151235457785168</v>
      </c>
      <c r="M833">
        <v>82.417544427521378</v>
      </c>
      <c r="N833">
        <v>52.955834411631287</v>
      </c>
      <c r="O833">
        <v>10.044583333333334</v>
      </c>
      <c r="P833">
        <v>1.3754166666666663</v>
      </c>
      <c r="Q833">
        <v>832</v>
      </c>
      <c r="R833">
        <v>23</v>
      </c>
      <c r="S833" t="s">
        <v>24</v>
      </c>
      <c r="T833" t="s">
        <v>273</v>
      </c>
      <c r="U833">
        <v>5000</v>
      </c>
      <c r="V833">
        <v>1000</v>
      </c>
    </row>
    <row r="834" spans="1:22" x14ac:dyDescent="0.3">
      <c r="A834" t="s">
        <v>979</v>
      </c>
      <c r="B834" t="s">
        <v>976</v>
      </c>
      <c r="C834">
        <v>7.31</v>
      </c>
      <c r="D834">
        <v>4.67</v>
      </c>
      <c r="E834">
        <v>5.42</v>
      </c>
      <c r="F834">
        <v>0.94</v>
      </c>
      <c r="G834">
        <v>67.991407089151451</v>
      </c>
      <c r="H834">
        <v>27.693891557995887</v>
      </c>
      <c r="I834">
        <v>36.180014174344436</v>
      </c>
      <c r="J834">
        <v>39.996455972401279</v>
      </c>
      <c r="K834">
        <v>68.582375478927204</v>
      </c>
      <c r="L834">
        <v>21.244092332629247</v>
      </c>
      <c r="M834">
        <v>63.204152719201716</v>
      </c>
      <c r="N834">
        <v>52.944860035732873</v>
      </c>
      <c r="O834">
        <v>4.3111111111111109</v>
      </c>
      <c r="P834">
        <v>1.108888888888889</v>
      </c>
      <c r="Q834">
        <v>833</v>
      </c>
      <c r="R834">
        <v>2</v>
      </c>
      <c r="S834" t="s">
        <v>24</v>
      </c>
      <c r="T834" t="s">
        <v>977</v>
      </c>
      <c r="U834">
        <v>5000</v>
      </c>
      <c r="V834">
        <v>1000</v>
      </c>
    </row>
    <row r="835" spans="1:22" x14ac:dyDescent="0.3">
      <c r="A835" t="s">
        <v>980</v>
      </c>
      <c r="B835" t="s">
        <v>148</v>
      </c>
      <c r="C835">
        <v>3.05</v>
      </c>
      <c r="D835">
        <v>14.66</v>
      </c>
      <c r="E835">
        <v>10.36</v>
      </c>
      <c r="F835">
        <v>2.21</v>
      </c>
      <c r="G835">
        <v>58.839957035445757</v>
      </c>
      <c r="H835">
        <v>44.835277968428286</v>
      </c>
      <c r="I835">
        <v>53.68532955350814</v>
      </c>
      <c r="J835">
        <v>52.061239574371712</v>
      </c>
      <c r="K835">
        <v>19.923371647509569</v>
      </c>
      <c r="L835">
        <v>7.083132938023474</v>
      </c>
      <c r="M835">
        <v>87.731653874578726</v>
      </c>
      <c r="N835">
        <v>52.944376167707929</v>
      </c>
      <c r="O835">
        <v>10.461</v>
      </c>
      <c r="P835">
        <v>-0.10100000000000087</v>
      </c>
      <c r="Q835">
        <v>834</v>
      </c>
      <c r="R835">
        <v>25</v>
      </c>
      <c r="S835" t="s">
        <v>24</v>
      </c>
      <c r="T835" t="s">
        <v>78</v>
      </c>
      <c r="U835">
        <v>5000</v>
      </c>
      <c r="V835">
        <v>1000</v>
      </c>
    </row>
    <row r="836" spans="1:22" x14ac:dyDescent="0.3">
      <c r="A836" t="s">
        <v>981</v>
      </c>
      <c r="B836" t="s">
        <v>148</v>
      </c>
      <c r="C836">
        <v>3.05</v>
      </c>
      <c r="D836">
        <v>14.66</v>
      </c>
      <c r="E836">
        <v>10.36</v>
      </c>
      <c r="F836">
        <v>2.21</v>
      </c>
      <c r="G836">
        <v>58.839957035445757</v>
      </c>
      <c r="H836">
        <v>44.835277968428286</v>
      </c>
      <c r="I836">
        <v>53.68532955350814</v>
      </c>
      <c r="J836">
        <v>52.061239574371712</v>
      </c>
      <c r="K836">
        <v>19.923371647509569</v>
      </c>
      <c r="L836">
        <v>7.083132938023474</v>
      </c>
      <c r="M836">
        <v>87.731653874578726</v>
      </c>
      <c r="N836">
        <v>52.944376167707929</v>
      </c>
      <c r="O836">
        <v>10.461</v>
      </c>
      <c r="P836">
        <v>-0.10100000000000087</v>
      </c>
      <c r="Q836">
        <v>834</v>
      </c>
      <c r="R836">
        <v>25</v>
      </c>
      <c r="S836" t="s">
        <v>24</v>
      </c>
      <c r="T836" t="s">
        <v>78</v>
      </c>
      <c r="U836">
        <v>5000</v>
      </c>
      <c r="V836">
        <v>1000</v>
      </c>
    </row>
    <row r="837" spans="1:22" x14ac:dyDescent="0.3">
      <c r="A837" t="s">
        <v>982</v>
      </c>
      <c r="B837" t="s">
        <v>395</v>
      </c>
      <c r="C837">
        <v>5.4</v>
      </c>
      <c r="D837">
        <v>4.1500000000000004</v>
      </c>
      <c r="E837">
        <v>4.42</v>
      </c>
      <c r="F837">
        <v>0.85</v>
      </c>
      <c r="G837">
        <v>63.888292158968852</v>
      </c>
      <c r="H837">
        <v>26.801647220315722</v>
      </c>
      <c r="I837">
        <v>32.636428065201983</v>
      </c>
      <c r="J837">
        <v>37.136366630489476</v>
      </c>
      <c r="K837">
        <v>72.030651340996172</v>
      </c>
      <c r="L837">
        <v>19.942178540507438</v>
      </c>
      <c r="M837">
        <v>65.459133554231357</v>
      </c>
      <c r="N837">
        <v>52.940629539051621</v>
      </c>
      <c r="O837">
        <v>5.2778260869565221</v>
      </c>
      <c r="P837">
        <v>-0.85782608695652218</v>
      </c>
      <c r="Q837">
        <v>836</v>
      </c>
      <c r="R837">
        <v>17</v>
      </c>
      <c r="S837" t="s">
        <v>24</v>
      </c>
      <c r="T837" t="s">
        <v>230</v>
      </c>
      <c r="U837">
        <v>20000</v>
      </c>
      <c r="V837">
        <v>1000</v>
      </c>
    </row>
    <row r="838" spans="1:22" x14ac:dyDescent="0.3">
      <c r="A838" t="s">
        <v>983</v>
      </c>
      <c r="B838" t="s">
        <v>161</v>
      </c>
      <c r="C838">
        <v>4.2</v>
      </c>
      <c r="D838">
        <v>3.36</v>
      </c>
      <c r="E838">
        <v>4.29</v>
      </c>
      <c r="F838">
        <v>0.83</v>
      </c>
      <c r="G838">
        <v>61.310418904403861</v>
      </c>
      <c r="H838">
        <v>25.446122168840084</v>
      </c>
      <c r="I838">
        <v>32.175761871013464</v>
      </c>
      <c r="J838">
        <v>35.983801367039533</v>
      </c>
      <c r="K838">
        <v>72.796934865900369</v>
      </c>
      <c r="L838">
        <v>19.062896209263531</v>
      </c>
      <c r="M838">
        <v>66.982095226143414</v>
      </c>
      <c r="N838">
        <v>52.936658206530709</v>
      </c>
      <c r="O838">
        <v>4.9189795918367345</v>
      </c>
      <c r="P838">
        <v>-0.62897959183673446</v>
      </c>
      <c r="Q838">
        <v>837</v>
      </c>
      <c r="R838">
        <v>43</v>
      </c>
      <c r="S838" t="s">
        <v>24</v>
      </c>
      <c r="T838" t="s">
        <v>535</v>
      </c>
      <c r="U838">
        <v>5000</v>
      </c>
      <c r="V838">
        <v>1000</v>
      </c>
    </row>
    <row r="839" spans="1:22" x14ac:dyDescent="0.3">
      <c r="A839" t="s">
        <v>984</v>
      </c>
      <c r="B839" t="s">
        <v>170</v>
      </c>
      <c r="C839">
        <v>5.35</v>
      </c>
      <c r="D839">
        <v>14.6</v>
      </c>
      <c r="E839">
        <v>14.19</v>
      </c>
      <c r="F839">
        <v>2.39</v>
      </c>
      <c r="G839">
        <v>63.780880773361972</v>
      </c>
      <c r="H839">
        <v>44.732326698695957</v>
      </c>
      <c r="I839">
        <v>67.25726435152373</v>
      </c>
      <c r="J839">
        <v>59.804506340043048</v>
      </c>
      <c r="K839">
        <v>13.026819923371647</v>
      </c>
      <c r="L839">
        <v>12.126455042466494</v>
      </c>
      <c r="M839">
        <v>78.99636375074823</v>
      </c>
      <c r="N839">
        <v>52.908049088551493</v>
      </c>
      <c r="O839">
        <v>6.9120588235294118</v>
      </c>
      <c r="P839">
        <v>7.2779411764705877</v>
      </c>
      <c r="Q839">
        <v>838</v>
      </c>
      <c r="R839">
        <v>11</v>
      </c>
      <c r="S839" t="s">
        <v>24</v>
      </c>
      <c r="T839" t="s">
        <v>985</v>
      </c>
      <c r="U839">
        <v>1000</v>
      </c>
      <c r="V839">
        <v>1000</v>
      </c>
    </row>
    <row r="840" spans="1:22" x14ac:dyDescent="0.3">
      <c r="A840" t="s">
        <v>986</v>
      </c>
      <c r="B840" t="s">
        <v>202</v>
      </c>
      <c r="C840">
        <v>3.71</v>
      </c>
      <c r="D840">
        <v>17.25</v>
      </c>
      <c r="E840">
        <v>11.92</v>
      </c>
      <c r="F840">
        <v>2.4900000000000002</v>
      </c>
      <c r="G840">
        <v>60.257787325456491</v>
      </c>
      <c r="H840">
        <v>49.27934111187372</v>
      </c>
      <c r="I840">
        <v>59.213323883770364</v>
      </c>
      <c r="J840">
        <v>56.442021740538593</v>
      </c>
      <c r="K840">
        <v>9.1954022988505635</v>
      </c>
      <c r="L840">
        <v>6.0594444032695503</v>
      </c>
      <c r="M840">
        <v>89.504734427898256</v>
      </c>
      <c r="N840">
        <v>52.896045051956506</v>
      </c>
      <c r="O840">
        <v>10.023387096774194</v>
      </c>
      <c r="P840">
        <v>1.8966129032258063</v>
      </c>
      <c r="Q840">
        <v>839</v>
      </c>
      <c r="R840">
        <v>30</v>
      </c>
      <c r="S840" t="s">
        <v>24</v>
      </c>
      <c r="T840" t="s">
        <v>107</v>
      </c>
      <c r="U840">
        <v>1000</v>
      </c>
      <c r="V840">
        <v>1000</v>
      </c>
    </row>
    <row r="841" spans="1:22" x14ac:dyDescent="0.3">
      <c r="A841" t="s">
        <v>987</v>
      </c>
      <c r="B841" t="s">
        <v>185</v>
      </c>
      <c r="C841">
        <v>10.75</v>
      </c>
      <c r="D841">
        <v>19.75</v>
      </c>
      <c r="E841">
        <v>10.67</v>
      </c>
      <c r="F841">
        <v>2.3199999999999998</v>
      </c>
      <c r="G841">
        <v>75.381310418904405</v>
      </c>
      <c r="H841">
        <v>53.568977350720658</v>
      </c>
      <c r="I841">
        <v>54.783841247342302</v>
      </c>
      <c r="J841">
        <v>58.538875912668232</v>
      </c>
      <c r="K841">
        <v>15.708812260536398</v>
      </c>
      <c r="L841">
        <v>12.257715287647397</v>
      </c>
      <c r="M841">
        <v>78.769014337080961</v>
      </c>
      <c r="N841">
        <v>52.888894605738457</v>
      </c>
      <c r="O841">
        <v>9.4014285714285712</v>
      </c>
      <c r="P841">
        <v>1.2685714285714287</v>
      </c>
      <c r="Q841">
        <v>840</v>
      </c>
      <c r="R841">
        <v>10</v>
      </c>
      <c r="S841" t="s">
        <v>24</v>
      </c>
      <c r="T841" t="s">
        <v>666</v>
      </c>
      <c r="U841">
        <v>5000</v>
      </c>
      <c r="V841">
        <v>1000</v>
      </c>
    </row>
    <row r="842" spans="1:22" x14ac:dyDescent="0.3">
      <c r="A842" t="s">
        <v>988</v>
      </c>
      <c r="B842" t="s">
        <v>161</v>
      </c>
      <c r="C842">
        <v>4.2</v>
      </c>
      <c r="D842">
        <v>3.26</v>
      </c>
      <c r="E842">
        <v>4.29</v>
      </c>
      <c r="F842">
        <v>0.83</v>
      </c>
      <c r="G842">
        <v>61.310418904403861</v>
      </c>
      <c r="H842">
        <v>25.274536719286207</v>
      </c>
      <c r="I842">
        <v>32.175761871013464</v>
      </c>
      <c r="J842">
        <v>35.932325732173368</v>
      </c>
      <c r="K842">
        <v>72.796934865900369</v>
      </c>
      <c r="L842">
        <v>19.126944144791302</v>
      </c>
      <c r="M842">
        <v>66.871160947689418</v>
      </c>
      <c r="N842">
        <v>52.883186819484131</v>
      </c>
      <c r="O842">
        <v>4.9189795918367345</v>
      </c>
      <c r="P842">
        <v>-0.62897959183673446</v>
      </c>
      <c r="Q842">
        <v>841</v>
      </c>
      <c r="R842">
        <v>44</v>
      </c>
      <c r="S842" t="s">
        <v>24</v>
      </c>
      <c r="T842" t="s">
        <v>535</v>
      </c>
      <c r="U842">
        <v>5000</v>
      </c>
      <c r="V842">
        <v>1000</v>
      </c>
    </row>
    <row r="843" spans="1:22" x14ac:dyDescent="0.3">
      <c r="A843" t="s">
        <v>989</v>
      </c>
      <c r="B843" t="s">
        <v>965</v>
      </c>
      <c r="C843">
        <v>4.8</v>
      </c>
      <c r="D843">
        <v>2.44</v>
      </c>
      <c r="E843">
        <v>5.36</v>
      </c>
      <c r="F843">
        <v>0.89</v>
      </c>
      <c r="G843">
        <v>62.599355531686349</v>
      </c>
      <c r="H843">
        <v>23.867536032944408</v>
      </c>
      <c r="I843">
        <v>35.967399007795883</v>
      </c>
      <c r="J843">
        <v>37.663831420118534</v>
      </c>
      <c r="K843">
        <v>70.498084291187737</v>
      </c>
      <c r="L843">
        <v>19.815068483285224</v>
      </c>
      <c r="M843">
        <v>65.679294631493221</v>
      </c>
      <c r="N843">
        <v>52.87626044072951</v>
      </c>
      <c r="O843">
        <v>4.3271875</v>
      </c>
      <c r="P843">
        <v>1.0328125000000004</v>
      </c>
      <c r="Q843">
        <v>842</v>
      </c>
      <c r="R843">
        <v>4</v>
      </c>
      <c r="S843" t="s">
        <v>24</v>
      </c>
      <c r="T843" t="s">
        <v>966</v>
      </c>
      <c r="U843">
        <v>1000</v>
      </c>
      <c r="V843">
        <v>1000</v>
      </c>
    </row>
    <row r="844" spans="1:22" x14ac:dyDescent="0.3">
      <c r="A844" t="s">
        <v>990</v>
      </c>
      <c r="B844" t="s">
        <v>195</v>
      </c>
      <c r="C844">
        <v>-1.1299999999999999</v>
      </c>
      <c r="D844">
        <v>13.98</v>
      </c>
      <c r="E844">
        <v>8.24</v>
      </c>
      <c r="F844">
        <v>2.09</v>
      </c>
      <c r="G844">
        <v>49.860365198711058</v>
      </c>
      <c r="H844">
        <v>43.668496911461915</v>
      </c>
      <c r="I844">
        <v>46.172927002126151</v>
      </c>
      <c r="J844">
        <v>46.159085614243864</v>
      </c>
      <c r="K844">
        <v>24.521072796934874</v>
      </c>
      <c r="L844">
        <v>3.114712491260883</v>
      </c>
      <c r="M844">
        <v>94.605159714166717</v>
      </c>
      <c r="N844">
        <v>52.86110093489733</v>
      </c>
      <c r="O844">
        <v>10.412619047619048</v>
      </c>
      <c r="P844">
        <v>-2.1726190476190474</v>
      </c>
      <c r="Q844">
        <v>843</v>
      </c>
      <c r="R844">
        <v>28</v>
      </c>
      <c r="S844" t="s">
        <v>24</v>
      </c>
      <c r="T844" t="s">
        <v>196</v>
      </c>
      <c r="U844">
        <v>5000</v>
      </c>
      <c r="V844">
        <v>1000</v>
      </c>
    </row>
    <row r="845" spans="1:22" x14ac:dyDescent="0.3">
      <c r="A845" t="s">
        <v>991</v>
      </c>
      <c r="B845" t="s">
        <v>161</v>
      </c>
      <c r="C845">
        <v>4.2</v>
      </c>
      <c r="D845">
        <v>3.26</v>
      </c>
      <c r="E845">
        <v>4.2699999999999996</v>
      </c>
      <c r="F845">
        <v>0.83</v>
      </c>
      <c r="G845">
        <v>61.310418904403861</v>
      </c>
      <c r="H845">
        <v>25.274536719286207</v>
      </c>
      <c r="I845">
        <v>32.104890148830613</v>
      </c>
      <c r="J845">
        <v>35.896889871081939</v>
      </c>
      <c r="K845">
        <v>72.796934865900369</v>
      </c>
      <c r="L845">
        <v>19.140713338870039</v>
      </c>
      <c r="M845">
        <v>66.847312003965754</v>
      </c>
      <c r="N845">
        <v>52.8595066530075</v>
      </c>
      <c r="O845">
        <v>4.9189795918367345</v>
      </c>
      <c r="P845">
        <v>-0.64897959183673493</v>
      </c>
      <c r="Q845">
        <v>844</v>
      </c>
      <c r="R845">
        <v>45</v>
      </c>
      <c r="S845" t="s">
        <v>24</v>
      </c>
      <c r="T845" t="s">
        <v>535</v>
      </c>
      <c r="U845">
        <v>5000</v>
      </c>
      <c r="V845">
        <v>1000</v>
      </c>
    </row>
    <row r="846" spans="1:22" x14ac:dyDescent="0.3">
      <c r="A846" t="s">
        <v>992</v>
      </c>
      <c r="B846" t="s">
        <v>185</v>
      </c>
      <c r="C846">
        <v>11.91</v>
      </c>
      <c r="D846">
        <v>19.25</v>
      </c>
      <c r="E846">
        <v>11.14</v>
      </c>
      <c r="F846">
        <v>2.3199999999999998</v>
      </c>
      <c r="G846">
        <v>77.873254564983881</v>
      </c>
      <c r="H846">
        <v>52.711050102951276</v>
      </c>
      <c r="I846">
        <v>56.449326718639256</v>
      </c>
      <c r="J846">
        <v>59.612629303201786</v>
      </c>
      <c r="K846">
        <v>15.708812260536398</v>
      </c>
      <c r="L846">
        <v>13.577530027033108</v>
      </c>
      <c r="M846">
        <v>76.483028151886629</v>
      </c>
      <c r="N846">
        <v>52.854274754706651</v>
      </c>
      <c r="O846">
        <v>9.4014285714285712</v>
      </c>
      <c r="P846">
        <v>1.7385714285714293</v>
      </c>
      <c r="Q846">
        <v>845</v>
      </c>
      <c r="R846">
        <v>11</v>
      </c>
      <c r="S846" t="s">
        <v>24</v>
      </c>
      <c r="T846" t="s">
        <v>186</v>
      </c>
      <c r="U846">
        <v>5000</v>
      </c>
      <c r="V846">
        <v>1000</v>
      </c>
    </row>
    <row r="847" spans="1:22" x14ac:dyDescent="0.3">
      <c r="A847" t="s">
        <v>993</v>
      </c>
      <c r="B847" t="s">
        <v>185</v>
      </c>
      <c r="C847">
        <v>11.91</v>
      </c>
      <c r="D847">
        <v>19.25</v>
      </c>
      <c r="E847">
        <v>11.14</v>
      </c>
      <c r="F847">
        <v>2.3199999999999998</v>
      </c>
      <c r="G847">
        <v>77.873254564983881</v>
      </c>
      <c r="H847">
        <v>52.711050102951276</v>
      </c>
      <c r="I847">
        <v>56.449326718639256</v>
      </c>
      <c r="J847">
        <v>59.612629303201786</v>
      </c>
      <c r="K847">
        <v>15.708812260536398</v>
      </c>
      <c r="L847">
        <v>13.577530027033108</v>
      </c>
      <c r="M847">
        <v>76.483028151886629</v>
      </c>
      <c r="N847">
        <v>52.854274754706651</v>
      </c>
      <c r="O847">
        <v>9.4014285714285712</v>
      </c>
      <c r="P847">
        <v>1.7385714285714293</v>
      </c>
      <c r="Q847">
        <v>845</v>
      </c>
      <c r="R847">
        <v>11</v>
      </c>
      <c r="S847" t="s">
        <v>24</v>
      </c>
      <c r="T847" t="s">
        <v>186</v>
      </c>
      <c r="U847">
        <v>5000</v>
      </c>
      <c r="V847">
        <v>1000</v>
      </c>
    </row>
    <row r="848" spans="1:22" x14ac:dyDescent="0.3">
      <c r="A848" t="s">
        <v>994</v>
      </c>
      <c r="B848" t="s">
        <v>965</v>
      </c>
      <c r="C848">
        <v>6.09</v>
      </c>
      <c r="D848">
        <v>3.35</v>
      </c>
      <c r="E848">
        <v>3.77</v>
      </c>
      <c r="F848">
        <v>0.71</v>
      </c>
      <c r="G848">
        <v>65.370569280343716</v>
      </c>
      <c r="H848">
        <v>25.428963623884698</v>
      </c>
      <c r="I848">
        <v>30.333097094259386</v>
      </c>
      <c r="J848">
        <v>35.869351490363847</v>
      </c>
      <c r="K848">
        <v>77.394636015325673</v>
      </c>
      <c r="L848">
        <v>21.783047095933576</v>
      </c>
      <c r="M848">
        <v>62.270655686177363</v>
      </c>
      <c r="N848">
        <v>52.850998670557686</v>
      </c>
      <c r="O848">
        <v>4.3271875</v>
      </c>
      <c r="P848">
        <v>-0.55718749999999995</v>
      </c>
      <c r="Q848">
        <v>847</v>
      </c>
      <c r="R848">
        <v>5</v>
      </c>
      <c r="S848" t="s">
        <v>24</v>
      </c>
      <c r="T848" t="s">
        <v>966</v>
      </c>
      <c r="U848">
        <v>5000</v>
      </c>
      <c r="V848">
        <v>1000</v>
      </c>
    </row>
    <row r="849" spans="1:22" x14ac:dyDescent="0.3">
      <c r="A849" t="s">
        <v>995</v>
      </c>
      <c r="B849" t="s">
        <v>965</v>
      </c>
      <c r="C849">
        <v>6.09</v>
      </c>
      <c r="D849">
        <v>3.35</v>
      </c>
      <c r="E849">
        <v>3.77</v>
      </c>
      <c r="F849">
        <v>0.71</v>
      </c>
      <c r="G849">
        <v>65.370569280343716</v>
      </c>
      <c r="H849">
        <v>25.428963623884698</v>
      </c>
      <c r="I849">
        <v>30.333097094259386</v>
      </c>
      <c r="J849">
        <v>35.869351490363847</v>
      </c>
      <c r="K849">
        <v>77.394636015325673</v>
      </c>
      <c r="L849">
        <v>21.783047095933576</v>
      </c>
      <c r="M849">
        <v>62.270655686177363</v>
      </c>
      <c r="N849">
        <v>52.850998670557686</v>
      </c>
      <c r="O849">
        <v>4.3271875</v>
      </c>
      <c r="P849">
        <v>-0.55718749999999995</v>
      </c>
      <c r="Q849">
        <v>847</v>
      </c>
      <c r="R849">
        <v>5</v>
      </c>
      <c r="S849" t="s">
        <v>24</v>
      </c>
      <c r="T849" t="s">
        <v>966</v>
      </c>
      <c r="U849">
        <v>5000</v>
      </c>
      <c r="V849">
        <v>1000</v>
      </c>
    </row>
    <row r="850" spans="1:22" x14ac:dyDescent="0.3">
      <c r="A850" t="s">
        <v>996</v>
      </c>
      <c r="B850" t="s">
        <v>395</v>
      </c>
      <c r="C850">
        <v>5.4</v>
      </c>
      <c r="D850">
        <v>4.1500000000000004</v>
      </c>
      <c r="E850">
        <v>4.33</v>
      </c>
      <c r="F850">
        <v>0.85</v>
      </c>
      <c r="G850">
        <v>63.888292158968852</v>
      </c>
      <c r="H850">
        <v>26.801647220315722</v>
      </c>
      <c r="I850">
        <v>32.317505315379158</v>
      </c>
      <c r="J850">
        <v>36.97690525557806</v>
      </c>
      <c r="K850">
        <v>72.030651340996172</v>
      </c>
      <c r="L850">
        <v>20.010657598947862</v>
      </c>
      <c r="M850">
        <v>65.34052434575807</v>
      </c>
      <c r="N850">
        <v>52.831246549477591</v>
      </c>
      <c r="O850">
        <v>5.2778260869565221</v>
      </c>
      <c r="P850">
        <v>-0.94782608695652204</v>
      </c>
      <c r="Q850">
        <v>849</v>
      </c>
      <c r="R850">
        <v>18</v>
      </c>
      <c r="S850" t="s">
        <v>24</v>
      </c>
      <c r="T850" t="s">
        <v>230</v>
      </c>
      <c r="U850">
        <v>20000</v>
      </c>
      <c r="V850">
        <v>1000</v>
      </c>
    </row>
    <row r="851" spans="1:22" x14ac:dyDescent="0.3">
      <c r="A851" t="s">
        <v>997</v>
      </c>
      <c r="B851" t="s">
        <v>161</v>
      </c>
      <c r="C851">
        <v>4.2</v>
      </c>
      <c r="D851">
        <v>3.26</v>
      </c>
      <c r="E851">
        <v>4.24</v>
      </c>
      <c r="F851">
        <v>0.83</v>
      </c>
      <c r="G851">
        <v>61.310418904403861</v>
      </c>
      <c r="H851">
        <v>25.274536719286207</v>
      </c>
      <c r="I851">
        <v>31.998582565556344</v>
      </c>
      <c r="J851">
        <v>35.84373607944481</v>
      </c>
      <c r="K851">
        <v>72.796934865900369</v>
      </c>
      <c r="L851">
        <v>19.161512409679482</v>
      </c>
      <c r="M851">
        <v>66.811286956573582</v>
      </c>
      <c r="N851">
        <v>52.823923495340892</v>
      </c>
      <c r="O851">
        <v>4.9189795918367345</v>
      </c>
      <c r="P851">
        <v>-0.67897959183673429</v>
      </c>
      <c r="Q851">
        <v>850</v>
      </c>
      <c r="R851">
        <v>46</v>
      </c>
      <c r="S851" t="s">
        <v>24</v>
      </c>
      <c r="T851" t="s">
        <v>535</v>
      </c>
      <c r="U851">
        <v>5000</v>
      </c>
      <c r="V851">
        <v>1000</v>
      </c>
    </row>
    <row r="852" spans="1:22" x14ac:dyDescent="0.3">
      <c r="A852" t="s">
        <v>998</v>
      </c>
      <c r="B852" t="s">
        <v>161</v>
      </c>
      <c r="C852">
        <v>4.74</v>
      </c>
      <c r="D852">
        <v>1.44</v>
      </c>
      <c r="E852">
        <v>4.1500000000000004</v>
      </c>
      <c r="F852">
        <v>0.7</v>
      </c>
      <c r="G852">
        <v>62.470461868958104</v>
      </c>
      <c r="H852">
        <v>22.151681537405633</v>
      </c>
      <c r="I852">
        <v>31.679659815733519</v>
      </c>
      <c r="J852">
        <v>34.979426742880072</v>
      </c>
      <c r="K852">
        <v>77.777777777777786</v>
      </c>
      <c r="L852">
        <v>21.073126285141502</v>
      </c>
      <c r="M852">
        <v>63.500274599819726</v>
      </c>
      <c r="N852">
        <v>52.809226465839416</v>
      </c>
      <c r="O852">
        <v>4.9189795918367345</v>
      </c>
      <c r="P852">
        <v>-0.76897959183673414</v>
      </c>
      <c r="Q852">
        <v>851</v>
      </c>
      <c r="R852">
        <v>47</v>
      </c>
      <c r="S852" t="s">
        <v>24</v>
      </c>
      <c r="T852" t="s">
        <v>535</v>
      </c>
      <c r="U852">
        <v>1000</v>
      </c>
      <c r="V852">
        <v>1000</v>
      </c>
    </row>
    <row r="853" spans="1:22" x14ac:dyDescent="0.3">
      <c r="A853" t="s">
        <v>999</v>
      </c>
      <c r="B853" t="s">
        <v>155</v>
      </c>
      <c r="C853">
        <v>5.36</v>
      </c>
      <c r="D853">
        <v>3.68</v>
      </c>
      <c r="E853">
        <v>5.16</v>
      </c>
      <c r="F853">
        <v>0.93</v>
      </c>
      <c r="G853">
        <v>63.802363050483343</v>
      </c>
      <c r="H853">
        <v>25.995195607412498</v>
      </c>
      <c r="I853">
        <v>35.258681785967397</v>
      </c>
      <c r="J853">
        <v>38.188372185304118</v>
      </c>
      <c r="K853">
        <v>68.965517241379317</v>
      </c>
      <c r="L853">
        <v>19.705903626320346</v>
      </c>
      <c r="M853">
        <v>65.868373710157371</v>
      </c>
      <c r="N853">
        <v>52.802658830536231</v>
      </c>
      <c r="O853">
        <v>5.2086538461538465</v>
      </c>
      <c r="P853">
        <v>-4.8653846153846381E-2</v>
      </c>
      <c r="Q853">
        <v>852</v>
      </c>
      <c r="R853">
        <v>20</v>
      </c>
      <c r="S853" t="s">
        <v>24</v>
      </c>
      <c r="T853" t="s">
        <v>577</v>
      </c>
      <c r="U853">
        <v>5000</v>
      </c>
      <c r="V853">
        <v>1000</v>
      </c>
    </row>
    <row r="854" spans="1:22" x14ac:dyDescent="0.3">
      <c r="A854" t="s">
        <v>1000</v>
      </c>
      <c r="B854" t="s">
        <v>155</v>
      </c>
      <c r="C854">
        <v>5.36</v>
      </c>
      <c r="D854">
        <v>3.68</v>
      </c>
      <c r="E854">
        <v>5.15</v>
      </c>
      <c r="F854">
        <v>0.93</v>
      </c>
      <c r="G854">
        <v>63.802363050483343</v>
      </c>
      <c r="H854">
        <v>25.995195607412498</v>
      </c>
      <c r="I854">
        <v>35.223245924875975</v>
      </c>
      <c r="J854">
        <v>38.170654254758404</v>
      </c>
      <c r="K854">
        <v>68.965517241379317</v>
      </c>
      <c r="L854">
        <v>19.71169178604929</v>
      </c>
      <c r="M854">
        <v>65.858348323424522</v>
      </c>
      <c r="N854">
        <v>52.791293518580162</v>
      </c>
      <c r="O854">
        <v>5.2086538461538465</v>
      </c>
      <c r="P854">
        <v>-5.8653846153846168E-2</v>
      </c>
      <c r="Q854">
        <v>853</v>
      </c>
      <c r="R854">
        <v>21</v>
      </c>
      <c r="S854" t="s">
        <v>24</v>
      </c>
      <c r="T854" t="s">
        <v>577</v>
      </c>
      <c r="U854">
        <v>5000</v>
      </c>
      <c r="V854">
        <v>1000</v>
      </c>
    </row>
    <row r="855" spans="1:22" x14ac:dyDescent="0.3">
      <c r="A855" t="s">
        <v>1001</v>
      </c>
      <c r="B855" t="s">
        <v>155</v>
      </c>
      <c r="C855">
        <v>6.32</v>
      </c>
      <c r="D855">
        <v>5.0199999999999996</v>
      </c>
      <c r="E855">
        <v>5.93</v>
      </c>
      <c r="F855">
        <v>1.07</v>
      </c>
      <c r="G855">
        <v>65.864661654135332</v>
      </c>
      <c r="H855">
        <v>28.294440631434458</v>
      </c>
      <c r="I855">
        <v>37.987243090007084</v>
      </c>
      <c r="J855">
        <v>40.654886065260946</v>
      </c>
      <c r="K855">
        <v>63.601532567049816</v>
      </c>
      <c r="L855">
        <v>19.504795961485595</v>
      </c>
      <c r="M855">
        <v>66.216702403442696</v>
      </c>
      <c r="N855">
        <v>52.782001775253605</v>
      </c>
      <c r="O855">
        <v>5.2086538461538465</v>
      </c>
      <c r="P855">
        <v>0.72134615384615319</v>
      </c>
      <c r="Q855">
        <v>854</v>
      </c>
      <c r="R855">
        <v>22</v>
      </c>
      <c r="S855" t="s">
        <v>24</v>
      </c>
      <c r="T855" t="s">
        <v>577</v>
      </c>
      <c r="U855">
        <v>5000</v>
      </c>
      <c r="V855">
        <v>1000</v>
      </c>
    </row>
    <row r="856" spans="1:22" x14ac:dyDescent="0.3">
      <c r="A856" t="s">
        <v>1002</v>
      </c>
      <c r="B856" t="s">
        <v>844</v>
      </c>
      <c r="C856">
        <v>4.2300000000000004</v>
      </c>
      <c r="D856">
        <v>2.8</v>
      </c>
      <c r="E856">
        <v>2.25</v>
      </c>
      <c r="F856">
        <v>0.55000000000000004</v>
      </c>
      <c r="G856">
        <v>61.37486573576799</v>
      </c>
      <c r="H856">
        <v>24.485243651338369</v>
      </c>
      <c r="I856">
        <v>24.94684620836286</v>
      </c>
      <c r="J856">
        <v>32.093969346736536</v>
      </c>
      <c r="K856">
        <v>83.524904214559385</v>
      </c>
      <c r="L856">
        <v>21.166238451606915</v>
      </c>
      <c r="M856">
        <v>63.33899959669882</v>
      </c>
      <c r="N856">
        <v>52.762960626182817</v>
      </c>
      <c r="O856">
        <v>4.4820000000000002</v>
      </c>
      <c r="P856">
        <v>-2.2320000000000002</v>
      </c>
      <c r="Q856">
        <v>855</v>
      </c>
      <c r="R856">
        <v>4</v>
      </c>
      <c r="S856" t="s">
        <v>24</v>
      </c>
      <c r="T856" t="s">
        <v>845</v>
      </c>
      <c r="U856">
        <v>5000</v>
      </c>
      <c r="V856">
        <v>1000</v>
      </c>
    </row>
    <row r="857" spans="1:22" x14ac:dyDescent="0.3">
      <c r="A857" t="s">
        <v>1003</v>
      </c>
      <c r="B857" t="s">
        <v>138</v>
      </c>
      <c r="C857">
        <v>-5.0599999999999996</v>
      </c>
      <c r="D857">
        <v>10.81</v>
      </c>
      <c r="E857">
        <v>6.7</v>
      </c>
      <c r="F857">
        <v>1.85</v>
      </c>
      <c r="G857">
        <v>41.417830290010741</v>
      </c>
      <c r="H857">
        <v>38.229238160603984</v>
      </c>
      <c r="I857">
        <v>40.715804394046771</v>
      </c>
      <c r="J857">
        <v>40.11023970320673</v>
      </c>
      <c r="K857">
        <v>33.716475095785434</v>
      </c>
      <c r="L857">
        <v>1.6754587311945635</v>
      </c>
      <c r="M857">
        <v>97.098020351586129</v>
      </c>
      <c r="N857">
        <v>52.75874371344625</v>
      </c>
      <c r="O857">
        <v>9.219019607843137</v>
      </c>
      <c r="P857">
        <v>-2.5190196078431368</v>
      </c>
      <c r="Q857">
        <v>856</v>
      </c>
      <c r="R857">
        <v>19</v>
      </c>
      <c r="S857" t="s">
        <v>24</v>
      </c>
      <c r="T857" t="s">
        <v>134</v>
      </c>
      <c r="U857">
        <v>1000</v>
      </c>
      <c r="V857">
        <v>1000</v>
      </c>
    </row>
    <row r="858" spans="1:22" x14ac:dyDescent="0.3">
      <c r="A858" t="s">
        <v>1004</v>
      </c>
      <c r="B858" t="s">
        <v>161</v>
      </c>
      <c r="C858">
        <v>4.67</v>
      </c>
      <c r="D858">
        <v>1.37</v>
      </c>
      <c r="E858">
        <v>4.09</v>
      </c>
      <c r="F858">
        <v>0.7</v>
      </c>
      <c r="G858">
        <v>62.32008592910848</v>
      </c>
      <c r="H858">
        <v>22.031571722717917</v>
      </c>
      <c r="I858">
        <v>31.46704464918497</v>
      </c>
      <c r="J858">
        <v>34.807011027229557</v>
      </c>
      <c r="K858">
        <v>77.777777777777786</v>
      </c>
      <c r="L858">
        <v>21.071713593208674</v>
      </c>
      <c r="M858">
        <v>63.502721454022826</v>
      </c>
      <c r="N858">
        <v>52.723630321564933</v>
      </c>
      <c r="O858">
        <v>4.9189795918367345</v>
      </c>
      <c r="P858">
        <v>-0.82897959183673464</v>
      </c>
      <c r="Q858">
        <v>857</v>
      </c>
      <c r="R858">
        <v>48</v>
      </c>
      <c r="S858" t="s">
        <v>24</v>
      </c>
      <c r="T858" t="s">
        <v>535</v>
      </c>
      <c r="U858">
        <v>1000</v>
      </c>
      <c r="V858">
        <v>1000</v>
      </c>
    </row>
    <row r="859" spans="1:22" x14ac:dyDescent="0.3">
      <c r="A859" t="s">
        <v>1005</v>
      </c>
      <c r="B859" t="s">
        <v>592</v>
      </c>
      <c r="C859">
        <v>-3.32</v>
      </c>
      <c r="D859">
        <v>17.18</v>
      </c>
      <c r="E859">
        <v>12.9</v>
      </c>
      <c r="F859">
        <v>2.2999999999999998</v>
      </c>
      <c r="G859">
        <v>45.155746509129962</v>
      </c>
      <c r="H859">
        <v>49.159231297186004</v>
      </c>
      <c r="I859">
        <v>62.686038270729981</v>
      </c>
      <c r="J859">
        <v>55.12193782634678</v>
      </c>
      <c r="K859">
        <v>16.475095785440619</v>
      </c>
      <c r="L859">
        <v>9.1861628423273629</v>
      </c>
      <c r="M859">
        <v>84.089099230487676</v>
      </c>
      <c r="N859">
        <v>52.702017667155459</v>
      </c>
      <c r="O859">
        <v>12.223750000000001</v>
      </c>
      <c r="P859">
        <v>0.67624999999999957</v>
      </c>
      <c r="Q859">
        <v>858</v>
      </c>
      <c r="R859">
        <v>5</v>
      </c>
      <c r="S859" t="s">
        <v>24</v>
      </c>
      <c r="T859" t="s">
        <v>1006</v>
      </c>
      <c r="U859">
        <v>5000</v>
      </c>
      <c r="V859">
        <v>1000</v>
      </c>
    </row>
    <row r="860" spans="1:22" x14ac:dyDescent="0.3">
      <c r="A860" t="s">
        <v>1007</v>
      </c>
      <c r="B860" t="s">
        <v>592</v>
      </c>
      <c r="C860">
        <v>-3.32</v>
      </c>
      <c r="D860">
        <v>17.18</v>
      </c>
      <c r="E860">
        <v>12.9</v>
      </c>
      <c r="F860">
        <v>2.2999999999999998</v>
      </c>
      <c r="G860">
        <v>45.155746509129962</v>
      </c>
      <c r="H860">
        <v>49.159231297186004</v>
      </c>
      <c r="I860">
        <v>62.686038270729981</v>
      </c>
      <c r="J860">
        <v>55.12193782634678</v>
      </c>
      <c r="K860">
        <v>16.475095785440619</v>
      </c>
      <c r="L860">
        <v>9.1861628423273629</v>
      </c>
      <c r="M860">
        <v>84.089099230487676</v>
      </c>
      <c r="N860">
        <v>52.702017667155459</v>
      </c>
      <c r="O860">
        <v>12.223750000000001</v>
      </c>
      <c r="P860">
        <v>0.67624999999999957</v>
      </c>
      <c r="Q860">
        <v>858</v>
      </c>
      <c r="R860">
        <v>5</v>
      </c>
      <c r="S860" t="s">
        <v>24</v>
      </c>
      <c r="T860" t="s">
        <v>1006</v>
      </c>
      <c r="U860">
        <v>5000</v>
      </c>
      <c r="V860">
        <v>1000</v>
      </c>
    </row>
    <row r="861" spans="1:22" x14ac:dyDescent="0.3">
      <c r="A861" t="s">
        <v>1008</v>
      </c>
      <c r="B861" t="s">
        <v>844</v>
      </c>
      <c r="C861">
        <v>4.42</v>
      </c>
      <c r="D861">
        <v>4.0599999999999996</v>
      </c>
      <c r="E861">
        <v>4.63</v>
      </c>
      <c r="F861">
        <v>0.93</v>
      </c>
      <c r="G861">
        <v>61.783029001074105</v>
      </c>
      <c r="H861">
        <v>26.647220315717231</v>
      </c>
      <c r="I861">
        <v>33.380581148121898</v>
      </c>
      <c r="J861">
        <v>37.041062468990944</v>
      </c>
      <c r="K861">
        <v>68.965517241379317</v>
      </c>
      <c r="L861">
        <v>18.648334349717093</v>
      </c>
      <c r="M861">
        <v>67.700137429758072</v>
      </c>
      <c r="N861">
        <v>52.686944902279819</v>
      </c>
      <c r="O861">
        <v>4.4820000000000002</v>
      </c>
      <c r="P861">
        <v>0.14799999999999969</v>
      </c>
      <c r="Q861">
        <v>860</v>
      </c>
      <c r="R861">
        <v>5</v>
      </c>
      <c r="S861" t="s">
        <v>24</v>
      </c>
      <c r="T861" t="s">
        <v>845</v>
      </c>
      <c r="U861">
        <v>5000</v>
      </c>
      <c r="V861">
        <v>1000</v>
      </c>
    </row>
    <row r="862" spans="1:22" x14ac:dyDescent="0.3">
      <c r="A862" t="s">
        <v>1009</v>
      </c>
      <c r="B862" t="s">
        <v>155</v>
      </c>
      <c r="C862">
        <v>6.32</v>
      </c>
      <c r="D862">
        <v>5.0199999999999996</v>
      </c>
      <c r="E862">
        <v>5.81</v>
      </c>
      <c r="F862">
        <v>1.07</v>
      </c>
      <c r="G862">
        <v>65.864661654135332</v>
      </c>
      <c r="H862">
        <v>28.294440631434458</v>
      </c>
      <c r="I862">
        <v>37.562012756909994</v>
      </c>
      <c r="J862">
        <v>40.442270898712401</v>
      </c>
      <c r="K862">
        <v>63.601532567049816</v>
      </c>
      <c r="L862">
        <v>19.572299027771777</v>
      </c>
      <c r="M862">
        <v>66.099783662968349</v>
      </c>
      <c r="N862">
        <v>52.646464506860745</v>
      </c>
      <c r="O862">
        <v>5.2086538461538465</v>
      </c>
      <c r="P862">
        <v>0.60134615384615309</v>
      </c>
      <c r="Q862">
        <v>861</v>
      </c>
      <c r="R862">
        <v>23</v>
      </c>
      <c r="S862" t="s">
        <v>24</v>
      </c>
      <c r="T862" t="s">
        <v>577</v>
      </c>
      <c r="U862">
        <v>5000</v>
      </c>
      <c r="V862">
        <v>1000</v>
      </c>
    </row>
    <row r="863" spans="1:22" x14ac:dyDescent="0.3">
      <c r="A863" t="s">
        <v>1010</v>
      </c>
      <c r="B863" t="s">
        <v>148</v>
      </c>
      <c r="C863">
        <v>-5.61</v>
      </c>
      <c r="D863">
        <v>9.6</v>
      </c>
      <c r="E863">
        <v>11.89</v>
      </c>
      <c r="F863">
        <v>1.82</v>
      </c>
      <c r="G863">
        <v>40.236305048335119</v>
      </c>
      <c r="H863">
        <v>36.153054221002066</v>
      </c>
      <c r="I863">
        <v>59.107016300496106</v>
      </c>
      <c r="J863">
        <v>48.446685426215694</v>
      </c>
      <c r="K863">
        <v>34.865900383141771</v>
      </c>
      <c r="L863">
        <v>12.245142272402022</v>
      </c>
      <c r="M863">
        <v>78.790791438290285</v>
      </c>
      <c r="N863">
        <v>52.637515668465859</v>
      </c>
      <c r="O863">
        <v>10.461</v>
      </c>
      <c r="P863">
        <v>1.4290000000000003</v>
      </c>
      <c r="Q863">
        <v>862</v>
      </c>
      <c r="R863">
        <v>27</v>
      </c>
      <c r="S863" t="s">
        <v>24</v>
      </c>
      <c r="T863" t="s">
        <v>78</v>
      </c>
      <c r="U863">
        <v>1000</v>
      </c>
      <c r="V863">
        <v>1000</v>
      </c>
    </row>
    <row r="864" spans="1:22" x14ac:dyDescent="0.3">
      <c r="A864" t="s">
        <v>1011</v>
      </c>
      <c r="B864" t="s">
        <v>358</v>
      </c>
      <c r="C864">
        <v>4.6399999999999997</v>
      </c>
      <c r="D864">
        <v>3.37</v>
      </c>
      <c r="E864">
        <v>3.68</v>
      </c>
      <c r="F864">
        <v>0.77</v>
      </c>
      <c r="G864">
        <v>62.25563909774435</v>
      </c>
      <c r="H864">
        <v>25.463280713795474</v>
      </c>
      <c r="I864">
        <v>30.014174344436569</v>
      </c>
      <c r="J864">
        <v>35.097199205905795</v>
      </c>
      <c r="K864">
        <v>75.095785440613028</v>
      </c>
      <c r="L864">
        <v>20.057834370178696</v>
      </c>
      <c r="M864">
        <v>65.258811781049204</v>
      </c>
      <c r="N864">
        <v>52.637248908368448</v>
      </c>
      <c r="O864">
        <v>5.0554237288135591</v>
      </c>
      <c r="P864">
        <v>-1.3754237288135589</v>
      </c>
      <c r="Q864">
        <v>863</v>
      </c>
      <c r="R864">
        <v>53</v>
      </c>
      <c r="S864" t="s">
        <v>24</v>
      </c>
      <c r="T864" t="s">
        <v>359</v>
      </c>
      <c r="U864">
        <v>10000</v>
      </c>
      <c r="V864">
        <v>1000</v>
      </c>
    </row>
    <row r="865" spans="1:22" x14ac:dyDescent="0.3">
      <c r="A865" t="s">
        <v>1012</v>
      </c>
      <c r="B865" t="s">
        <v>155</v>
      </c>
      <c r="C865">
        <v>5.07</v>
      </c>
      <c r="D865">
        <v>3.84</v>
      </c>
      <c r="E865">
        <v>5.36</v>
      </c>
      <c r="F865">
        <v>0.99</v>
      </c>
      <c r="G865">
        <v>63.179377013963474</v>
      </c>
      <c r="H865">
        <v>26.269732326698701</v>
      </c>
      <c r="I865">
        <v>35.967399007795883</v>
      </c>
      <c r="J865">
        <v>38.500494604700251</v>
      </c>
      <c r="K865">
        <v>66.666666666666657</v>
      </c>
      <c r="L865">
        <v>19.134865024373457</v>
      </c>
      <c r="M865">
        <v>66.857441581812481</v>
      </c>
      <c r="N865">
        <v>52.63127436446991</v>
      </c>
      <c r="O865">
        <v>5.2086538461538465</v>
      </c>
      <c r="P865">
        <v>0.1513461538461538</v>
      </c>
      <c r="Q865">
        <v>864</v>
      </c>
      <c r="R865">
        <v>24</v>
      </c>
      <c r="S865" t="s">
        <v>24</v>
      </c>
      <c r="T865" t="s">
        <v>577</v>
      </c>
      <c r="U865">
        <v>5000</v>
      </c>
      <c r="V865">
        <v>1000</v>
      </c>
    </row>
    <row r="866" spans="1:22" x14ac:dyDescent="0.3">
      <c r="A866" t="s">
        <v>1013</v>
      </c>
      <c r="B866" t="s">
        <v>126</v>
      </c>
      <c r="C866">
        <v>-1.7</v>
      </c>
      <c r="D866">
        <v>15.86</v>
      </c>
      <c r="E866">
        <v>7.23</v>
      </c>
      <c r="F866">
        <v>2.06</v>
      </c>
      <c r="G866">
        <v>48.635875402792692</v>
      </c>
      <c r="H866">
        <v>46.894303363074812</v>
      </c>
      <c r="I866">
        <v>42.593905031892277</v>
      </c>
      <c r="J866">
        <v>45.09241860542712</v>
      </c>
      <c r="K866">
        <v>25.670498084291182</v>
      </c>
      <c r="L866">
        <v>3.1099813755927634</v>
      </c>
      <c r="M866">
        <v>94.613354246880391</v>
      </c>
      <c r="N866">
        <v>52.61717238550645</v>
      </c>
      <c r="O866">
        <v>11.362272727272726</v>
      </c>
      <c r="P866">
        <v>-4.132272727272726</v>
      </c>
      <c r="Q866">
        <v>865</v>
      </c>
      <c r="R866">
        <v>35</v>
      </c>
      <c r="S866" t="s">
        <v>24</v>
      </c>
      <c r="T866" t="s">
        <v>127</v>
      </c>
      <c r="U866">
        <v>1000</v>
      </c>
      <c r="V866">
        <v>1000</v>
      </c>
    </row>
    <row r="867" spans="1:22" x14ac:dyDescent="0.3">
      <c r="A867" t="s">
        <v>1014</v>
      </c>
      <c r="B867" t="s">
        <v>155</v>
      </c>
      <c r="C867">
        <v>5.2</v>
      </c>
      <c r="D867">
        <v>4.34</v>
      </c>
      <c r="E867">
        <v>6.08</v>
      </c>
      <c r="F867">
        <v>1.1000000000000001</v>
      </c>
      <c r="G867">
        <v>63.458646616541344</v>
      </c>
      <c r="H867">
        <v>27.127659574468087</v>
      </c>
      <c r="I867">
        <v>38.518781006378454</v>
      </c>
      <c r="J867">
        <v>40.08941769883792</v>
      </c>
      <c r="K867">
        <v>62.452107279693479</v>
      </c>
      <c r="L867">
        <v>18.581779442870051</v>
      </c>
      <c r="M867">
        <v>67.815413909910163</v>
      </c>
      <c r="N867">
        <v>52.611589146819867</v>
      </c>
      <c r="O867">
        <v>5.2086538461538465</v>
      </c>
      <c r="P867">
        <v>0.87134615384615355</v>
      </c>
      <c r="Q867">
        <v>866</v>
      </c>
      <c r="R867">
        <v>25</v>
      </c>
      <c r="S867" t="s">
        <v>24</v>
      </c>
      <c r="T867" t="s">
        <v>577</v>
      </c>
      <c r="U867">
        <v>1000</v>
      </c>
      <c r="V867">
        <v>1000</v>
      </c>
    </row>
    <row r="868" spans="1:22" x14ac:dyDescent="0.3">
      <c r="A868" t="s">
        <v>1015</v>
      </c>
      <c r="B868" t="s">
        <v>229</v>
      </c>
      <c r="C868">
        <v>5.25</v>
      </c>
      <c r="D868">
        <v>4.25</v>
      </c>
      <c r="E868">
        <v>4.53</v>
      </c>
      <c r="F868">
        <v>0.91</v>
      </c>
      <c r="G868">
        <v>63.566058002148232</v>
      </c>
      <c r="H868">
        <v>26.973232669869596</v>
      </c>
      <c r="I868">
        <v>33.026222537207651</v>
      </c>
      <c r="J868">
        <v>37.318292669994349</v>
      </c>
      <c r="K868">
        <v>69.731800766283527</v>
      </c>
      <c r="L868">
        <v>19.614429647406663</v>
      </c>
      <c r="M868">
        <v>66.026811289206364</v>
      </c>
      <c r="N868">
        <v>52.598799348869647</v>
      </c>
      <c r="O868">
        <v>5.1221052631578941</v>
      </c>
      <c r="P868">
        <v>-0.5921052631578938</v>
      </c>
      <c r="Q868">
        <v>867</v>
      </c>
      <c r="R868">
        <v>40</v>
      </c>
      <c r="S868" t="s">
        <v>24</v>
      </c>
      <c r="T868" t="s">
        <v>429</v>
      </c>
      <c r="U868">
        <v>5000</v>
      </c>
      <c r="V868">
        <v>1000</v>
      </c>
    </row>
    <row r="869" spans="1:22" x14ac:dyDescent="0.3">
      <c r="A869" t="s">
        <v>1016</v>
      </c>
      <c r="B869" t="s">
        <v>155</v>
      </c>
      <c r="C869">
        <v>5.15</v>
      </c>
      <c r="D869">
        <v>4.3099999999999996</v>
      </c>
      <c r="E869">
        <v>6.07</v>
      </c>
      <c r="F869">
        <v>1.1000000000000001</v>
      </c>
      <c r="G869">
        <v>63.351235230934478</v>
      </c>
      <c r="H869">
        <v>27.076183939601929</v>
      </c>
      <c r="I869">
        <v>38.483345145287032</v>
      </c>
      <c r="J869">
        <v>40.034774800710991</v>
      </c>
      <c r="K869">
        <v>62.452107279693479</v>
      </c>
      <c r="L869">
        <v>18.549099844615718</v>
      </c>
      <c r="M869">
        <v>67.872016634457609</v>
      </c>
      <c r="N869">
        <v>52.598418378893271</v>
      </c>
      <c r="O869">
        <v>5.2086538461538465</v>
      </c>
      <c r="P869">
        <v>0.86134615384615376</v>
      </c>
      <c r="Q869">
        <v>868</v>
      </c>
      <c r="R869">
        <v>26</v>
      </c>
      <c r="S869" t="s">
        <v>24</v>
      </c>
      <c r="T869" t="s">
        <v>577</v>
      </c>
      <c r="U869">
        <v>1000</v>
      </c>
      <c r="V869">
        <v>1000</v>
      </c>
    </row>
    <row r="870" spans="1:22" x14ac:dyDescent="0.3">
      <c r="A870" t="s">
        <v>1017</v>
      </c>
      <c r="B870" t="s">
        <v>161</v>
      </c>
      <c r="C870">
        <v>4.67</v>
      </c>
      <c r="D870">
        <v>1.37</v>
      </c>
      <c r="E870">
        <v>3.98</v>
      </c>
      <c r="F870">
        <v>0.7</v>
      </c>
      <c r="G870">
        <v>62.32008592910848</v>
      </c>
      <c r="H870">
        <v>22.031571722717917</v>
      </c>
      <c r="I870">
        <v>31.077250177179305</v>
      </c>
      <c r="J870">
        <v>34.612113791226726</v>
      </c>
      <c r="K870">
        <v>77.777777777777786</v>
      </c>
      <c r="L870">
        <v>21.138840481769037</v>
      </c>
      <c r="M870">
        <v>63.386454272482261</v>
      </c>
      <c r="N870">
        <v>52.597114908178376</v>
      </c>
      <c r="O870">
        <v>4.9189795918367345</v>
      </c>
      <c r="P870">
        <v>-0.93897959183673452</v>
      </c>
      <c r="Q870">
        <v>869</v>
      </c>
      <c r="R870">
        <v>49</v>
      </c>
      <c r="S870" t="s">
        <v>24</v>
      </c>
      <c r="T870" t="s">
        <v>535</v>
      </c>
      <c r="U870">
        <v>1000</v>
      </c>
      <c r="V870">
        <v>1000</v>
      </c>
    </row>
    <row r="871" spans="1:22" x14ac:dyDescent="0.3">
      <c r="A871" t="s">
        <v>1018</v>
      </c>
      <c r="B871" t="s">
        <v>1019</v>
      </c>
      <c r="C871">
        <v>11.05</v>
      </c>
      <c r="D871">
        <v>9.5</v>
      </c>
      <c r="E871">
        <v>10.85</v>
      </c>
      <c r="F871">
        <v>1.75</v>
      </c>
      <c r="G871">
        <v>76.025778732545646</v>
      </c>
      <c r="H871">
        <v>35.981468771448192</v>
      </c>
      <c r="I871">
        <v>55.421686746987952</v>
      </c>
      <c r="J871">
        <v>53.710439751437562</v>
      </c>
      <c r="K871">
        <v>37.547892720306521</v>
      </c>
      <c r="L871">
        <v>20.024973748406726</v>
      </c>
      <c r="M871">
        <v>65.315728047526562</v>
      </c>
      <c r="N871">
        <v>52.571125067677052</v>
      </c>
      <c r="O871">
        <v>8.7813636363636363</v>
      </c>
      <c r="P871">
        <v>2.0686363636363634</v>
      </c>
      <c r="Q871">
        <v>870</v>
      </c>
      <c r="R871">
        <v>1</v>
      </c>
      <c r="S871" t="s">
        <v>24</v>
      </c>
      <c r="T871" t="s">
        <v>1020</v>
      </c>
      <c r="U871">
        <v>5000</v>
      </c>
      <c r="V871">
        <v>1000</v>
      </c>
    </row>
    <row r="872" spans="1:22" x14ac:dyDescent="0.3">
      <c r="A872" t="s">
        <v>1021</v>
      </c>
      <c r="B872" t="s">
        <v>138</v>
      </c>
      <c r="C872">
        <v>6.62</v>
      </c>
      <c r="D872">
        <v>13.6</v>
      </c>
      <c r="E872">
        <v>9.15</v>
      </c>
      <c r="F872">
        <v>1.96</v>
      </c>
      <c r="G872">
        <v>66.509129967776587</v>
      </c>
      <c r="H872">
        <v>43.016472203157171</v>
      </c>
      <c r="I872">
        <v>49.397590361445779</v>
      </c>
      <c r="J872">
        <v>50.905562835225361</v>
      </c>
      <c r="K872">
        <v>29.501915708812266</v>
      </c>
      <c r="L872">
        <v>12.147897112220708</v>
      </c>
      <c r="M872">
        <v>78.959224996514493</v>
      </c>
      <c r="N872">
        <v>52.568066593944366</v>
      </c>
      <c r="O872">
        <v>9.219019607843137</v>
      </c>
      <c r="P872">
        <v>-6.9019607843136654E-2</v>
      </c>
      <c r="Q872">
        <v>871</v>
      </c>
      <c r="R872">
        <v>20</v>
      </c>
      <c r="S872" t="s">
        <v>24</v>
      </c>
      <c r="T872" t="s">
        <v>134</v>
      </c>
      <c r="U872">
        <v>5000</v>
      </c>
      <c r="V872">
        <v>1000</v>
      </c>
    </row>
    <row r="873" spans="1:22" x14ac:dyDescent="0.3">
      <c r="A873" t="s">
        <v>1022</v>
      </c>
      <c r="B873" t="s">
        <v>1019</v>
      </c>
      <c r="C873">
        <v>11.08</v>
      </c>
      <c r="D873">
        <v>9.49</v>
      </c>
      <c r="E873">
        <v>10.86</v>
      </c>
      <c r="F873">
        <v>1.75</v>
      </c>
      <c r="G873">
        <v>76.090225563909769</v>
      </c>
      <c r="H873">
        <v>35.964310226492799</v>
      </c>
      <c r="I873">
        <v>55.457122608079381</v>
      </c>
      <c r="J873">
        <v>53.73589948476949</v>
      </c>
      <c r="K873">
        <v>37.547892720306521</v>
      </c>
      <c r="L873">
        <v>20.065657866926045</v>
      </c>
      <c r="M873">
        <v>65.245261087189945</v>
      </c>
      <c r="N873">
        <v>52.566238194258858</v>
      </c>
      <c r="O873">
        <v>8.7813636363636363</v>
      </c>
      <c r="P873">
        <v>2.0786363636363632</v>
      </c>
      <c r="Q873">
        <v>872</v>
      </c>
      <c r="R873">
        <v>2</v>
      </c>
      <c r="S873" t="s">
        <v>24</v>
      </c>
      <c r="T873" t="s">
        <v>1020</v>
      </c>
      <c r="U873">
        <v>5000</v>
      </c>
      <c r="V873">
        <v>1000</v>
      </c>
    </row>
    <row r="874" spans="1:22" x14ac:dyDescent="0.3">
      <c r="A874" t="s">
        <v>1023</v>
      </c>
      <c r="B874" t="s">
        <v>155</v>
      </c>
      <c r="C874">
        <v>5.07</v>
      </c>
      <c r="D874">
        <v>3.84</v>
      </c>
      <c r="E874">
        <v>5.29</v>
      </c>
      <c r="F874">
        <v>0.99</v>
      </c>
      <c r="G874">
        <v>63.179377013963474</v>
      </c>
      <c r="H874">
        <v>26.269732326698701</v>
      </c>
      <c r="I874">
        <v>35.719347980155916</v>
      </c>
      <c r="J874">
        <v>38.376469090880263</v>
      </c>
      <c r="K874">
        <v>66.666666666666657</v>
      </c>
      <c r="L874">
        <v>19.173203094752452</v>
      </c>
      <c r="M874">
        <v>66.791038096051921</v>
      </c>
      <c r="N874">
        <v>52.552660736119776</v>
      </c>
      <c r="O874">
        <v>5.2086538461538465</v>
      </c>
      <c r="P874">
        <v>8.1346153846153513E-2</v>
      </c>
      <c r="Q874">
        <v>873</v>
      </c>
      <c r="R874">
        <v>27</v>
      </c>
      <c r="S874" t="s">
        <v>24</v>
      </c>
      <c r="T874" t="s">
        <v>577</v>
      </c>
      <c r="U874">
        <v>5000</v>
      </c>
      <c r="V874">
        <v>1000</v>
      </c>
    </row>
    <row r="875" spans="1:22" x14ac:dyDescent="0.3">
      <c r="A875" t="s">
        <v>1024</v>
      </c>
      <c r="B875" t="s">
        <v>844</v>
      </c>
      <c r="C875">
        <v>4.2300000000000004</v>
      </c>
      <c r="D875">
        <v>2.78</v>
      </c>
      <c r="E875">
        <v>2.0699999999999998</v>
      </c>
      <c r="F875">
        <v>0.55000000000000004</v>
      </c>
      <c r="G875">
        <v>61.37486573576799</v>
      </c>
      <c r="H875">
        <v>24.450926561427593</v>
      </c>
      <c r="I875">
        <v>24.309000708717221</v>
      </c>
      <c r="J875">
        <v>31.764751469940485</v>
      </c>
      <c r="K875">
        <v>83.524904214559385</v>
      </c>
      <c r="L875">
        <v>21.359134569318744</v>
      </c>
      <c r="M875">
        <v>63.004893720239139</v>
      </c>
      <c r="N875">
        <v>52.51482521866987</v>
      </c>
      <c r="O875">
        <v>4.4820000000000002</v>
      </c>
      <c r="P875">
        <v>-2.4120000000000004</v>
      </c>
      <c r="Q875">
        <v>874</v>
      </c>
      <c r="R875">
        <v>6</v>
      </c>
      <c r="S875" t="s">
        <v>24</v>
      </c>
      <c r="T875" t="s">
        <v>845</v>
      </c>
      <c r="U875">
        <v>5000</v>
      </c>
      <c r="V875">
        <v>1000</v>
      </c>
    </row>
    <row r="876" spans="1:22" x14ac:dyDescent="0.3">
      <c r="A876" t="s">
        <v>1025</v>
      </c>
      <c r="B876" t="s">
        <v>229</v>
      </c>
      <c r="C876">
        <v>5.25</v>
      </c>
      <c r="D876">
        <v>4.25</v>
      </c>
      <c r="E876">
        <v>4.43</v>
      </c>
      <c r="F876">
        <v>0.91</v>
      </c>
      <c r="G876">
        <v>63.566058002148232</v>
      </c>
      <c r="H876">
        <v>26.973232669869596</v>
      </c>
      <c r="I876">
        <v>32.671863926293412</v>
      </c>
      <c r="J876">
        <v>37.141113364537233</v>
      </c>
      <c r="K876">
        <v>69.731800766283527</v>
      </c>
      <c r="L876">
        <v>19.689085350314976</v>
      </c>
      <c r="M876">
        <v>65.897503818694389</v>
      </c>
      <c r="N876">
        <v>52.477882828513096</v>
      </c>
      <c r="O876">
        <v>5.1221052631578941</v>
      </c>
      <c r="P876">
        <v>-0.69210526315789433</v>
      </c>
      <c r="Q876">
        <v>875</v>
      </c>
      <c r="R876">
        <v>41</v>
      </c>
      <c r="S876" t="s">
        <v>24</v>
      </c>
      <c r="T876" t="s">
        <v>429</v>
      </c>
      <c r="U876">
        <v>5000</v>
      </c>
      <c r="V876">
        <v>1000</v>
      </c>
    </row>
    <row r="877" spans="1:22" x14ac:dyDescent="0.3">
      <c r="A877" t="s">
        <v>1026</v>
      </c>
      <c r="B877" t="s">
        <v>844</v>
      </c>
      <c r="C877">
        <v>4.54</v>
      </c>
      <c r="D877">
        <v>4.13</v>
      </c>
      <c r="E877">
        <v>4.9000000000000004</v>
      </c>
      <c r="F877">
        <v>0.99</v>
      </c>
      <c r="G877">
        <v>62.04081632653061</v>
      </c>
      <c r="H877">
        <v>26.767330130404943</v>
      </c>
      <c r="I877">
        <v>34.337349397590359</v>
      </c>
      <c r="J877">
        <v>37.607037003222786</v>
      </c>
      <c r="K877">
        <v>66.666666666666657</v>
      </c>
      <c r="L877">
        <v>18.569715937590036</v>
      </c>
      <c r="M877">
        <v>67.836308513972526</v>
      </c>
      <c r="N877">
        <v>52.429262296771185</v>
      </c>
      <c r="O877">
        <v>4.4820000000000002</v>
      </c>
      <c r="P877">
        <v>0.41800000000000015</v>
      </c>
      <c r="Q877">
        <v>876</v>
      </c>
      <c r="R877">
        <v>7</v>
      </c>
      <c r="S877" t="s">
        <v>24</v>
      </c>
      <c r="T877" t="s">
        <v>845</v>
      </c>
      <c r="U877">
        <v>5000</v>
      </c>
      <c r="V877">
        <v>1000</v>
      </c>
    </row>
    <row r="878" spans="1:22" x14ac:dyDescent="0.3">
      <c r="A878" t="s">
        <v>1027</v>
      </c>
      <c r="B878" t="s">
        <v>148</v>
      </c>
      <c r="C878">
        <v>-5.61</v>
      </c>
      <c r="D878">
        <v>9.1999999999999993</v>
      </c>
      <c r="E878">
        <v>11.65</v>
      </c>
      <c r="F878">
        <v>1.82</v>
      </c>
      <c r="G878">
        <v>40.236305048335119</v>
      </c>
      <c r="H878">
        <v>35.46671242278655</v>
      </c>
      <c r="I878">
        <v>58.256555634301911</v>
      </c>
      <c r="J878">
        <v>47.815552553653944</v>
      </c>
      <c r="K878">
        <v>34.865900383141771</v>
      </c>
      <c r="L878">
        <v>12.019812800817494</v>
      </c>
      <c r="M878">
        <v>79.181073531517328</v>
      </c>
      <c r="N878">
        <v>52.419519755491748</v>
      </c>
      <c r="O878">
        <v>10.461</v>
      </c>
      <c r="P878">
        <v>1.1890000000000001</v>
      </c>
      <c r="Q878">
        <v>877</v>
      </c>
      <c r="R878">
        <v>28</v>
      </c>
      <c r="S878" t="s">
        <v>24</v>
      </c>
      <c r="T878" t="s">
        <v>78</v>
      </c>
      <c r="U878">
        <v>1000</v>
      </c>
      <c r="V878">
        <v>1000</v>
      </c>
    </row>
    <row r="879" spans="1:22" x14ac:dyDescent="0.3">
      <c r="A879" t="s">
        <v>1028</v>
      </c>
      <c r="B879" t="s">
        <v>138</v>
      </c>
      <c r="C879">
        <v>-5.0599999999999996</v>
      </c>
      <c r="D879">
        <v>10.74</v>
      </c>
      <c r="E879">
        <v>6.33</v>
      </c>
      <c r="F879">
        <v>1.85</v>
      </c>
      <c r="G879">
        <v>41.417830290010741</v>
      </c>
      <c r="H879">
        <v>38.109128345916268</v>
      </c>
      <c r="I879">
        <v>39.404677533664071</v>
      </c>
      <c r="J879">
        <v>39.418643328609065</v>
      </c>
      <c r="K879">
        <v>33.716475095785434</v>
      </c>
      <c r="L879">
        <v>1.6672702376996724</v>
      </c>
      <c r="M879">
        <v>97.112203238356727</v>
      </c>
      <c r="N879">
        <v>52.416491247840071</v>
      </c>
      <c r="O879">
        <v>9.219019607843137</v>
      </c>
      <c r="P879">
        <v>-2.8890196078431369</v>
      </c>
      <c r="Q879">
        <v>878</v>
      </c>
      <c r="R879">
        <v>21</v>
      </c>
      <c r="S879" t="s">
        <v>24</v>
      </c>
      <c r="T879" t="s">
        <v>134</v>
      </c>
      <c r="U879">
        <v>1000</v>
      </c>
      <c r="V879">
        <v>1000</v>
      </c>
    </row>
    <row r="880" spans="1:22" x14ac:dyDescent="0.3">
      <c r="A880" t="s">
        <v>1029</v>
      </c>
      <c r="B880" t="s">
        <v>844</v>
      </c>
      <c r="C880">
        <v>4.84</v>
      </c>
      <c r="D880">
        <v>4.3099999999999996</v>
      </c>
      <c r="E880">
        <v>5.04</v>
      </c>
      <c r="F880">
        <v>1.01</v>
      </c>
      <c r="G880">
        <v>62.685284640171858</v>
      </c>
      <c r="H880">
        <v>27.076183939601929</v>
      </c>
      <c r="I880">
        <v>34.8334514528703</v>
      </c>
      <c r="J880">
        <v>38.076637836350102</v>
      </c>
      <c r="K880">
        <v>65.900383141762447</v>
      </c>
      <c r="L880">
        <v>18.725685852455047</v>
      </c>
      <c r="M880">
        <v>67.566160696974123</v>
      </c>
      <c r="N880">
        <v>52.404954877859197</v>
      </c>
      <c r="O880">
        <v>4.4820000000000002</v>
      </c>
      <c r="P880">
        <v>0.55799999999999983</v>
      </c>
      <c r="Q880">
        <v>879</v>
      </c>
      <c r="R880">
        <v>8</v>
      </c>
      <c r="S880" t="s">
        <v>24</v>
      </c>
      <c r="T880" t="s">
        <v>845</v>
      </c>
      <c r="U880">
        <v>5000</v>
      </c>
      <c r="V880">
        <v>1000</v>
      </c>
    </row>
    <row r="881" spans="1:22" x14ac:dyDescent="0.3">
      <c r="A881" t="s">
        <v>1030</v>
      </c>
      <c r="B881" t="s">
        <v>170</v>
      </c>
      <c r="C881">
        <v>5.35</v>
      </c>
      <c r="D881">
        <v>14.6</v>
      </c>
      <c r="E881">
        <v>12.94</v>
      </c>
      <c r="F881">
        <v>2.39</v>
      </c>
      <c r="G881">
        <v>63.780880773361972</v>
      </c>
      <c r="H881">
        <v>44.732326698695957</v>
      </c>
      <c r="I881">
        <v>62.827781715095668</v>
      </c>
      <c r="J881">
        <v>57.589765021829017</v>
      </c>
      <c r="K881">
        <v>13.026819923371647</v>
      </c>
      <c r="L881">
        <v>10.733136403997426</v>
      </c>
      <c r="M881">
        <v>81.409662423709335</v>
      </c>
      <c r="N881">
        <v>52.40400309768475</v>
      </c>
      <c r="O881">
        <v>6.9120588235294118</v>
      </c>
      <c r="P881">
        <v>6.0279411764705877</v>
      </c>
      <c r="Q881">
        <v>880</v>
      </c>
      <c r="R881">
        <v>12</v>
      </c>
      <c r="S881" t="s">
        <v>24</v>
      </c>
      <c r="T881" t="s">
        <v>985</v>
      </c>
      <c r="U881">
        <v>1000</v>
      </c>
      <c r="V881">
        <v>1000</v>
      </c>
    </row>
    <row r="882" spans="1:22" x14ac:dyDescent="0.3">
      <c r="A882" t="s">
        <v>1031</v>
      </c>
      <c r="B882" t="s">
        <v>921</v>
      </c>
      <c r="C882">
        <v>5.25</v>
      </c>
      <c r="D882">
        <v>3.95</v>
      </c>
      <c r="E882">
        <v>5.91</v>
      </c>
      <c r="F882">
        <v>1.08</v>
      </c>
      <c r="G882">
        <v>63.566058002148232</v>
      </c>
      <c r="H882">
        <v>26.458476321207968</v>
      </c>
      <c r="I882">
        <v>37.916371367824233</v>
      </c>
      <c r="J882">
        <v>39.608940180704153</v>
      </c>
      <c r="K882">
        <v>63.218390804597703</v>
      </c>
      <c r="L882">
        <v>19.000712274131313</v>
      </c>
      <c r="M882">
        <v>67.089800961206976</v>
      </c>
      <c r="N882">
        <v>52.381518031803246</v>
      </c>
      <c r="O882">
        <v>3.5597297297297299</v>
      </c>
      <c r="P882">
        <v>2.3502702702702702</v>
      </c>
      <c r="Q882">
        <v>881</v>
      </c>
      <c r="R882">
        <v>3</v>
      </c>
      <c r="S882" t="s">
        <v>24</v>
      </c>
      <c r="T882" t="s">
        <v>221</v>
      </c>
      <c r="U882">
        <v>5000</v>
      </c>
      <c r="V882">
        <v>1000</v>
      </c>
    </row>
    <row r="883" spans="1:22" x14ac:dyDescent="0.3">
      <c r="A883" t="s">
        <v>1032</v>
      </c>
      <c r="B883" t="s">
        <v>424</v>
      </c>
      <c r="C883">
        <v>4.47</v>
      </c>
      <c r="D883">
        <v>10.51</v>
      </c>
      <c r="E883">
        <v>8.5299999999999994</v>
      </c>
      <c r="F883">
        <v>1.79</v>
      </c>
      <c r="G883">
        <v>61.890440386680993</v>
      </c>
      <c r="H883">
        <v>37.714481811942349</v>
      </c>
      <c r="I883">
        <v>47.200566973777455</v>
      </c>
      <c r="J883">
        <v>47.292716107807635</v>
      </c>
      <c r="K883">
        <v>36.015325670498079</v>
      </c>
      <c r="L883">
        <v>12.180963054374349</v>
      </c>
      <c r="M883">
        <v>78.901953104704248</v>
      </c>
      <c r="N883">
        <v>52.375677747704401</v>
      </c>
      <c r="O883">
        <v>7.9378947368421047</v>
      </c>
      <c r="P883">
        <v>0.59210526315789469</v>
      </c>
      <c r="Q883">
        <v>882</v>
      </c>
      <c r="R883">
        <v>5</v>
      </c>
      <c r="S883" t="s">
        <v>24</v>
      </c>
      <c r="T883" t="s">
        <v>112</v>
      </c>
      <c r="U883">
        <v>1000</v>
      </c>
      <c r="V883">
        <v>1000</v>
      </c>
    </row>
    <row r="884" spans="1:22" x14ac:dyDescent="0.3">
      <c r="A884" t="s">
        <v>1033</v>
      </c>
      <c r="B884" t="s">
        <v>272</v>
      </c>
      <c r="C884">
        <v>2.74</v>
      </c>
      <c r="D884">
        <v>13.41</v>
      </c>
      <c r="E884">
        <v>10.1</v>
      </c>
      <c r="F884">
        <v>2.17</v>
      </c>
      <c r="G884">
        <v>58.174006444683137</v>
      </c>
      <c r="H884">
        <v>42.69045984900481</v>
      </c>
      <c r="I884">
        <v>52.763997165131116</v>
      </c>
      <c r="J884">
        <v>50.823937826203633</v>
      </c>
      <c r="K884">
        <v>21.455938697318011</v>
      </c>
      <c r="L884">
        <v>7.857953186048408</v>
      </c>
      <c r="M884">
        <v>86.389625838266426</v>
      </c>
      <c r="N884">
        <v>52.373360046997924</v>
      </c>
      <c r="O884">
        <v>10.044583333333334</v>
      </c>
      <c r="P884">
        <v>5.5416666666666003E-2</v>
      </c>
      <c r="Q884">
        <v>883</v>
      </c>
      <c r="R884">
        <v>24</v>
      </c>
      <c r="S884" t="s">
        <v>24</v>
      </c>
      <c r="T884" t="s">
        <v>273</v>
      </c>
      <c r="U884">
        <v>5000</v>
      </c>
      <c r="V884">
        <v>1000</v>
      </c>
    </row>
    <row r="885" spans="1:22" x14ac:dyDescent="0.3">
      <c r="A885" t="s">
        <v>1034</v>
      </c>
      <c r="B885" t="s">
        <v>844</v>
      </c>
      <c r="C885">
        <v>4.5999999999999996</v>
      </c>
      <c r="D885">
        <v>3.87</v>
      </c>
      <c r="E885">
        <v>4.6500000000000004</v>
      </c>
      <c r="F885">
        <v>0.95</v>
      </c>
      <c r="G885">
        <v>62.169709989258862</v>
      </c>
      <c r="H885">
        <v>26.321207961564863</v>
      </c>
      <c r="I885">
        <v>33.451452870304749</v>
      </c>
      <c r="J885">
        <v>37.056030821473605</v>
      </c>
      <c r="K885">
        <v>68.199233716475092</v>
      </c>
      <c r="L885">
        <v>18.976712843370908</v>
      </c>
      <c r="M885">
        <v>67.131369194636733</v>
      </c>
      <c r="N885">
        <v>52.360666138514759</v>
      </c>
      <c r="O885">
        <v>4.4820000000000002</v>
      </c>
      <c r="P885">
        <v>0.16800000000000015</v>
      </c>
      <c r="Q885">
        <v>884</v>
      </c>
      <c r="R885">
        <v>9</v>
      </c>
      <c r="S885" t="s">
        <v>24</v>
      </c>
      <c r="T885" t="s">
        <v>845</v>
      </c>
      <c r="U885">
        <v>1000</v>
      </c>
      <c r="V885">
        <v>1000</v>
      </c>
    </row>
    <row r="886" spans="1:22" x14ac:dyDescent="0.3">
      <c r="A886" t="s">
        <v>1035</v>
      </c>
      <c r="B886" t="s">
        <v>272</v>
      </c>
      <c r="C886">
        <v>2.67</v>
      </c>
      <c r="D886">
        <v>13.38</v>
      </c>
      <c r="E886">
        <v>10.08</v>
      </c>
      <c r="F886">
        <v>2.17</v>
      </c>
      <c r="G886">
        <v>58.023630504833513</v>
      </c>
      <c r="H886">
        <v>42.638984214138645</v>
      </c>
      <c r="I886">
        <v>52.693125442948265</v>
      </c>
      <c r="J886">
        <v>50.742984086682426</v>
      </c>
      <c r="K886">
        <v>21.455938697318011</v>
      </c>
      <c r="L886">
        <v>7.8122487325292047</v>
      </c>
      <c r="M886">
        <v>86.46878827389385</v>
      </c>
      <c r="N886">
        <v>52.35267378614418</v>
      </c>
      <c r="O886">
        <v>10.044583333333334</v>
      </c>
      <c r="P886">
        <v>3.541666666666643E-2</v>
      </c>
      <c r="Q886">
        <v>885</v>
      </c>
      <c r="R886">
        <v>25</v>
      </c>
      <c r="S886" t="s">
        <v>24</v>
      </c>
      <c r="T886" t="s">
        <v>273</v>
      </c>
      <c r="U886">
        <v>5000</v>
      </c>
      <c r="V886">
        <v>1000</v>
      </c>
    </row>
    <row r="887" spans="1:22" x14ac:dyDescent="0.3">
      <c r="A887" t="s">
        <v>1036</v>
      </c>
      <c r="B887" t="s">
        <v>229</v>
      </c>
      <c r="C887">
        <v>5.25</v>
      </c>
      <c r="D887">
        <v>4.3</v>
      </c>
      <c r="E887">
        <v>4.4400000000000004</v>
      </c>
      <c r="F887">
        <v>0.93</v>
      </c>
      <c r="G887">
        <v>63.566058002148232</v>
      </c>
      <c r="H887">
        <v>27.05902539464654</v>
      </c>
      <c r="I887">
        <v>32.707299787384834</v>
      </c>
      <c r="J887">
        <v>37.18456911251603</v>
      </c>
      <c r="K887">
        <v>68.965517241379317</v>
      </c>
      <c r="L887">
        <v>19.650824376168387</v>
      </c>
      <c r="M887">
        <v>65.963773769863366</v>
      </c>
      <c r="N887">
        <v>52.324607309068689</v>
      </c>
      <c r="O887">
        <v>5.1221052631578941</v>
      </c>
      <c r="P887">
        <v>-0.68210526315789366</v>
      </c>
      <c r="Q887">
        <v>886</v>
      </c>
      <c r="R887">
        <v>42</v>
      </c>
      <c r="S887" t="s">
        <v>24</v>
      </c>
      <c r="T887" t="s">
        <v>429</v>
      </c>
      <c r="U887">
        <v>5000</v>
      </c>
      <c r="V887">
        <v>1000</v>
      </c>
    </row>
    <row r="888" spans="1:22" x14ac:dyDescent="0.3">
      <c r="A888" t="s">
        <v>1037</v>
      </c>
      <c r="B888" t="s">
        <v>1038</v>
      </c>
      <c r="C888">
        <v>7.08</v>
      </c>
      <c r="D888">
        <v>18.440000000000001</v>
      </c>
      <c r="E888">
        <v>10.42</v>
      </c>
      <c r="F888">
        <v>2.4</v>
      </c>
      <c r="G888">
        <v>67.497314715359821</v>
      </c>
      <c r="H888">
        <v>51.321207961564873</v>
      </c>
      <c r="I888">
        <v>53.897944720056692</v>
      </c>
      <c r="J888">
        <v>55.844797691569767</v>
      </c>
      <c r="K888">
        <v>12.643678160919535</v>
      </c>
      <c r="L888">
        <v>8.6914600451811754</v>
      </c>
      <c r="M888">
        <v>84.945949609791313</v>
      </c>
      <c r="N888">
        <v>52.319805788462595</v>
      </c>
      <c r="O888">
        <v>10.33</v>
      </c>
      <c r="P888">
        <v>8.9999999999999858E-2</v>
      </c>
      <c r="Q888">
        <v>887</v>
      </c>
      <c r="R888">
        <v>1</v>
      </c>
      <c r="S888" t="s">
        <v>24</v>
      </c>
      <c r="T888" t="s">
        <v>107</v>
      </c>
      <c r="U888">
        <v>5000</v>
      </c>
      <c r="V888">
        <v>1000</v>
      </c>
    </row>
    <row r="889" spans="1:22" x14ac:dyDescent="0.3">
      <c r="A889" t="s">
        <v>1039</v>
      </c>
      <c r="B889" t="s">
        <v>192</v>
      </c>
      <c r="C889">
        <v>4.67</v>
      </c>
      <c r="D889">
        <v>3.06</v>
      </c>
      <c r="E889">
        <v>1.86</v>
      </c>
      <c r="F889">
        <v>0.54</v>
      </c>
      <c r="G889">
        <v>62.32008592910848</v>
      </c>
      <c r="H889">
        <v>24.931365820178453</v>
      </c>
      <c r="I889">
        <v>23.564847625797306</v>
      </c>
      <c r="J889">
        <v>31.725850744773883</v>
      </c>
      <c r="K889">
        <v>83.908045977011497</v>
      </c>
      <c r="L889">
        <v>21.991484182541814</v>
      </c>
      <c r="M889">
        <v>61.909632061990258</v>
      </c>
      <c r="N889">
        <v>52.317344882137384</v>
      </c>
      <c r="O889">
        <v>4.4280373831775703</v>
      </c>
      <c r="P889">
        <v>-2.56803738317757</v>
      </c>
      <c r="Q889">
        <v>888</v>
      </c>
      <c r="R889">
        <v>105</v>
      </c>
      <c r="S889" t="s">
        <v>24</v>
      </c>
      <c r="T889" t="s">
        <v>45</v>
      </c>
      <c r="U889">
        <v>5000</v>
      </c>
      <c r="V889">
        <v>1000</v>
      </c>
    </row>
    <row r="890" spans="1:22" x14ac:dyDescent="0.3">
      <c r="A890" t="s">
        <v>1040</v>
      </c>
      <c r="B890" t="s">
        <v>202</v>
      </c>
      <c r="C890">
        <v>12.58</v>
      </c>
      <c r="D890">
        <v>17.100000000000001</v>
      </c>
      <c r="E890">
        <v>8.73</v>
      </c>
      <c r="F890">
        <v>1.92</v>
      </c>
      <c r="G890">
        <v>79.312567132116001</v>
      </c>
      <c r="H890">
        <v>49.021962937542902</v>
      </c>
      <c r="I890">
        <v>47.909284195605949</v>
      </c>
      <c r="J890">
        <v>54.523744405489047</v>
      </c>
      <c r="K890">
        <v>31.034482758620683</v>
      </c>
      <c r="L890">
        <v>17.818178618317265</v>
      </c>
      <c r="M890">
        <v>69.138009334737077</v>
      </c>
      <c r="N890">
        <v>52.30499522608396</v>
      </c>
      <c r="O890">
        <v>10.023387096774194</v>
      </c>
      <c r="P890">
        <v>-1.2933870967741932</v>
      </c>
      <c r="Q890">
        <v>889</v>
      </c>
      <c r="R890">
        <v>31</v>
      </c>
      <c r="S890" t="s">
        <v>24</v>
      </c>
      <c r="T890" t="s">
        <v>78</v>
      </c>
      <c r="U890">
        <v>1000</v>
      </c>
      <c r="V890">
        <v>1000</v>
      </c>
    </row>
    <row r="891" spans="1:22" x14ac:dyDescent="0.3">
      <c r="A891" t="s">
        <v>1041</v>
      </c>
      <c r="B891" t="s">
        <v>126</v>
      </c>
      <c r="C891">
        <v>4.0999999999999996</v>
      </c>
      <c r="D891">
        <v>13.43</v>
      </c>
      <c r="E891">
        <v>7.32</v>
      </c>
      <c r="F891">
        <v>1.83</v>
      </c>
      <c r="G891">
        <v>61.095596133190114</v>
      </c>
      <c r="H891">
        <v>42.724776938915589</v>
      </c>
      <c r="I891">
        <v>42.912827781715094</v>
      </c>
      <c r="J891">
        <v>46.492966199170247</v>
      </c>
      <c r="K891">
        <v>34.482758620689658</v>
      </c>
      <c r="L891">
        <v>10.552530706830506</v>
      </c>
      <c r="M891">
        <v>81.722480667338843</v>
      </c>
      <c r="N891">
        <v>52.297792921592247</v>
      </c>
      <c r="O891">
        <v>11.362272727272726</v>
      </c>
      <c r="P891">
        <v>-4.0422727272727261</v>
      </c>
      <c r="Q891">
        <v>890</v>
      </c>
      <c r="R891">
        <v>36</v>
      </c>
      <c r="S891" t="s">
        <v>24</v>
      </c>
      <c r="T891" t="s">
        <v>127</v>
      </c>
      <c r="U891">
        <v>5000</v>
      </c>
      <c r="V891">
        <v>1000</v>
      </c>
    </row>
    <row r="892" spans="1:22" x14ac:dyDescent="0.3">
      <c r="A892" t="s">
        <v>1042</v>
      </c>
      <c r="B892" t="s">
        <v>229</v>
      </c>
      <c r="C892">
        <v>5.26</v>
      </c>
      <c r="D892">
        <v>4.3</v>
      </c>
      <c r="E892">
        <v>4.41</v>
      </c>
      <c r="F892">
        <v>0.93</v>
      </c>
      <c r="G892">
        <v>63.587540279269597</v>
      </c>
      <c r="H892">
        <v>27.05902539464654</v>
      </c>
      <c r="I892">
        <v>32.600992204110554</v>
      </c>
      <c r="J892">
        <v>37.135711776303154</v>
      </c>
      <c r="K892">
        <v>68.965517241379317</v>
      </c>
      <c r="L892">
        <v>19.685916951835864</v>
      </c>
      <c r="M892">
        <v>65.902991645838839</v>
      </c>
      <c r="N892">
        <v>52.284983109956116</v>
      </c>
      <c r="O892">
        <v>5.1221052631578941</v>
      </c>
      <c r="P892">
        <v>-0.71210526315789391</v>
      </c>
      <c r="Q892">
        <v>891</v>
      </c>
      <c r="R892">
        <v>43</v>
      </c>
      <c r="S892" t="s">
        <v>24</v>
      </c>
      <c r="T892" t="s">
        <v>429</v>
      </c>
      <c r="U892">
        <v>5000</v>
      </c>
      <c r="V892">
        <v>1000</v>
      </c>
    </row>
    <row r="893" spans="1:22" x14ac:dyDescent="0.3">
      <c r="A893" t="s">
        <v>1043</v>
      </c>
      <c r="B893" t="s">
        <v>410</v>
      </c>
      <c r="C893">
        <v>5.35</v>
      </c>
      <c r="D893">
        <v>4.42</v>
      </c>
      <c r="E893">
        <v>4.07</v>
      </c>
      <c r="F893">
        <v>0.89</v>
      </c>
      <c r="G893">
        <v>63.780880773361972</v>
      </c>
      <c r="H893">
        <v>27.264927934111192</v>
      </c>
      <c r="I893">
        <v>31.396172927002127</v>
      </c>
      <c r="J893">
        <v>36.633740998406815</v>
      </c>
      <c r="K893">
        <v>70.498084291187737</v>
      </c>
      <c r="L893">
        <v>19.996880170182191</v>
      </c>
      <c r="M893">
        <v>65.364387552377877</v>
      </c>
      <c r="N893">
        <v>52.282488460094811</v>
      </c>
      <c r="O893">
        <v>4.4264935064935065</v>
      </c>
      <c r="P893">
        <v>-0.3564935064935062</v>
      </c>
      <c r="Q893">
        <v>892</v>
      </c>
      <c r="R893">
        <v>50</v>
      </c>
      <c r="S893" t="s">
        <v>24</v>
      </c>
      <c r="T893" t="s">
        <v>499</v>
      </c>
      <c r="U893">
        <v>1000</v>
      </c>
      <c r="V893">
        <v>1000</v>
      </c>
    </row>
    <row r="894" spans="1:22" x14ac:dyDescent="0.3">
      <c r="A894" t="s">
        <v>1044</v>
      </c>
      <c r="B894" t="s">
        <v>358</v>
      </c>
      <c r="C894">
        <v>4.09</v>
      </c>
      <c r="D894">
        <v>3.28</v>
      </c>
      <c r="E894">
        <v>5.0599999999999996</v>
      </c>
      <c r="F894">
        <v>0.99</v>
      </c>
      <c r="G894">
        <v>61.074113856068735</v>
      </c>
      <c r="H894">
        <v>25.308853809196986</v>
      </c>
      <c r="I894">
        <v>34.90432317505315</v>
      </c>
      <c r="J894">
        <v>37.259640501499419</v>
      </c>
      <c r="K894">
        <v>66.666666666666657</v>
      </c>
      <c r="L894">
        <v>18.51163959449844</v>
      </c>
      <c r="M894">
        <v>67.936899690924974</v>
      </c>
      <c r="N894">
        <v>52.280711840147617</v>
      </c>
      <c r="O894">
        <v>5.0554237288135591</v>
      </c>
      <c r="P894">
        <v>4.5762711864405503E-3</v>
      </c>
      <c r="Q894">
        <v>893</v>
      </c>
      <c r="R894">
        <v>54</v>
      </c>
      <c r="S894" t="s">
        <v>24</v>
      </c>
      <c r="T894" t="s">
        <v>457</v>
      </c>
      <c r="U894">
        <v>5000</v>
      </c>
      <c r="V894">
        <v>1000</v>
      </c>
    </row>
    <row r="895" spans="1:22" x14ac:dyDescent="0.3">
      <c r="A895" t="s">
        <v>1045</v>
      </c>
      <c r="B895" t="s">
        <v>192</v>
      </c>
      <c r="C895">
        <v>4.12</v>
      </c>
      <c r="D895">
        <v>2.42</v>
      </c>
      <c r="E895">
        <v>1.92</v>
      </c>
      <c r="F895">
        <v>0.54</v>
      </c>
      <c r="G895">
        <v>61.138560687432864</v>
      </c>
      <c r="H895">
        <v>23.833218943033636</v>
      </c>
      <c r="I895">
        <v>23.777462792345851</v>
      </c>
      <c r="J895">
        <v>31.266409216569588</v>
      </c>
      <c r="K895">
        <v>83.908045977011497</v>
      </c>
      <c r="L895">
        <v>21.554362541184982</v>
      </c>
      <c r="M895">
        <v>62.66674895390819</v>
      </c>
      <c r="N895">
        <v>52.276903341014716</v>
      </c>
      <c r="O895">
        <v>4.4280373831775703</v>
      </c>
      <c r="P895">
        <v>-2.5080373831775704</v>
      </c>
      <c r="Q895">
        <v>894</v>
      </c>
      <c r="R895">
        <v>106</v>
      </c>
      <c r="S895" t="s">
        <v>24</v>
      </c>
      <c r="T895" t="s">
        <v>45</v>
      </c>
      <c r="U895">
        <v>5000</v>
      </c>
      <c r="V895">
        <v>1000</v>
      </c>
    </row>
    <row r="896" spans="1:22" x14ac:dyDescent="0.3">
      <c r="A896" t="s">
        <v>1046</v>
      </c>
      <c r="B896" t="s">
        <v>229</v>
      </c>
      <c r="C896">
        <v>5.25</v>
      </c>
      <c r="D896">
        <v>4.3</v>
      </c>
      <c r="E896">
        <v>4.3899999999999997</v>
      </c>
      <c r="F896">
        <v>0.93</v>
      </c>
      <c r="G896">
        <v>63.566058002148232</v>
      </c>
      <c r="H896">
        <v>27.05902539464654</v>
      </c>
      <c r="I896">
        <v>32.530120481927703</v>
      </c>
      <c r="J896">
        <v>37.095979459787458</v>
      </c>
      <c r="K896">
        <v>68.965517241379317</v>
      </c>
      <c r="L896">
        <v>19.688938218444285</v>
      </c>
      <c r="M896">
        <v>65.897758658569842</v>
      </c>
      <c r="N896">
        <v>52.263808704881015</v>
      </c>
      <c r="O896">
        <v>5.1221052631578941</v>
      </c>
      <c r="P896">
        <v>-0.73210526315789437</v>
      </c>
      <c r="Q896">
        <v>895</v>
      </c>
      <c r="R896">
        <v>44</v>
      </c>
      <c r="S896" t="s">
        <v>24</v>
      </c>
      <c r="T896" t="s">
        <v>429</v>
      </c>
      <c r="U896">
        <v>5000</v>
      </c>
      <c r="V896">
        <v>1000</v>
      </c>
    </row>
    <row r="897" spans="1:22" x14ac:dyDescent="0.3">
      <c r="A897" t="s">
        <v>1047</v>
      </c>
      <c r="B897" t="s">
        <v>229</v>
      </c>
      <c r="C897">
        <v>5.25</v>
      </c>
      <c r="D897">
        <v>4.3</v>
      </c>
      <c r="E897">
        <v>4.38</v>
      </c>
      <c r="F897">
        <v>0.93</v>
      </c>
      <c r="G897">
        <v>63.566058002148232</v>
      </c>
      <c r="H897">
        <v>27.05902539464654</v>
      </c>
      <c r="I897">
        <v>32.494684620836281</v>
      </c>
      <c r="J897">
        <v>37.07826152924175</v>
      </c>
      <c r="K897">
        <v>68.965517241379317</v>
      </c>
      <c r="L897">
        <v>19.696615888816005</v>
      </c>
      <c r="M897">
        <v>65.884460543402255</v>
      </c>
      <c r="N897">
        <v>52.251625210816272</v>
      </c>
      <c r="O897">
        <v>5.1221052631578941</v>
      </c>
      <c r="P897">
        <v>-0.74210526315789416</v>
      </c>
      <c r="Q897">
        <v>896</v>
      </c>
      <c r="R897">
        <v>45</v>
      </c>
      <c r="S897" t="s">
        <v>24</v>
      </c>
      <c r="T897" t="s">
        <v>429</v>
      </c>
      <c r="U897">
        <v>5000</v>
      </c>
      <c r="V897">
        <v>1000</v>
      </c>
    </row>
    <row r="898" spans="1:22" x14ac:dyDescent="0.3">
      <c r="A898" t="s">
        <v>1048</v>
      </c>
      <c r="B898" t="s">
        <v>551</v>
      </c>
      <c r="C898">
        <v>5.45</v>
      </c>
      <c r="D898">
        <v>1.71</v>
      </c>
      <c r="E898">
        <v>2.31</v>
      </c>
      <c r="F898">
        <v>0.52</v>
      </c>
      <c r="G898">
        <v>63.995703544575719</v>
      </c>
      <c r="H898">
        <v>22.614962251201103</v>
      </c>
      <c r="I898">
        <v>25.159461374911409</v>
      </c>
      <c r="J898">
        <v>32.163360071731177</v>
      </c>
      <c r="K898">
        <v>84.674329501915707</v>
      </c>
      <c r="L898">
        <v>23.191571499291769</v>
      </c>
      <c r="M898">
        <v>59.831019855860333</v>
      </c>
      <c r="N898">
        <v>52.208017375309595</v>
      </c>
      <c r="O898">
        <v>3.9855555555555551</v>
      </c>
      <c r="P898">
        <v>-1.675555555555555</v>
      </c>
      <c r="Q898">
        <v>897</v>
      </c>
      <c r="R898">
        <v>9</v>
      </c>
      <c r="S898" t="s">
        <v>24</v>
      </c>
      <c r="T898" t="s">
        <v>45</v>
      </c>
      <c r="U898">
        <v>1000</v>
      </c>
      <c r="V898">
        <v>1000</v>
      </c>
    </row>
    <row r="899" spans="1:22" x14ac:dyDescent="0.3">
      <c r="A899" t="s">
        <v>1049</v>
      </c>
      <c r="B899" t="s">
        <v>410</v>
      </c>
      <c r="C899">
        <v>5.35</v>
      </c>
      <c r="D899">
        <v>4.43</v>
      </c>
      <c r="E899">
        <v>3.99</v>
      </c>
      <c r="F899">
        <v>0.89</v>
      </c>
      <c r="G899">
        <v>63.780880773361972</v>
      </c>
      <c r="H899">
        <v>27.282086479066582</v>
      </c>
      <c r="I899">
        <v>31.112686038270731</v>
      </c>
      <c r="J899">
        <v>36.497145117527737</v>
      </c>
      <c r="K899">
        <v>70.498084291187737</v>
      </c>
      <c r="L899">
        <v>20.058441386650276</v>
      </c>
      <c r="M899">
        <v>65.257760397679391</v>
      </c>
      <c r="N899">
        <v>52.187533730980654</v>
      </c>
      <c r="O899">
        <v>4.4264935064935065</v>
      </c>
      <c r="P899">
        <v>-0.43649350649350627</v>
      </c>
      <c r="Q899">
        <v>898</v>
      </c>
      <c r="R899">
        <v>51</v>
      </c>
      <c r="S899" t="s">
        <v>24</v>
      </c>
      <c r="T899" t="s">
        <v>499</v>
      </c>
      <c r="U899">
        <v>1000</v>
      </c>
      <c r="V899">
        <v>1000</v>
      </c>
    </row>
    <row r="900" spans="1:22" x14ac:dyDescent="0.3">
      <c r="A900" t="s">
        <v>1050</v>
      </c>
      <c r="B900" t="s">
        <v>410</v>
      </c>
      <c r="C900">
        <v>5.35</v>
      </c>
      <c r="D900">
        <v>4.42</v>
      </c>
      <c r="E900">
        <v>3.99</v>
      </c>
      <c r="F900">
        <v>0.89</v>
      </c>
      <c r="G900">
        <v>63.780880773361972</v>
      </c>
      <c r="H900">
        <v>27.264927934111192</v>
      </c>
      <c r="I900">
        <v>31.112686038270731</v>
      </c>
      <c r="J900">
        <v>36.49199755404112</v>
      </c>
      <c r="K900">
        <v>70.498084291187737</v>
      </c>
      <c r="L900">
        <v>20.064192821360294</v>
      </c>
      <c r="M900">
        <v>65.24779862054524</v>
      </c>
      <c r="N900">
        <v>52.182469504953808</v>
      </c>
      <c r="O900">
        <v>4.4264935064935065</v>
      </c>
      <c r="P900">
        <v>-0.43649350649350627</v>
      </c>
      <c r="Q900">
        <v>899</v>
      </c>
      <c r="R900">
        <v>52</v>
      </c>
      <c r="S900" t="s">
        <v>24</v>
      </c>
      <c r="T900" t="s">
        <v>499</v>
      </c>
      <c r="U900">
        <v>1000</v>
      </c>
      <c r="V900">
        <v>1000</v>
      </c>
    </row>
    <row r="901" spans="1:22" x14ac:dyDescent="0.3">
      <c r="A901" t="s">
        <v>1051</v>
      </c>
      <c r="B901" t="s">
        <v>77</v>
      </c>
      <c r="C901">
        <v>3.13</v>
      </c>
      <c r="D901">
        <v>15.73</v>
      </c>
      <c r="E901">
        <v>7.85</v>
      </c>
      <c r="F901">
        <v>2.06</v>
      </c>
      <c r="G901">
        <v>59.011815252416753</v>
      </c>
      <c r="H901">
        <v>46.671242278654773</v>
      </c>
      <c r="I901">
        <v>44.790928419560586</v>
      </c>
      <c r="J901">
        <v>48.199199943860073</v>
      </c>
      <c r="K901">
        <v>25.670498084291182</v>
      </c>
      <c r="L901">
        <v>7.725056028301112</v>
      </c>
      <c r="M901">
        <v>86.619810467666241</v>
      </c>
      <c r="N901">
        <v>52.172177109919389</v>
      </c>
      <c r="O901">
        <v>9.0435999999999996</v>
      </c>
      <c r="P901">
        <v>-1.1936</v>
      </c>
      <c r="Q901">
        <v>900</v>
      </c>
      <c r="R901">
        <v>17</v>
      </c>
      <c r="S901" t="s">
        <v>24</v>
      </c>
      <c r="T901" t="s">
        <v>78</v>
      </c>
      <c r="U901">
        <v>1000</v>
      </c>
      <c r="V901">
        <v>1000</v>
      </c>
    </row>
    <row r="902" spans="1:22" x14ac:dyDescent="0.3">
      <c r="A902" t="s">
        <v>1052</v>
      </c>
      <c r="B902" t="s">
        <v>410</v>
      </c>
      <c r="C902">
        <v>4.95</v>
      </c>
      <c r="D902">
        <v>4.0199999999999996</v>
      </c>
      <c r="E902">
        <v>9.2100000000000009</v>
      </c>
      <c r="F902">
        <v>1.43</v>
      </c>
      <c r="G902">
        <v>62.921589688506984</v>
      </c>
      <c r="H902">
        <v>26.578586135895677</v>
      </c>
      <c r="I902">
        <v>49.610205527994324</v>
      </c>
      <c r="J902">
        <v>45.362996542467265</v>
      </c>
      <c r="K902">
        <v>49.808429118773944</v>
      </c>
      <c r="L902">
        <v>18.386871889640716</v>
      </c>
      <c r="M902">
        <v>68.153003694882301</v>
      </c>
      <c r="N902">
        <v>52.17185647464769</v>
      </c>
      <c r="O902">
        <v>4.4264935064935065</v>
      </c>
      <c r="P902">
        <v>4.7835064935064944</v>
      </c>
      <c r="Q902">
        <v>901</v>
      </c>
      <c r="R902">
        <v>53</v>
      </c>
      <c r="S902" t="s">
        <v>24</v>
      </c>
      <c r="T902" t="s">
        <v>499</v>
      </c>
      <c r="U902">
        <v>1000</v>
      </c>
      <c r="V902">
        <v>1000</v>
      </c>
    </row>
    <row r="903" spans="1:22" x14ac:dyDescent="0.3">
      <c r="A903" t="s">
        <v>1053</v>
      </c>
      <c r="B903" t="s">
        <v>358</v>
      </c>
      <c r="C903">
        <v>4.09</v>
      </c>
      <c r="D903">
        <v>3.28</v>
      </c>
      <c r="E903">
        <v>4.96</v>
      </c>
      <c r="F903">
        <v>0.99</v>
      </c>
      <c r="G903">
        <v>61.074113856068735</v>
      </c>
      <c r="H903">
        <v>25.308853809196986</v>
      </c>
      <c r="I903">
        <v>34.549964564138904</v>
      </c>
      <c r="J903">
        <v>37.082461196042296</v>
      </c>
      <c r="K903">
        <v>66.666666666666657</v>
      </c>
      <c r="L903">
        <v>18.565570508632575</v>
      </c>
      <c r="M903">
        <v>67.843488607546021</v>
      </c>
      <c r="N903">
        <v>52.168769416574321</v>
      </c>
      <c r="O903">
        <v>5.0554237288135591</v>
      </c>
      <c r="P903">
        <v>-9.5423728813559094E-2</v>
      </c>
      <c r="Q903">
        <v>902</v>
      </c>
      <c r="R903">
        <v>55</v>
      </c>
      <c r="S903" t="s">
        <v>24</v>
      </c>
      <c r="T903" t="s">
        <v>457</v>
      </c>
      <c r="U903">
        <v>5000</v>
      </c>
      <c r="V903">
        <v>1000</v>
      </c>
    </row>
    <row r="904" spans="1:22" x14ac:dyDescent="0.3">
      <c r="A904" t="s">
        <v>1054</v>
      </c>
      <c r="B904" t="s">
        <v>844</v>
      </c>
      <c r="C904">
        <v>4.3099999999999996</v>
      </c>
      <c r="D904">
        <v>4.13</v>
      </c>
      <c r="E904">
        <v>4.8600000000000003</v>
      </c>
      <c r="F904">
        <v>1.02</v>
      </c>
      <c r="G904">
        <v>61.546723952738994</v>
      </c>
      <c r="H904">
        <v>26.767330130404943</v>
      </c>
      <c r="I904">
        <v>34.195605953224664</v>
      </c>
      <c r="J904">
        <v>37.43734680628161</v>
      </c>
      <c r="K904">
        <v>65.517241379310349</v>
      </c>
      <c r="L904">
        <v>18.316063861049461</v>
      </c>
      <c r="M904">
        <v>68.275646797986155</v>
      </c>
      <c r="N904">
        <v>52.166895447464931</v>
      </c>
      <c r="O904">
        <v>4.4820000000000002</v>
      </c>
      <c r="P904">
        <v>0.37800000000000011</v>
      </c>
      <c r="Q904">
        <v>903</v>
      </c>
      <c r="R904">
        <v>10</v>
      </c>
      <c r="S904" t="s">
        <v>24</v>
      </c>
      <c r="T904" t="s">
        <v>845</v>
      </c>
      <c r="U904">
        <v>5000</v>
      </c>
      <c r="V904">
        <v>1000</v>
      </c>
    </row>
    <row r="905" spans="1:22" x14ac:dyDescent="0.3">
      <c r="A905" t="s">
        <v>1055</v>
      </c>
      <c r="B905" t="s">
        <v>272</v>
      </c>
      <c r="C905">
        <v>4.18</v>
      </c>
      <c r="D905">
        <v>12.57</v>
      </c>
      <c r="E905">
        <v>10.7</v>
      </c>
      <c r="F905">
        <v>2.15</v>
      </c>
      <c r="G905">
        <v>61.26745435016111</v>
      </c>
      <c r="H905">
        <v>41.249142072752235</v>
      </c>
      <c r="I905">
        <v>54.890148830616582</v>
      </c>
      <c r="J905">
        <v>52.073307907166182</v>
      </c>
      <c r="K905">
        <v>22.222222222222232</v>
      </c>
      <c r="L905">
        <v>10.226435657105988</v>
      </c>
      <c r="M905">
        <v>82.28729386155841</v>
      </c>
      <c r="N905">
        <v>52.164032974528254</v>
      </c>
      <c r="O905">
        <v>10.044583333333334</v>
      </c>
      <c r="P905">
        <v>0.65541666666666565</v>
      </c>
      <c r="Q905">
        <v>904</v>
      </c>
      <c r="R905">
        <v>26</v>
      </c>
      <c r="S905" t="s">
        <v>24</v>
      </c>
      <c r="T905" t="s">
        <v>273</v>
      </c>
      <c r="U905">
        <v>5000</v>
      </c>
      <c r="V905">
        <v>1000</v>
      </c>
    </row>
    <row r="906" spans="1:22" x14ac:dyDescent="0.3">
      <c r="A906" t="s">
        <v>1056</v>
      </c>
      <c r="B906" t="s">
        <v>844</v>
      </c>
      <c r="C906">
        <v>4.54</v>
      </c>
      <c r="D906">
        <v>3.87</v>
      </c>
      <c r="E906">
        <v>4.7699999999999996</v>
      </c>
      <c r="F906">
        <v>0.99</v>
      </c>
      <c r="G906">
        <v>62.04081632653061</v>
      </c>
      <c r="H906">
        <v>26.321207961564863</v>
      </c>
      <c r="I906">
        <v>33.876683203401839</v>
      </c>
      <c r="J906">
        <v>37.242867255476497</v>
      </c>
      <c r="K906">
        <v>66.666666666666657</v>
      </c>
      <c r="L906">
        <v>18.824602795516746</v>
      </c>
      <c r="M906">
        <v>67.394831525861875</v>
      </c>
      <c r="N906">
        <v>52.136808175870385</v>
      </c>
      <c r="O906">
        <v>4.4820000000000002</v>
      </c>
      <c r="P906">
        <v>0.28799999999999937</v>
      </c>
      <c r="Q906">
        <v>905</v>
      </c>
      <c r="R906">
        <v>11</v>
      </c>
      <c r="S906" t="s">
        <v>24</v>
      </c>
      <c r="T906" t="s">
        <v>845</v>
      </c>
      <c r="U906">
        <v>1000</v>
      </c>
      <c r="V906">
        <v>1000</v>
      </c>
    </row>
    <row r="907" spans="1:22" x14ac:dyDescent="0.3">
      <c r="A907" t="s">
        <v>1057</v>
      </c>
      <c r="B907" t="s">
        <v>921</v>
      </c>
      <c r="C907">
        <v>5.25</v>
      </c>
      <c r="D907">
        <v>3.95</v>
      </c>
      <c r="E907">
        <v>5.68</v>
      </c>
      <c r="F907">
        <v>1.08</v>
      </c>
      <c r="G907">
        <v>63.566058002148232</v>
      </c>
      <c r="H907">
        <v>26.458476321207968</v>
      </c>
      <c r="I907">
        <v>37.101346562721474</v>
      </c>
      <c r="J907">
        <v>39.201427778152777</v>
      </c>
      <c r="K907">
        <v>63.218390804597703</v>
      </c>
      <c r="L907">
        <v>19.107695904868073</v>
      </c>
      <c r="M907">
        <v>66.904499877192734</v>
      </c>
      <c r="N907">
        <v>52.131436559523998</v>
      </c>
      <c r="O907">
        <v>3.5597297297297299</v>
      </c>
      <c r="P907">
        <v>2.1202702702702698</v>
      </c>
      <c r="Q907">
        <v>906</v>
      </c>
      <c r="R907">
        <v>4</v>
      </c>
      <c r="S907" t="s">
        <v>24</v>
      </c>
      <c r="T907" t="s">
        <v>221</v>
      </c>
      <c r="U907">
        <v>5000</v>
      </c>
      <c r="V907">
        <v>1000</v>
      </c>
    </row>
    <row r="908" spans="1:22" x14ac:dyDescent="0.3">
      <c r="A908" t="s">
        <v>1058</v>
      </c>
      <c r="B908" t="s">
        <v>195</v>
      </c>
      <c r="C908">
        <v>-2.2599999999999998</v>
      </c>
      <c r="D908">
        <v>11.76</v>
      </c>
      <c r="E908">
        <v>9.5399999999999991</v>
      </c>
      <c r="F908">
        <v>2.09</v>
      </c>
      <c r="G908">
        <v>47.432867883995698</v>
      </c>
      <c r="H908">
        <v>39.859299931365818</v>
      </c>
      <c r="I908">
        <v>50.779588944011337</v>
      </c>
      <c r="J908">
        <v>46.834158028214553</v>
      </c>
      <c r="K908">
        <v>24.521072796934874</v>
      </c>
      <c r="L908">
        <v>5.5948217949928338</v>
      </c>
      <c r="M908">
        <v>90.30948439177871</v>
      </c>
      <c r="N908">
        <v>52.124718311285676</v>
      </c>
      <c r="O908">
        <v>10.412619047619048</v>
      </c>
      <c r="P908">
        <v>-0.87261904761904852</v>
      </c>
      <c r="Q908">
        <v>907</v>
      </c>
      <c r="R908">
        <v>29</v>
      </c>
      <c r="S908" t="s">
        <v>24</v>
      </c>
      <c r="T908" t="s">
        <v>196</v>
      </c>
      <c r="U908">
        <v>5000</v>
      </c>
      <c r="V908">
        <v>1000</v>
      </c>
    </row>
    <row r="909" spans="1:22" x14ac:dyDescent="0.3">
      <c r="A909" t="s">
        <v>1059</v>
      </c>
      <c r="B909" t="s">
        <v>123</v>
      </c>
      <c r="C909">
        <v>3.85</v>
      </c>
      <c r="D909">
        <v>9.7200000000000006</v>
      </c>
      <c r="E909">
        <v>8.49</v>
      </c>
      <c r="F909">
        <v>1.78</v>
      </c>
      <c r="G909">
        <v>60.558539205155746</v>
      </c>
      <c r="H909">
        <v>36.358956760466718</v>
      </c>
      <c r="I909">
        <v>47.058823529411761</v>
      </c>
      <c r="J909">
        <v>46.548806633877049</v>
      </c>
      <c r="K909">
        <v>36.398467432950184</v>
      </c>
      <c r="L909">
        <v>12.126755973853873</v>
      </c>
      <c r="M909">
        <v>78.995842522295689</v>
      </c>
      <c r="N909">
        <v>52.122980805749989</v>
      </c>
      <c r="O909">
        <v>10.563571428571427</v>
      </c>
      <c r="P909">
        <v>-2.0735714285714266</v>
      </c>
      <c r="Q909">
        <v>908</v>
      </c>
      <c r="R909">
        <v>5</v>
      </c>
      <c r="S909" t="s">
        <v>24</v>
      </c>
      <c r="T909" t="s">
        <v>45</v>
      </c>
      <c r="U909">
        <v>5000</v>
      </c>
      <c r="V909">
        <v>1000</v>
      </c>
    </row>
    <row r="910" spans="1:22" x14ac:dyDescent="0.3">
      <c r="A910" t="s">
        <v>1060</v>
      </c>
      <c r="B910" t="s">
        <v>1038</v>
      </c>
      <c r="C910">
        <v>7.11</v>
      </c>
      <c r="D910">
        <v>18.5</v>
      </c>
      <c r="E910">
        <v>10.24</v>
      </c>
      <c r="F910">
        <v>2.4</v>
      </c>
      <c r="G910">
        <v>67.561761546723957</v>
      </c>
      <c r="H910">
        <v>51.424159231297196</v>
      </c>
      <c r="I910">
        <v>53.260099220411064</v>
      </c>
      <c r="J910">
        <v>55.569649688939478</v>
      </c>
      <c r="K910">
        <v>12.643678160919535</v>
      </c>
      <c r="L910">
        <v>8.8348781299873451</v>
      </c>
      <c r="M910">
        <v>84.697542200182809</v>
      </c>
      <c r="N910">
        <v>52.120129934745322</v>
      </c>
      <c r="O910">
        <v>10.33</v>
      </c>
      <c r="P910">
        <v>-8.9999999999999858E-2</v>
      </c>
      <c r="Q910">
        <v>909</v>
      </c>
      <c r="R910">
        <v>2</v>
      </c>
      <c r="S910" t="s">
        <v>24</v>
      </c>
      <c r="T910" t="s">
        <v>107</v>
      </c>
      <c r="U910">
        <v>5000</v>
      </c>
      <c r="V910">
        <v>1000</v>
      </c>
    </row>
    <row r="911" spans="1:22" x14ac:dyDescent="0.3">
      <c r="A911" t="s">
        <v>1061</v>
      </c>
      <c r="B911" t="s">
        <v>195</v>
      </c>
      <c r="C911">
        <v>-2.27</v>
      </c>
      <c r="D911">
        <v>11.76</v>
      </c>
      <c r="E911">
        <v>9.43</v>
      </c>
      <c r="F911">
        <v>2.09</v>
      </c>
      <c r="G911">
        <v>47.411385606874326</v>
      </c>
      <c r="H911">
        <v>39.859299931365818</v>
      </c>
      <c r="I911">
        <v>50.389794472005669</v>
      </c>
      <c r="J911">
        <v>46.634964336787448</v>
      </c>
      <c r="K911">
        <v>24.521072796934874</v>
      </c>
      <c r="L911">
        <v>5.4282629617057587</v>
      </c>
      <c r="M911">
        <v>90.597972753481315</v>
      </c>
      <c r="N911">
        <v>52.097243555997771</v>
      </c>
      <c r="O911">
        <v>10.412619047619048</v>
      </c>
      <c r="P911">
        <v>-0.98261904761904795</v>
      </c>
      <c r="Q911">
        <v>910</v>
      </c>
      <c r="R911">
        <v>30</v>
      </c>
      <c r="S911" t="s">
        <v>24</v>
      </c>
      <c r="T911" t="s">
        <v>196</v>
      </c>
      <c r="U911">
        <v>5000</v>
      </c>
      <c r="V911">
        <v>1000</v>
      </c>
    </row>
    <row r="912" spans="1:22" x14ac:dyDescent="0.3">
      <c r="A912" t="s">
        <v>1062</v>
      </c>
      <c r="B912" t="s">
        <v>844</v>
      </c>
      <c r="C912">
        <v>4.54</v>
      </c>
      <c r="D912">
        <v>4.12</v>
      </c>
      <c r="E912">
        <v>4.62</v>
      </c>
      <c r="F912">
        <v>0.99</v>
      </c>
      <c r="G912">
        <v>62.04081632653061</v>
      </c>
      <c r="H912">
        <v>26.750171585449557</v>
      </c>
      <c r="I912">
        <v>33.345145287030476</v>
      </c>
      <c r="J912">
        <v>37.105787384456228</v>
      </c>
      <c r="K912">
        <v>66.666666666666657</v>
      </c>
      <c r="L912">
        <v>18.763283387034292</v>
      </c>
      <c r="M912">
        <v>67.501039856843562</v>
      </c>
      <c r="N912">
        <v>52.094820323105672</v>
      </c>
      <c r="O912">
        <v>4.4820000000000002</v>
      </c>
      <c r="P912">
        <v>0.1379999999999999</v>
      </c>
      <c r="Q912">
        <v>911</v>
      </c>
      <c r="R912">
        <v>12</v>
      </c>
      <c r="S912" t="s">
        <v>24</v>
      </c>
      <c r="T912" t="s">
        <v>845</v>
      </c>
      <c r="U912">
        <v>5000</v>
      </c>
      <c r="V912">
        <v>1000</v>
      </c>
    </row>
    <row r="913" spans="1:22" x14ac:dyDescent="0.3">
      <c r="A913" t="s">
        <v>1063</v>
      </c>
      <c r="B913" t="s">
        <v>229</v>
      </c>
      <c r="C913">
        <v>5.46</v>
      </c>
      <c r="D913">
        <v>4.3</v>
      </c>
      <c r="E913">
        <v>4.54</v>
      </c>
      <c r="F913">
        <v>0.96</v>
      </c>
      <c r="G913">
        <v>64.017185821697097</v>
      </c>
      <c r="H913">
        <v>27.05902539464654</v>
      </c>
      <c r="I913">
        <v>33.061658398299073</v>
      </c>
      <c r="J913">
        <v>37.451973981882915</v>
      </c>
      <c r="K913">
        <v>67.81609195402298</v>
      </c>
      <c r="L913">
        <v>19.833397352230957</v>
      </c>
      <c r="M913">
        <v>65.647548099233944</v>
      </c>
      <c r="N913">
        <v>52.091897004255692</v>
      </c>
      <c r="O913">
        <v>5.1221052631578941</v>
      </c>
      <c r="P913">
        <v>-0.58210526315789402</v>
      </c>
      <c r="Q913">
        <v>912</v>
      </c>
      <c r="R913">
        <v>46</v>
      </c>
      <c r="S913" t="s">
        <v>24</v>
      </c>
      <c r="T913" t="s">
        <v>230</v>
      </c>
      <c r="U913">
        <v>5000</v>
      </c>
      <c r="V913">
        <v>1000</v>
      </c>
    </row>
    <row r="914" spans="1:22" x14ac:dyDescent="0.3">
      <c r="A914" t="s">
        <v>1064</v>
      </c>
      <c r="B914" t="s">
        <v>358</v>
      </c>
      <c r="C914">
        <v>4.09</v>
      </c>
      <c r="D914">
        <v>3.28</v>
      </c>
      <c r="E914">
        <v>4.8899999999999997</v>
      </c>
      <c r="F914">
        <v>0.99</v>
      </c>
      <c r="G914">
        <v>61.074113856068735</v>
      </c>
      <c r="H914">
        <v>25.308853809196986</v>
      </c>
      <c r="I914">
        <v>34.301913536498937</v>
      </c>
      <c r="J914">
        <v>36.958435682222316</v>
      </c>
      <c r="K914">
        <v>66.666666666666657</v>
      </c>
      <c r="L914">
        <v>18.604567805740405</v>
      </c>
      <c r="M914">
        <v>67.775943307597402</v>
      </c>
      <c r="N914">
        <v>52.089870334677173</v>
      </c>
      <c r="O914">
        <v>5.0554237288135591</v>
      </c>
      <c r="P914">
        <v>-0.16542372881355938</v>
      </c>
      <c r="Q914">
        <v>913</v>
      </c>
      <c r="R914">
        <v>56</v>
      </c>
      <c r="S914" t="s">
        <v>24</v>
      </c>
      <c r="T914" t="s">
        <v>457</v>
      </c>
      <c r="U914">
        <v>5000</v>
      </c>
      <c r="V914">
        <v>1000</v>
      </c>
    </row>
    <row r="915" spans="1:22" x14ac:dyDescent="0.3">
      <c r="A915" t="s">
        <v>1065</v>
      </c>
      <c r="B915" t="s">
        <v>921</v>
      </c>
      <c r="C915">
        <v>5.25</v>
      </c>
      <c r="D915">
        <v>3.95</v>
      </c>
      <c r="E915">
        <v>5.64</v>
      </c>
      <c r="F915">
        <v>1.08</v>
      </c>
      <c r="G915">
        <v>63.566058002148232</v>
      </c>
      <c r="H915">
        <v>26.458476321207968</v>
      </c>
      <c r="I915">
        <v>36.959603118355773</v>
      </c>
      <c r="J915">
        <v>39.130556055969919</v>
      </c>
      <c r="K915">
        <v>63.218390804597703</v>
      </c>
      <c r="L915">
        <v>19.127422389947164</v>
      </c>
      <c r="M915">
        <v>66.870332602780991</v>
      </c>
      <c r="N915">
        <v>52.087458879829633</v>
      </c>
      <c r="O915">
        <v>3.5597297297297299</v>
      </c>
      <c r="P915">
        <v>2.0802702702702698</v>
      </c>
      <c r="Q915">
        <v>914</v>
      </c>
      <c r="R915">
        <v>5</v>
      </c>
      <c r="S915" t="s">
        <v>24</v>
      </c>
      <c r="T915" t="s">
        <v>221</v>
      </c>
      <c r="U915">
        <v>5000</v>
      </c>
      <c r="V915">
        <v>1000</v>
      </c>
    </row>
    <row r="916" spans="1:22" x14ac:dyDescent="0.3">
      <c r="A916" t="s">
        <v>1066</v>
      </c>
      <c r="B916" t="s">
        <v>138</v>
      </c>
      <c r="C916">
        <v>0.09</v>
      </c>
      <c r="D916">
        <v>20.6</v>
      </c>
      <c r="E916">
        <v>9.59</v>
      </c>
      <c r="F916">
        <v>2.5499999999999998</v>
      </c>
      <c r="G916">
        <v>52.481203007518793</v>
      </c>
      <c r="H916">
        <v>55.027453671928626</v>
      </c>
      <c r="I916">
        <v>50.956768249468468</v>
      </c>
      <c r="J916">
        <v>52.48286082781658</v>
      </c>
      <c r="K916">
        <v>6.8965517241379448</v>
      </c>
      <c r="L916">
        <v>2.0566061681886296</v>
      </c>
      <c r="M916">
        <v>96.437853625537755</v>
      </c>
      <c r="N916">
        <v>52.075031751327217</v>
      </c>
      <c r="O916">
        <v>9.219019607843137</v>
      </c>
      <c r="P916">
        <v>0.37098039215686285</v>
      </c>
      <c r="Q916">
        <v>915</v>
      </c>
      <c r="R916">
        <v>22</v>
      </c>
      <c r="S916" t="s">
        <v>24</v>
      </c>
      <c r="T916" t="s">
        <v>1067</v>
      </c>
      <c r="U916">
        <v>5000</v>
      </c>
      <c r="V916">
        <v>1000</v>
      </c>
    </row>
    <row r="917" spans="1:22" x14ac:dyDescent="0.3">
      <c r="A917" t="s">
        <v>1068</v>
      </c>
      <c r="B917" t="s">
        <v>383</v>
      </c>
      <c r="C917">
        <v>3.05</v>
      </c>
      <c r="D917">
        <v>6.88</v>
      </c>
      <c r="E917">
        <v>6.04</v>
      </c>
      <c r="F917">
        <v>1.37</v>
      </c>
      <c r="G917">
        <v>58.839957035445757</v>
      </c>
      <c r="H917">
        <v>31.485929993136587</v>
      </c>
      <c r="I917">
        <v>38.377037562012752</v>
      </c>
      <c r="J917">
        <v>40.402289186036498</v>
      </c>
      <c r="K917">
        <v>52.107279693486589</v>
      </c>
      <c r="L917">
        <v>14.227094059888028</v>
      </c>
      <c r="M917">
        <v>75.35795024421256</v>
      </c>
      <c r="N917">
        <v>52.067452077443036</v>
      </c>
      <c r="O917">
        <v>6.1480952380952392</v>
      </c>
      <c r="P917">
        <v>-0.10809523809523913</v>
      </c>
      <c r="Q917">
        <v>916</v>
      </c>
      <c r="R917">
        <v>12</v>
      </c>
      <c r="S917" t="s">
        <v>24</v>
      </c>
      <c r="T917" t="s">
        <v>1069</v>
      </c>
      <c r="U917">
        <v>1000</v>
      </c>
      <c r="V917">
        <v>1000</v>
      </c>
    </row>
    <row r="918" spans="1:22" x14ac:dyDescent="0.3">
      <c r="A918" t="s">
        <v>1070</v>
      </c>
      <c r="B918" t="s">
        <v>229</v>
      </c>
      <c r="C918">
        <v>5.46</v>
      </c>
      <c r="D918">
        <v>4.3</v>
      </c>
      <c r="E918">
        <v>4.51</v>
      </c>
      <c r="F918">
        <v>0.96</v>
      </c>
      <c r="G918">
        <v>64.017185821697097</v>
      </c>
      <c r="H918">
        <v>27.05902539464654</v>
      </c>
      <c r="I918">
        <v>32.955350815024801</v>
      </c>
      <c r="J918">
        <v>37.398820190245786</v>
      </c>
      <c r="K918">
        <v>67.81609195402298</v>
      </c>
      <c r="L918">
        <v>19.855771073738811</v>
      </c>
      <c r="M918">
        <v>65.608795676827938</v>
      </c>
      <c r="N918">
        <v>52.055632002835623</v>
      </c>
      <c r="O918">
        <v>5.1221052631578941</v>
      </c>
      <c r="P918">
        <v>-0.61210526315789426</v>
      </c>
      <c r="Q918">
        <v>917</v>
      </c>
      <c r="R918">
        <v>47</v>
      </c>
      <c r="S918" t="s">
        <v>24</v>
      </c>
      <c r="T918" t="s">
        <v>230</v>
      </c>
      <c r="U918">
        <v>5000</v>
      </c>
      <c r="V918">
        <v>1000</v>
      </c>
    </row>
    <row r="919" spans="1:22" x14ac:dyDescent="0.3">
      <c r="A919" t="s">
        <v>1071</v>
      </c>
      <c r="B919" t="s">
        <v>195</v>
      </c>
      <c r="C919">
        <v>0.35</v>
      </c>
      <c r="D919">
        <v>14.19</v>
      </c>
      <c r="E919">
        <v>10.46</v>
      </c>
      <c r="F919">
        <v>2.31</v>
      </c>
      <c r="G919">
        <v>53.039742212674533</v>
      </c>
      <c r="H919">
        <v>44.028826355525055</v>
      </c>
      <c r="I919">
        <v>54.039688164422394</v>
      </c>
      <c r="J919">
        <v>50.836440431403616</v>
      </c>
      <c r="K919">
        <v>16.09195402298851</v>
      </c>
      <c r="L919">
        <v>5.5138288367806654</v>
      </c>
      <c r="M919">
        <v>90.449768310457486</v>
      </c>
      <c r="N919">
        <v>52.053650799063305</v>
      </c>
      <c r="O919">
        <v>10.412619047619048</v>
      </c>
      <c r="P919">
        <v>4.738095238095319E-2</v>
      </c>
      <c r="Q919">
        <v>918</v>
      </c>
      <c r="R919">
        <v>31</v>
      </c>
      <c r="S919" t="s">
        <v>24</v>
      </c>
      <c r="T919" t="s">
        <v>1072</v>
      </c>
      <c r="U919">
        <v>1000</v>
      </c>
      <c r="V919">
        <v>1000</v>
      </c>
    </row>
    <row r="920" spans="1:22" x14ac:dyDescent="0.3">
      <c r="A920" t="s">
        <v>1073</v>
      </c>
      <c r="B920" t="s">
        <v>195</v>
      </c>
      <c r="C920">
        <v>0.35</v>
      </c>
      <c r="D920">
        <v>14.19</v>
      </c>
      <c r="E920">
        <v>10.46</v>
      </c>
      <c r="F920">
        <v>2.31</v>
      </c>
      <c r="G920">
        <v>53.039742212674533</v>
      </c>
      <c r="H920">
        <v>44.028826355525055</v>
      </c>
      <c r="I920">
        <v>54.039688164422394</v>
      </c>
      <c r="J920">
        <v>50.836440431403616</v>
      </c>
      <c r="K920">
        <v>16.09195402298851</v>
      </c>
      <c r="L920">
        <v>5.5138288367806654</v>
      </c>
      <c r="M920">
        <v>90.449768310457486</v>
      </c>
      <c r="N920">
        <v>52.053650799063305</v>
      </c>
      <c r="O920">
        <v>10.412619047619048</v>
      </c>
      <c r="P920">
        <v>4.738095238095319E-2</v>
      </c>
      <c r="Q920">
        <v>918</v>
      </c>
      <c r="R920">
        <v>31</v>
      </c>
      <c r="S920" t="s">
        <v>24</v>
      </c>
      <c r="T920" t="s">
        <v>1072</v>
      </c>
      <c r="U920">
        <v>1000</v>
      </c>
      <c r="V920">
        <v>1000</v>
      </c>
    </row>
    <row r="921" spans="1:22" x14ac:dyDescent="0.3">
      <c r="A921" t="s">
        <v>1074</v>
      </c>
      <c r="B921" t="s">
        <v>138</v>
      </c>
      <c r="C921">
        <v>0.05</v>
      </c>
      <c r="D921">
        <v>20.58</v>
      </c>
      <c r="E921">
        <v>9.58</v>
      </c>
      <c r="F921">
        <v>2.5499999999999998</v>
      </c>
      <c r="G921">
        <v>52.395273899033292</v>
      </c>
      <c r="H921">
        <v>54.993136582017854</v>
      </c>
      <c r="I921">
        <v>50.921332388377039</v>
      </c>
      <c r="J921">
        <v>52.437661948600535</v>
      </c>
      <c r="K921">
        <v>6.8965517241379448</v>
      </c>
      <c r="L921">
        <v>2.0615925675647908</v>
      </c>
      <c r="M921">
        <v>96.429216928471405</v>
      </c>
      <c r="N921">
        <v>52.050273137452606</v>
      </c>
      <c r="O921">
        <v>9.219019607843137</v>
      </c>
      <c r="P921">
        <v>0.36098039215686306</v>
      </c>
      <c r="Q921">
        <v>920</v>
      </c>
      <c r="R921">
        <v>23</v>
      </c>
      <c r="S921" t="s">
        <v>24</v>
      </c>
      <c r="T921" t="s">
        <v>1067</v>
      </c>
      <c r="U921">
        <v>5000</v>
      </c>
      <c r="V921">
        <v>1000</v>
      </c>
    </row>
    <row r="922" spans="1:22" x14ac:dyDescent="0.3">
      <c r="A922" t="s">
        <v>1075</v>
      </c>
      <c r="B922" t="s">
        <v>229</v>
      </c>
      <c r="C922">
        <v>5.46</v>
      </c>
      <c r="D922">
        <v>4.3</v>
      </c>
      <c r="E922">
        <v>4.5</v>
      </c>
      <c r="F922">
        <v>0.96</v>
      </c>
      <c r="G922">
        <v>64.017185821697097</v>
      </c>
      <c r="H922">
        <v>27.05902539464654</v>
      </c>
      <c r="I922">
        <v>32.919914953933379</v>
      </c>
      <c r="J922">
        <v>37.381102259700071</v>
      </c>
      <c r="K922">
        <v>67.81609195402298</v>
      </c>
      <c r="L922">
        <v>19.863265525423344</v>
      </c>
      <c r="M922">
        <v>65.595814905735466</v>
      </c>
      <c r="N922">
        <v>52.043527844789644</v>
      </c>
      <c r="O922">
        <v>5.1221052631578941</v>
      </c>
      <c r="P922">
        <v>-0.62210526315789405</v>
      </c>
      <c r="Q922">
        <v>921</v>
      </c>
      <c r="R922">
        <v>48</v>
      </c>
      <c r="S922" t="s">
        <v>24</v>
      </c>
      <c r="T922" t="s">
        <v>230</v>
      </c>
      <c r="U922">
        <v>5000</v>
      </c>
      <c r="V922">
        <v>1000</v>
      </c>
    </row>
    <row r="923" spans="1:22" x14ac:dyDescent="0.3">
      <c r="A923" t="s">
        <v>1076</v>
      </c>
      <c r="B923" t="s">
        <v>844</v>
      </c>
      <c r="C923">
        <v>4.84</v>
      </c>
      <c r="D923">
        <v>4.26</v>
      </c>
      <c r="E923">
        <v>4.75</v>
      </c>
      <c r="F923">
        <v>1.01</v>
      </c>
      <c r="G923">
        <v>62.685284640171858</v>
      </c>
      <c r="H923">
        <v>26.990391214824989</v>
      </c>
      <c r="I923">
        <v>33.805811481218996</v>
      </c>
      <c r="J923">
        <v>37.537080033091371</v>
      </c>
      <c r="K923">
        <v>65.900383141762447</v>
      </c>
      <c r="L923">
        <v>18.949931134409276</v>
      </c>
      <c r="M923">
        <v>67.177756475271792</v>
      </c>
      <c r="N923">
        <v>52.038074920804249</v>
      </c>
      <c r="O923">
        <v>4.4820000000000002</v>
      </c>
      <c r="P923">
        <v>0.26799999999999979</v>
      </c>
      <c r="Q923">
        <v>922</v>
      </c>
      <c r="R923">
        <v>13</v>
      </c>
      <c r="S923" t="s">
        <v>24</v>
      </c>
      <c r="T923" t="s">
        <v>845</v>
      </c>
      <c r="U923">
        <v>5000</v>
      </c>
      <c r="V923">
        <v>1000</v>
      </c>
    </row>
    <row r="924" spans="1:22" x14ac:dyDescent="0.3">
      <c r="A924" t="s">
        <v>1077</v>
      </c>
      <c r="B924" t="s">
        <v>229</v>
      </c>
      <c r="C924">
        <v>5.69</v>
      </c>
      <c r="D924">
        <v>4.3899999999999997</v>
      </c>
      <c r="E924">
        <v>5.16</v>
      </c>
      <c r="F924">
        <v>1.04</v>
      </c>
      <c r="G924">
        <v>64.511278195488714</v>
      </c>
      <c r="H924">
        <v>27.213452299245027</v>
      </c>
      <c r="I924">
        <v>35.258681785967397</v>
      </c>
      <c r="J924">
        <v>38.69563222185495</v>
      </c>
      <c r="K924">
        <v>64.750957854406124</v>
      </c>
      <c r="L924">
        <v>19.62807483673523</v>
      </c>
      <c r="M924">
        <v>66.003177128010378</v>
      </c>
      <c r="N924">
        <v>52.036349856531601</v>
      </c>
      <c r="O924">
        <v>5.1221052631578941</v>
      </c>
      <c r="P924">
        <v>3.7894736842106092E-2</v>
      </c>
      <c r="Q924">
        <v>923</v>
      </c>
      <c r="R924">
        <v>49</v>
      </c>
      <c r="S924" t="s">
        <v>24</v>
      </c>
      <c r="T924" t="s">
        <v>429</v>
      </c>
      <c r="U924">
        <v>1000</v>
      </c>
      <c r="V924">
        <v>1000</v>
      </c>
    </row>
    <row r="925" spans="1:22" x14ac:dyDescent="0.3">
      <c r="A925" t="s">
        <v>1078</v>
      </c>
      <c r="B925" t="s">
        <v>229</v>
      </c>
      <c r="C925">
        <v>5.3</v>
      </c>
      <c r="D925">
        <v>4.34</v>
      </c>
      <c r="E925">
        <v>4.99</v>
      </c>
      <c r="F925">
        <v>1.03</v>
      </c>
      <c r="G925">
        <v>63.673469387755098</v>
      </c>
      <c r="H925">
        <v>27.127659574468087</v>
      </c>
      <c r="I925">
        <v>34.656272147413183</v>
      </c>
      <c r="J925">
        <v>38.201127823598043</v>
      </c>
      <c r="K925">
        <v>65.134099616858236</v>
      </c>
      <c r="L925">
        <v>19.297123956120849</v>
      </c>
      <c r="M925">
        <v>66.576400868044146</v>
      </c>
      <c r="N925">
        <v>52.028189033024617</v>
      </c>
      <c r="O925">
        <v>5.1221052631578941</v>
      </c>
      <c r="P925">
        <v>-0.13210526315789384</v>
      </c>
      <c r="Q925">
        <v>924</v>
      </c>
      <c r="R925">
        <v>50</v>
      </c>
      <c r="S925" t="s">
        <v>24</v>
      </c>
      <c r="T925" t="s">
        <v>230</v>
      </c>
      <c r="U925">
        <v>1000</v>
      </c>
      <c r="V925">
        <v>1000</v>
      </c>
    </row>
    <row r="926" spans="1:22" x14ac:dyDescent="0.3">
      <c r="A926" t="s">
        <v>1079</v>
      </c>
      <c r="B926" t="s">
        <v>229</v>
      </c>
      <c r="C926">
        <v>5.46</v>
      </c>
      <c r="D926">
        <v>4.3</v>
      </c>
      <c r="E926">
        <v>4.46</v>
      </c>
      <c r="F926">
        <v>0.96</v>
      </c>
      <c r="G926">
        <v>64.017185821697097</v>
      </c>
      <c r="H926">
        <v>27.05902539464654</v>
      </c>
      <c r="I926">
        <v>32.778171509567677</v>
      </c>
      <c r="J926">
        <v>37.310230537517221</v>
      </c>
      <c r="K926">
        <v>67.81609195402298</v>
      </c>
      <c r="L926">
        <v>19.893425503705362</v>
      </c>
      <c r="M926">
        <v>65.543576290995816</v>
      </c>
      <c r="N926">
        <v>51.995032330013309</v>
      </c>
      <c r="O926">
        <v>5.1221052631578941</v>
      </c>
      <c r="P926">
        <v>-0.66210526315789409</v>
      </c>
      <c r="Q926">
        <v>925</v>
      </c>
      <c r="R926">
        <v>51</v>
      </c>
      <c r="S926" t="s">
        <v>24</v>
      </c>
      <c r="T926" t="s">
        <v>230</v>
      </c>
      <c r="U926">
        <v>5000</v>
      </c>
      <c r="V926">
        <v>1000</v>
      </c>
    </row>
    <row r="927" spans="1:22" x14ac:dyDescent="0.3">
      <c r="A927" t="s">
        <v>1080</v>
      </c>
      <c r="B927" t="s">
        <v>229</v>
      </c>
      <c r="C927">
        <v>5.46</v>
      </c>
      <c r="D927">
        <v>4.3</v>
      </c>
      <c r="E927">
        <v>4.46</v>
      </c>
      <c r="F927">
        <v>0.96</v>
      </c>
      <c r="G927">
        <v>64.017185821697097</v>
      </c>
      <c r="H927">
        <v>27.05902539464654</v>
      </c>
      <c r="I927">
        <v>32.778171509567677</v>
      </c>
      <c r="J927">
        <v>37.310230537517221</v>
      </c>
      <c r="K927">
        <v>67.81609195402298</v>
      </c>
      <c r="L927">
        <v>19.893425503705362</v>
      </c>
      <c r="M927">
        <v>65.543576290995816</v>
      </c>
      <c r="N927">
        <v>51.995032330013309</v>
      </c>
      <c r="O927">
        <v>5.1221052631578941</v>
      </c>
      <c r="P927">
        <v>-0.66210526315789409</v>
      </c>
      <c r="Q927">
        <v>925</v>
      </c>
      <c r="R927">
        <v>51</v>
      </c>
      <c r="S927" t="s">
        <v>24</v>
      </c>
      <c r="T927" t="s">
        <v>230</v>
      </c>
      <c r="U927">
        <v>5000</v>
      </c>
      <c r="V927">
        <v>1000</v>
      </c>
    </row>
    <row r="928" spans="1:22" x14ac:dyDescent="0.3">
      <c r="A928" t="s">
        <v>1081</v>
      </c>
      <c r="B928" t="s">
        <v>126</v>
      </c>
      <c r="C928">
        <v>-1.7</v>
      </c>
      <c r="D928">
        <v>15.54</v>
      </c>
      <c r="E928">
        <v>6.9</v>
      </c>
      <c r="F928">
        <v>2.06</v>
      </c>
      <c r="G928">
        <v>48.635875402792692</v>
      </c>
      <c r="H928">
        <v>46.345229924502405</v>
      </c>
      <c r="I928">
        <v>41.424521615875264</v>
      </c>
      <c r="J928">
        <v>44.343004865846893</v>
      </c>
      <c r="K928">
        <v>25.670498084291182</v>
      </c>
      <c r="L928">
        <v>3.684744459839159</v>
      </c>
      <c r="M928">
        <v>93.61783538265064</v>
      </c>
      <c r="N928">
        <v>51.993585799658902</v>
      </c>
      <c r="O928">
        <v>11.362272727272726</v>
      </c>
      <c r="P928">
        <v>-4.4622727272727261</v>
      </c>
      <c r="Q928">
        <v>927</v>
      </c>
      <c r="R928">
        <v>37</v>
      </c>
      <c r="S928" t="s">
        <v>24</v>
      </c>
      <c r="T928" t="s">
        <v>127</v>
      </c>
      <c r="U928">
        <v>1000</v>
      </c>
      <c r="V928">
        <v>1000</v>
      </c>
    </row>
    <row r="929" spans="1:22" x14ac:dyDescent="0.3">
      <c r="A929" t="s">
        <v>1082</v>
      </c>
      <c r="B929" t="s">
        <v>844</v>
      </c>
      <c r="C929">
        <v>4.59</v>
      </c>
      <c r="D929">
        <v>3.82</v>
      </c>
      <c r="E929">
        <v>4.3600000000000003</v>
      </c>
      <c r="F929">
        <v>0.95</v>
      </c>
      <c r="G929">
        <v>62.148227712137484</v>
      </c>
      <c r="H929">
        <v>26.235415236787922</v>
      </c>
      <c r="I929">
        <v>32.423812898653438</v>
      </c>
      <c r="J929">
        <v>36.512176562790593</v>
      </c>
      <c r="K929">
        <v>68.199233716475092</v>
      </c>
      <c r="L929">
        <v>19.198815942287844</v>
      </c>
      <c r="M929">
        <v>66.746675342794106</v>
      </c>
      <c r="N929">
        <v>51.992565546212596</v>
      </c>
      <c r="O929">
        <v>4.4820000000000002</v>
      </c>
      <c r="P929">
        <v>-0.12199999999999989</v>
      </c>
      <c r="Q929">
        <v>928</v>
      </c>
      <c r="R929">
        <v>14</v>
      </c>
      <c r="S929" t="s">
        <v>24</v>
      </c>
      <c r="T929" t="s">
        <v>845</v>
      </c>
      <c r="U929">
        <v>1000</v>
      </c>
      <c r="V929">
        <v>1000</v>
      </c>
    </row>
    <row r="930" spans="1:22" x14ac:dyDescent="0.3">
      <c r="A930" t="s">
        <v>1083</v>
      </c>
      <c r="B930" t="s">
        <v>383</v>
      </c>
      <c r="C930">
        <v>3.77</v>
      </c>
      <c r="D930">
        <v>7.84</v>
      </c>
      <c r="E930">
        <v>6.37</v>
      </c>
      <c r="F930">
        <v>1.45</v>
      </c>
      <c r="G930">
        <v>60.38668098818475</v>
      </c>
      <c r="H930">
        <v>33.133150308853807</v>
      </c>
      <c r="I930">
        <v>39.546420978029758</v>
      </c>
      <c r="J930">
        <v>41.79049177930797</v>
      </c>
      <c r="K930">
        <v>49.042145593869726</v>
      </c>
      <c r="L930">
        <v>14.248984832004764</v>
      </c>
      <c r="M930">
        <v>75.320034314689465</v>
      </c>
      <c r="N930">
        <v>51.985790866793778</v>
      </c>
      <c r="O930">
        <v>6.1480952380952392</v>
      </c>
      <c r="P930">
        <v>0.22190476190476094</v>
      </c>
      <c r="Q930">
        <v>929</v>
      </c>
      <c r="R930">
        <v>13</v>
      </c>
      <c r="S930" t="s">
        <v>24</v>
      </c>
      <c r="T930" t="s">
        <v>816</v>
      </c>
      <c r="U930">
        <v>1000</v>
      </c>
      <c r="V930">
        <v>1000</v>
      </c>
    </row>
    <row r="931" spans="1:22" x14ac:dyDescent="0.3">
      <c r="A931" t="s">
        <v>1084</v>
      </c>
      <c r="B931" t="s">
        <v>202</v>
      </c>
      <c r="C931">
        <v>-8.64</v>
      </c>
      <c r="D931">
        <v>6.75</v>
      </c>
      <c r="E931">
        <v>9.2100000000000009</v>
      </c>
      <c r="F931">
        <v>1.6</v>
      </c>
      <c r="G931">
        <v>33.727175080558538</v>
      </c>
      <c r="H931">
        <v>31.262868908716545</v>
      </c>
      <c r="I931">
        <v>49.610205527994324</v>
      </c>
      <c r="J931">
        <v>40.929398452723831</v>
      </c>
      <c r="K931">
        <v>43.295019157088113</v>
      </c>
      <c r="L931">
        <v>9.9579802346647437</v>
      </c>
      <c r="M931">
        <v>82.752272292794018</v>
      </c>
      <c r="N931">
        <v>51.976522088832454</v>
      </c>
      <c r="O931">
        <v>10.023387096774194</v>
      </c>
      <c r="P931">
        <v>-0.81338709677419274</v>
      </c>
      <c r="Q931">
        <v>930</v>
      </c>
      <c r="R931">
        <v>32</v>
      </c>
      <c r="S931" t="s">
        <v>24</v>
      </c>
      <c r="T931" t="s">
        <v>78</v>
      </c>
      <c r="U931">
        <v>1000</v>
      </c>
      <c r="V931">
        <v>1000</v>
      </c>
    </row>
    <row r="932" spans="1:22" x14ac:dyDescent="0.3">
      <c r="A932" t="s">
        <v>1085</v>
      </c>
      <c r="B932" t="s">
        <v>844</v>
      </c>
      <c r="C932">
        <v>4.6100000000000003</v>
      </c>
      <c r="D932">
        <v>3.82</v>
      </c>
      <c r="E932">
        <v>4.3499999999999996</v>
      </c>
      <c r="F932">
        <v>0.95</v>
      </c>
      <c r="G932">
        <v>62.191192266380234</v>
      </c>
      <c r="H932">
        <v>26.235415236787922</v>
      </c>
      <c r="I932">
        <v>32.388377037562009</v>
      </c>
      <c r="J932">
        <v>36.503051543093427</v>
      </c>
      <c r="K932">
        <v>68.199233716475092</v>
      </c>
      <c r="L932">
        <v>19.230551371392618</v>
      </c>
      <c r="M932">
        <v>66.691707967184641</v>
      </c>
      <c r="N932">
        <v>51.974261192461647</v>
      </c>
      <c r="O932">
        <v>4.4820000000000002</v>
      </c>
      <c r="P932">
        <v>-0.13200000000000056</v>
      </c>
      <c r="Q932">
        <v>931</v>
      </c>
      <c r="R932">
        <v>15</v>
      </c>
      <c r="S932" t="s">
        <v>24</v>
      </c>
      <c r="T932" t="s">
        <v>845</v>
      </c>
      <c r="U932">
        <v>1000</v>
      </c>
      <c r="V932">
        <v>1000</v>
      </c>
    </row>
    <row r="933" spans="1:22" x14ac:dyDescent="0.3">
      <c r="A933" t="s">
        <v>1086</v>
      </c>
      <c r="B933" t="s">
        <v>202</v>
      </c>
      <c r="C933">
        <v>-8.64</v>
      </c>
      <c r="D933">
        <v>6.75</v>
      </c>
      <c r="E933">
        <v>8.7200000000000006</v>
      </c>
      <c r="F933">
        <v>1.6</v>
      </c>
      <c r="G933">
        <v>33.727175080558538</v>
      </c>
      <c r="H933">
        <v>31.262868908716545</v>
      </c>
      <c r="I933">
        <v>47.873848334514527</v>
      </c>
      <c r="J933">
        <v>40.061219855983936</v>
      </c>
      <c r="K933">
        <v>43.295019157088113</v>
      </c>
      <c r="L933">
        <v>8.9640560624739525</v>
      </c>
      <c r="M933">
        <v>84.473799457899304</v>
      </c>
      <c r="N933">
        <v>51.972814581738824</v>
      </c>
      <c r="O933">
        <v>10.023387096774194</v>
      </c>
      <c r="P933">
        <v>-1.303387096774193</v>
      </c>
      <c r="Q933">
        <v>932</v>
      </c>
      <c r="R933">
        <v>33</v>
      </c>
      <c r="S933" t="s">
        <v>24</v>
      </c>
      <c r="T933" t="s">
        <v>78</v>
      </c>
      <c r="U933">
        <v>1000</v>
      </c>
      <c r="V933">
        <v>1000</v>
      </c>
    </row>
    <row r="934" spans="1:22" x14ac:dyDescent="0.3">
      <c r="A934" t="s">
        <v>1087</v>
      </c>
      <c r="B934" t="s">
        <v>229</v>
      </c>
      <c r="C934">
        <v>5.64</v>
      </c>
      <c r="D934">
        <v>4.37</v>
      </c>
      <c r="E934">
        <v>5.0999999999999996</v>
      </c>
      <c r="F934">
        <v>1.04</v>
      </c>
      <c r="G934">
        <v>64.403866809881833</v>
      </c>
      <c r="H934">
        <v>27.179135209334255</v>
      </c>
      <c r="I934">
        <v>35.046066619418845</v>
      </c>
      <c r="J934">
        <v>38.557547234486066</v>
      </c>
      <c r="K934">
        <v>64.750957854406124</v>
      </c>
      <c r="L934">
        <v>19.619079508507909</v>
      </c>
      <c r="M934">
        <v>66.01875749353087</v>
      </c>
      <c r="N934">
        <v>51.971202454227281</v>
      </c>
      <c r="O934">
        <v>5.1221052631578941</v>
      </c>
      <c r="P934">
        <v>-2.2105263157894406E-2</v>
      </c>
      <c r="Q934">
        <v>933</v>
      </c>
      <c r="R934">
        <v>53</v>
      </c>
      <c r="S934" t="s">
        <v>24</v>
      </c>
      <c r="T934" t="s">
        <v>429</v>
      </c>
      <c r="U934">
        <v>1000</v>
      </c>
      <c r="V934">
        <v>1000</v>
      </c>
    </row>
    <row r="935" spans="1:22" x14ac:dyDescent="0.3">
      <c r="A935" t="s">
        <v>1088</v>
      </c>
      <c r="B935" t="s">
        <v>229</v>
      </c>
      <c r="C935">
        <v>5.7</v>
      </c>
      <c r="D935">
        <v>4.3899999999999997</v>
      </c>
      <c r="E935">
        <v>5.0999999999999996</v>
      </c>
      <c r="F935">
        <v>1.04</v>
      </c>
      <c r="G935">
        <v>64.532760472610093</v>
      </c>
      <c r="H935">
        <v>27.213452299245027</v>
      </c>
      <c r="I935">
        <v>35.046066619418845</v>
      </c>
      <c r="J935">
        <v>38.593621094004945</v>
      </c>
      <c r="K935">
        <v>64.750957854406124</v>
      </c>
      <c r="L935">
        <v>19.678862280879837</v>
      </c>
      <c r="M935">
        <v>65.915210694365356</v>
      </c>
      <c r="N935">
        <v>51.963352684195343</v>
      </c>
      <c r="O935">
        <v>5.1221052631578941</v>
      </c>
      <c r="P935">
        <v>-2.2105263157894406E-2</v>
      </c>
      <c r="Q935">
        <v>934</v>
      </c>
      <c r="R935">
        <v>54</v>
      </c>
      <c r="S935" t="s">
        <v>24</v>
      </c>
      <c r="T935" t="s">
        <v>429</v>
      </c>
      <c r="U935">
        <v>1000</v>
      </c>
      <c r="V935">
        <v>1000</v>
      </c>
    </row>
    <row r="936" spans="1:22" x14ac:dyDescent="0.3">
      <c r="A936" t="s">
        <v>1089</v>
      </c>
      <c r="B936" t="s">
        <v>383</v>
      </c>
      <c r="C936">
        <v>3</v>
      </c>
      <c r="D936">
        <v>6.84</v>
      </c>
      <c r="E936">
        <v>5.95</v>
      </c>
      <c r="F936">
        <v>1.37</v>
      </c>
      <c r="G936">
        <v>58.732545649838876</v>
      </c>
      <c r="H936">
        <v>31.417295813315032</v>
      </c>
      <c r="I936">
        <v>38.058114812189935</v>
      </c>
      <c r="J936">
        <v>40.200755280057251</v>
      </c>
      <c r="K936">
        <v>52.107279693486589</v>
      </c>
      <c r="L936">
        <v>14.245791431555398</v>
      </c>
      <c r="M936">
        <v>75.325565446516677</v>
      </c>
      <c r="N936">
        <v>51.958588925029446</v>
      </c>
      <c r="O936">
        <v>6.1480952380952392</v>
      </c>
      <c r="P936">
        <v>-0.19809523809523899</v>
      </c>
      <c r="Q936">
        <v>935</v>
      </c>
      <c r="R936">
        <v>14</v>
      </c>
      <c r="S936" t="s">
        <v>24</v>
      </c>
      <c r="T936" t="s">
        <v>1069</v>
      </c>
      <c r="U936">
        <v>1000</v>
      </c>
      <c r="V936">
        <v>1000</v>
      </c>
    </row>
    <row r="937" spans="1:22" x14ac:dyDescent="0.3">
      <c r="A937" t="s">
        <v>1090</v>
      </c>
      <c r="B937" t="s">
        <v>445</v>
      </c>
      <c r="C937">
        <v>4.08</v>
      </c>
      <c r="D937">
        <v>9.7100000000000009</v>
      </c>
      <c r="E937">
        <v>8.59</v>
      </c>
      <c r="F937">
        <v>1.8</v>
      </c>
      <c r="G937">
        <v>61.05263157894737</v>
      </c>
      <c r="H937">
        <v>36.341798215511332</v>
      </c>
      <c r="I937">
        <v>47.413182140326008</v>
      </c>
      <c r="J937">
        <v>46.819656850605881</v>
      </c>
      <c r="K937">
        <v>35.632183908045967</v>
      </c>
      <c r="L937">
        <v>12.377637150084132</v>
      </c>
      <c r="M937">
        <v>78.561303578402246</v>
      </c>
      <c r="N937">
        <v>51.958200296914995</v>
      </c>
      <c r="O937">
        <v>5.7759259259259252</v>
      </c>
      <c r="P937">
        <v>2.8140740740740746</v>
      </c>
      <c r="Q937">
        <v>936</v>
      </c>
      <c r="R937">
        <v>5</v>
      </c>
      <c r="S937" t="s">
        <v>24</v>
      </c>
      <c r="T937" t="s">
        <v>612</v>
      </c>
      <c r="U937">
        <v>5000</v>
      </c>
      <c r="V937">
        <v>1000</v>
      </c>
    </row>
    <row r="938" spans="1:22" x14ac:dyDescent="0.3">
      <c r="A938" t="s">
        <v>1091</v>
      </c>
      <c r="B938" t="s">
        <v>229</v>
      </c>
      <c r="C938">
        <v>5.41</v>
      </c>
      <c r="D938">
        <v>4.4000000000000004</v>
      </c>
      <c r="E938">
        <v>4.93</v>
      </c>
      <c r="F938">
        <v>1.03</v>
      </c>
      <c r="G938">
        <v>63.909774436090231</v>
      </c>
      <c r="H938">
        <v>27.230610844200413</v>
      </c>
      <c r="I938">
        <v>34.443656980864631</v>
      </c>
      <c r="J938">
        <v>38.172966630910487</v>
      </c>
      <c r="K938">
        <v>65.134099616858236</v>
      </c>
      <c r="L938">
        <v>19.432108970530422</v>
      </c>
      <c r="M938">
        <v>66.342599964826363</v>
      </c>
      <c r="N938">
        <v>51.955658210876393</v>
      </c>
      <c r="O938">
        <v>5.1221052631578941</v>
      </c>
      <c r="P938">
        <v>-0.19210526315789433</v>
      </c>
      <c r="Q938">
        <v>937</v>
      </c>
      <c r="R938">
        <v>55</v>
      </c>
      <c r="S938" t="s">
        <v>24</v>
      </c>
      <c r="T938" t="s">
        <v>230</v>
      </c>
      <c r="U938">
        <v>10000</v>
      </c>
      <c r="V938">
        <v>10000</v>
      </c>
    </row>
    <row r="939" spans="1:22" x14ac:dyDescent="0.3">
      <c r="A939" t="s">
        <v>1092</v>
      </c>
      <c r="B939" t="s">
        <v>229</v>
      </c>
      <c r="C939">
        <v>5.3</v>
      </c>
      <c r="D939">
        <v>4.34</v>
      </c>
      <c r="E939">
        <v>4.92</v>
      </c>
      <c r="F939">
        <v>1.03</v>
      </c>
      <c r="G939">
        <v>63.673469387755098</v>
      </c>
      <c r="H939">
        <v>27.127659574468087</v>
      </c>
      <c r="I939">
        <v>34.408221119773209</v>
      </c>
      <c r="J939">
        <v>38.077102309778056</v>
      </c>
      <c r="K939">
        <v>65.134099616858236</v>
      </c>
      <c r="L939">
        <v>19.343636109026217</v>
      </c>
      <c r="M939">
        <v>66.495839456042646</v>
      </c>
      <c r="N939">
        <v>51.946035923114252</v>
      </c>
      <c r="O939">
        <v>5.1221052631578941</v>
      </c>
      <c r="P939">
        <v>-0.20210526315789412</v>
      </c>
      <c r="Q939">
        <v>938</v>
      </c>
      <c r="R939">
        <v>56</v>
      </c>
      <c r="S939" t="s">
        <v>24</v>
      </c>
      <c r="T939" t="s">
        <v>230</v>
      </c>
      <c r="U939">
        <v>1000</v>
      </c>
      <c r="V939">
        <v>1000</v>
      </c>
    </row>
    <row r="940" spans="1:22" x14ac:dyDescent="0.3">
      <c r="A940" t="s">
        <v>1093</v>
      </c>
      <c r="B940" t="s">
        <v>229</v>
      </c>
      <c r="C940">
        <v>5.3</v>
      </c>
      <c r="D940">
        <v>4.34</v>
      </c>
      <c r="E940">
        <v>4.92</v>
      </c>
      <c r="F940">
        <v>1.03</v>
      </c>
      <c r="G940">
        <v>63.673469387755098</v>
      </c>
      <c r="H940">
        <v>27.127659574468087</v>
      </c>
      <c r="I940">
        <v>34.408221119773209</v>
      </c>
      <c r="J940">
        <v>38.077102309778056</v>
      </c>
      <c r="K940">
        <v>65.134099616858236</v>
      </c>
      <c r="L940">
        <v>19.343636109026217</v>
      </c>
      <c r="M940">
        <v>66.495839456042646</v>
      </c>
      <c r="N940">
        <v>51.946035923114252</v>
      </c>
      <c r="O940">
        <v>5.1221052631578941</v>
      </c>
      <c r="P940">
        <v>-0.20210526315789412</v>
      </c>
      <c r="Q940">
        <v>938</v>
      </c>
      <c r="R940">
        <v>56</v>
      </c>
      <c r="S940" t="s">
        <v>24</v>
      </c>
      <c r="T940" t="s">
        <v>230</v>
      </c>
      <c r="U940">
        <v>1000</v>
      </c>
      <c r="V940">
        <v>1000</v>
      </c>
    </row>
    <row r="941" spans="1:22" x14ac:dyDescent="0.3">
      <c r="A941" t="s">
        <v>1094</v>
      </c>
      <c r="B941" t="s">
        <v>445</v>
      </c>
      <c r="C941">
        <v>5.13</v>
      </c>
      <c r="D941">
        <v>10.43</v>
      </c>
      <c r="E941">
        <v>8.33</v>
      </c>
      <c r="F941">
        <v>1.79</v>
      </c>
      <c r="G941">
        <v>63.308270676691727</v>
      </c>
      <c r="H941">
        <v>37.577213452299254</v>
      </c>
      <c r="I941">
        <v>46.491849751948969</v>
      </c>
      <c r="J941">
        <v>47.180743047002608</v>
      </c>
      <c r="K941">
        <v>36.015325670498079</v>
      </c>
      <c r="L941">
        <v>13.066178087962564</v>
      </c>
      <c r="M941">
        <v>77.368715690905674</v>
      </c>
      <c r="N941">
        <v>51.93638186385224</v>
      </c>
      <c r="O941">
        <v>5.7759259259259252</v>
      </c>
      <c r="P941">
        <v>2.5540740740740748</v>
      </c>
      <c r="Q941">
        <v>940</v>
      </c>
      <c r="R941">
        <v>6</v>
      </c>
      <c r="S941" t="s">
        <v>24</v>
      </c>
      <c r="T941" t="s">
        <v>443</v>
      </c>
      <c r="U941">
        <v>25000</v>
      </c>
      <c r="V941">
        <v>1000</v>
      </c>
    </row>
    <row r="942" spans="1:22" x14ac:dyDescent="0.3">
      <c r="A942" t="s">
        <v>1095</v>
      </c>
      <c r="B942" t="s">
        <v>229</v>
      </c>
      <c r="C942">
        <v>5.31</v>
      </c>
      <c r="D942">
        <v>4.34</v>
      </c>
      <c r="E942">
        <v>4.91</v>
      </c>
      <c r="F942">
        <v>1.03</v>
      </c>
      <c r="G942">
        <v>63.694951664876477</v>
      </c>
      <c r="H942">
        <v>27.127659574468087</v>
      </c>
      <c r="I942">
        <v>34.37278525868178</v>
      </c>
      <c r="J942">
        <v>38.063680834656608</v>
      </c>
      <c r="K942">
        <v>65.134099616858236</v>
      </c>
      <c r="L942">
        <v>19.3625417570364</v>
      </c>
      <c r="M942">
        <v>66.463093913138991</v>
      </c>
      <c r="N942">
        <v>51.931138799827607</v>
      </c>
      <c r="O942">
        <v>5.1221052631578941</v>
      </c>
      <c r="P942">
        <v>-0.21210526315789391</v>
      </c>
      <c r="Q942">
        <v>941</v>
      </c>
      <c r="R942">
        <v>58</v>
      </c>
      <c r="S942" t="s">
        <v>24</v>
      </c>
      <c r="T942" t="s">
        <v>230</v>
      </c>
      <c r="U942">
        <v>5000</v>
      </c>
      <c r="V942">
        <v>1000</v>
      </c>
    </row>
    <row r="943" spans="1:22" x14ac:dyDescent="0.3">
      <c r="A943" t="s">
        <v>1096</v>
      </c>
      <c r="B943" t="s">
        <v>202</v>
      </c>
      <c r="C943">
        <v>3.21</v>
      </c>
      <c r="D943">
        <v>17.22</v>
      </c>
      <c r="E943">
        <v>9.3800000000000008</v>
      </c>
      <c r="F943">
        <v>2.37</v>
      </c>
      <c r="G943">
        <v>59.183673469387756</v>
      </c>
      <c r="H943">
        <v>49.227865477007555</v>
      </c>
      <c r="I943">
        <v>50.212615166548545</v>
      </c>
      <c r="J943">
        <v>51.71140192025409</v>
      </c>
      <c r="K943">
        <v>13.793103448275845</v>
      </c>
      <c r="L943">
        <v>5.4858565390941596</v>
      </c>
      <c r="M943">
        <v>90.498217751254955</v>
      </c>
      <c r="N943">
        <v>51.928531260009748</v>
      </c>
      <c r="O943">
        <v>10.023387096774194</v>
      </c>
      <c r="P943">
        <v>-0.64338709677419281</v>
      </c>
      <c r="Q943">
        <v>942</v>
      </c>
      <c r="R943">
        <v>34</v>
      </c>
      <c r="S943" t="s">
        <v>24</v>
      </c>
      <c r="T943" t="s">
        <v>78</v>
      </c>
      <c r="U943">
        <v>1000</v>
      </c>
      <c r="V943">
        <v>1000</v>
      </c>
    </row>
    <row r="944" spans="1:22" x14ac:dyDescent="0.3">
      <c r="A944" t="s">
        <v>1097</v>
      </c>
      <c r="B944" t="s">
        <v>202</v>
      </c>
      <c r="C944">
        <v>3.2</v>
      </c>
      <c r="D944">
        <v>17.21</v>
      </c>
      <c r="E944">
        <v>9.3800000000000008</v>
      </c>
      <c r="F944">
        <v>2.37</v>
      </c>
      <c r="G944">
        <v>59.162191192266377</v>
      </c>
      <c r="H944">
        <v>49.210706932052169</v>
      </c>
      <c r="I944">
        <v>50.212615166548545</v>
      </c>
      <c r="J944">
        <v>51.701957901343199</v>
      </c>
      <c r="K944">
        <v>13.793103448275845</v>
      </c>
      <c r="L944">
        <v>5.4792148180152322</v>
      </c>
      <c r="M944">
        <v>90.50972154961336</v>
      </c>
      <c r="N944">
        <v>51.926685200143901</v>
      </c>
      <c r="O944">
        <v>10.023387096774194</v>
      </c>
      <c r="P944">
        <v>-0.64338709677419281</v>
      </c>
      <c r="Q944">
        <v>943</v>
      </c>
      <c r="R944">
        <v>35</v>
      </c>
      <c r="S944" t="s">
        <v>24</v>
      </c>
      <c r="T944" t="s">
        <v>78</v>
      </c>
      <c r="U944">
        <v>1000</v>
      </c>
      <c r="V944">
        <v>1000</v>
      </c>
    </row>
    <row r="945" spans="1:22" x14ac:dyDescent="0.3">
      <c r="A945" t="s">
        <v>1098</v>
      </c>
      <c r="B945" t="s">
        <v>229</v>
      </c>
      <c r="C945">
        <v>5.69</v>
      </c>
      <c r="D945">
        <v>4.3</v>
      </c>
      <c r="E945">
        <v>5.0999999999999996</v>
      </c>
      <c r="F945">
        <v>1.04</v>
      </c>
      <c r="G945">
        <v>64.511278195488714</v>
      </c>
      <c r="H945">
        <v>27.05902539464654</v>
      </c>
      <c r="I945">
        <v>35.046066619418845</v>
      </c>
      <c r="J945">
        <v>38.542996567201129</v>
      </c>
      <c r="K945">
        <v>64.750957854406124</v>
      </c>
      <c r="L945">
        <v>19.725882999276884</v>
      </c>
      <c r="M945">
        <v>65.833768421093282</v>
      </c>
      <c r="N945">
        <v>51.917679852475416</v>
      </c>
      <c r="O945">
        <v>5.1221052631578941</v>
      </c>
      <c r="P945">
        <v>-2.2105263157894406E-2</v>
      </c>
      <c r="Q945">
        <v>944</v>
      </c>
      <c r="R945">
        <v>59</v>
      </c>
      <c r="S945" t="s">
        <v>24</v>
      </c>
      <c r="T945" t="s">
        <v>429</v>
      </c>
      <c r="U945">
        <v>1000</v>
      </c>
      <c r="V945">
        <v>1000</v>
      </c>
    </row>
    <row r="946" spans="1:22" x14ac:dyDescent="0.3">
      <c r="A946" t="s">
        <v>1099</v>
      </c>
      <c r="B946" t="s">
        <v>424</v>
      </c>
      <c r="C946">
        <v>4.51</v>
      </c>
      <c r="D946">
        <v>10.47</v>
      </c>
      <c r="E946">
        <v>8.11</v>
      </c>
      <c r="F946">
        <v>1.79</v>
      </c>
      <c r="G946">
        <v>61.97636949516648</v>
      </c>
      <c r="H946">
        <v>37.645847632120798</v>
      </c>
      <c r="I946">
        <v>45.712260807937625</v>
      </c>
      <c r="J946">
        <v>46.545158592638344</v>
      </c>
      <c r="K946">
        <v>36.015325670498079</v>
      </c>
      <c r="L946">
        <v>12.393294874253096</v>
      </c>
      <c r="M946">
        <v>78.534183604610689</v>
      </c>
      <c r="N946">
        <v>51.909956615096362</v>
      </c>
      <c r="O946">
        <v>7.9378947368421047</v>
      </c>
      <c r="P946">
        <v>0.17210526315789476</v>
      </c>
      <c r="Q946">
        <v>945</v>
      </c>
      <c r="R946">
        <v>6</v>
      </c>
      <c r="S946" t="s">
        <v>24</v>
      </c>
      <c r="T946" t="s">
        <v>112</v>
      </c>
      <c r="U946">
        <v>1000</v>
      </c>
      <c r="V946">
        <v>1000</v>
      </c>
    </row>
    <row r="947" spans="1:22" x14ac:dyDescent="0.3">
      <c r="A947" t="s">
        <v>1100</v>
      </c>
      <c r="B947" t="s">
        <v>138</v>
      </c>
      <c r="C947">
        <v>7</v>
      </c>
      <c r="D947">
        <v>13.33</v>
      </c>
      <c r="E947">
        <v>8.8000000000000007</v>
      </c>
      <c r="F947">
        <v>1.96</v>
      </c>
      <c r="G947">
        <v>67.325456498388832</v>
      </c>
      <c r="H947">
        <v>42.553191489361708</v>
      </c>
      <c r="I947">
        <v>48.157335223245923</v>
      </c>
      <c r="J947">
        <v>50.309716358109242</v>
      </c>
      <c r="K947">
        <v>29.501915708812266</v>
      </c>
      <c r="L947">
        <v>12.990306731598562</v>
      </c>
      <c r="M947">
        <v>77.500128734967291</v>
      </c>
      <c r="N947">
        <v>51.905369289999513</v>
      </c>
      <c r="O947">
        <v>9.219019607843137</v>
      </c>
      <c r="P947">
        <v>-0.4190196078431363</v>
      </c>
      <c r="Q947">
        <v>946</v>
      </c>
      <c r="R947">
        <v>24</v>
      </c>
      <c r="S947" t="s">
        <v>24</v>
      </c>
      <c r="T947" t="s">
        <v>134</v>
      </c>
      <c r="U947">
        <v>5000</v>
      </c>
      <c r="V947">
        <v>1000</v>
      </c>
    </row>
    <row r="948" spans="1:22" x14ac:dyDescent="0.3">
      <c r="A948" t="s">
        <v>1101</v>
      </c>
      <c r="B948" t="s">
        <v>155</v>
      </c>
      <c r="C948">
        <v>4.3099999999999996</v>
      </c>
      <c r="D948">
        <v>3.16</v>
      </c>
      <c r="E948">
        <v>4.59</v>
      </c>
      <c r="F948">
        <v>0.96</v>
      </c>
      <c r="G948">
        <v>61.546723952738994</v>
      </c>
      <c r="H948">
        <v>25.102951269732333</v>
      </c>
      <c r="I948">
        <v>33.238837703756197</v>
      </c>
      <c r="J948">
        <v>36.459649023345598</v>
      </c>
      <c r="K948">
        <v>67.81609195402298</v>
      </c>
      <c r="L948">
        <v>19.129722246299281</v>
      </c>
      <c r="M948">
        <v>66.866349134729006</v>
      </c>
      <c r="N948">
        <v>51.900434783860796</v>
      </c>
      <c r="O948">
        <v>5.2086538461538465</v>
      </c>
      <c r="P948">
        <v>-0.61865384615384666</v>
      </c>
      <c r="Q948">
        <v>947</v>
      </c>
      <c r="R948">
        <v>28</v>
      </c>
      <c r="S948" t="s">
        <v>24</v>
      </c>
      <c r="T948" t="s">
        <v>45</v>
      </c>
      <c r="U948">
        <v>1000</v>
      </c>
      <c r="V948">
        <v>1000</v>
      </c>
    </row>
    <row r="949" spans="1:22" x14ac:dyDescent="0.3">
      <c r="A949" t="s">
        <v>1102</v>
      </c>
      <c r="B949" t="s">
        <v>185</v>
      </c>
      <c r="C949">
        <v>15.76</v>
      </c>
      <c r="D949">
        <v>20.55</v>
      </c>
      <c r="E949">
        <v>10.130000000000001</v>
      </c>
      <c r="F949">
        <v>2.2200000000000002</v>
      </c>
      <c r="G949">
        <v>86.143931256713202</v>
      </c>
      <c r="H949">
        <v>54.941660947151696</v>
      </c>
      <c r="I949">
        <v>52.870304748405381</v>
      </c>
      <c r="J949">
        <v>60.146436909690834</v>
      </c>
      <c r="K949">
        <v>19.540229885057457</v>
      </c>
      <c r="L949">
        <v>18.641380537160657</v>
      </c>
      <c r="M949">
        <v>67.712181786412131</v>
      </c>
      <c r="N949">
        <v>51.886321372712814</v>
      </c>
      <c r="O949">
        <v>9.4014285714285712</v>
      </c>
      <c r="P949">
        <v>0.72857142857142954</v>
      </c>
      <c r="Q949">
        <v>948</v>
      </c>
      <c r="R949">
        <v>13</v>
      </c>
      <c r="S949" t="s">
        <v>24</v>
      </c>
      <c r="T949" t="s">
        <v>666</v>
      </c>
      <c r="U949">
        <v>1000</v>
      </c>
      <c r="V949">
        <v>1000</v>
      </c>
    </row>
    <row r="950" spans="1:22" x14ac:dyDescent="0.3">
      <c r="A950" t="s">
        <v>1103</v>
      </c>
      <c r="B950" t="s">
        <v>976</v>
      </c>
      <c r="C950">
        <v>4.07</v>
      </c>
      <c r="D950">
        <v>2.5299999999999998</v>
      </c>
      <c r="E950">
        <v>5.08</v>
      </c>
      <c r="F950">
        <v>0.99</v>
      </c>
      <c r="G950">
        <v>61.031149301825991</v>
      </c>
      <c r="H950">
        <v>24.021962937542902</v>
      </c>
      <c r="I950">
        <v>34.975194897236001</v>
      </c>
      <c r="J950">
        <v>36.900416190246069</v>
      </c>
      <c r="K950">
        <v>66.666666666666657</v>
      </c>
      <c r="L950">
        <v>19.01125072881473</v>
      </c>
      <c r="M950">
        <v>67.071547822262033</v>
      </c>
      <c r="N950">
        <v>51.884761717355211</v>
      </c>
      <c r="O950">
        <v>4.3111111111111109</v>
      </c>
      <c r="P950">
        <v>0.76888888888888918</v>
      </c>
      <c r="Q950">
        <v>949</v>
      </c>
      <c r="R950">
        <v>3</v>
      </c>
      <c r="S950" t="s">
        <v>24</v>
      </c>
      <c r="T950" t="s">
        <v>977</v>
      </c>
      <c r="U950">
        <v>5000</v>
      </c>
      <c r="V950">
        <v>1000</v>
      </c>
    </row>
    <row r="951" spans="1:22" x14ac:dyDescent="0.3">
      <c r="A951" t="s">
        <v>1104</v>
      </c>
      <c r="B951" t="s">
        <v>383</v>
      </c>
      <c r="C951">
        <v>2.21</v>
      </c>
      <c r="D951">
        <v>8.9600000000000009</v>
      </c>
      <c r="E951">
        <v>6.4</v>
      </c>
      <c r="F951">
        <v>1.58</v>
      </c>
      <c r="G951">
        <v>57.035445757250272</v>
      </c>
      <c r="H951">
        <v>35.054907343857245</v>
      </c>
      <c r="I951">
        <v>39.652728561304038</v>
      </c>
      <c r="J951">
        <v>41.749925635259245</v>
      </c>
      <c r="K951">
        <v>44.061302681992331</v>
      </c>
      <c r="L951">
        <v>11.593409665297603</v>
      </c>
      <c r="M951">
        <v>79.91962542674446</v>
      </c>
      <c r="N951">
        <v>51.870194844813824</v>
      </c>
      <c r="O951">
        <v>6.1480952380952392</v>
      </c>
      <c r="P951">
        <v>0.25190476190476119</v>
      </c>
      <c r="Q951">
        <v>950</v>
      </c>
      <c r="R951">
        <v>15</v>
      </c>
      <c r="S951" t="s">
        <v>24</v>
      </c>
      <c r="T951" t="s">
        <v>384</v>
      </c>
      <c r="U951">
        <v>5000</v>
      </c>
      <c r="V951">
        <v>1000</v>
      </c>
    </row>
    <row r="952" spans="1:22" x14ac:dyDescent="0.3">
      <c r="A952" t="s">
        <v>1105</v>
      </c>
      <c r="B952" t="s">
        <v>185</v>
      </c>
      <c r="C952">
        <v>7.36</v>
      </c>
      <c r="D952">
        <v>23.07</v>
      </c>
      <c r="E952">
        <v>9.7799999999999994</v>
      </c>
      <c r="F952">
        <v>2.54</v>
      </c>
      <c r="G952">
        <v>68.098818474758318</v>
      </c>
      <c r="H952">
        <v>59.265614275909407</v>
      </c>
      <c r="I952">
        <v>51.630049610205518</v>
      </c>
      <c r="J952">
        <v>57.214472782827244</v>
      </c>
      <c r="K952">
        <v>7.2796934865900331</v>
      </c>
      <c r="L952">
        <v>8.2416391178855868</v>
      </c>
      <c r="M952">
        <v>85.725062310175019</v>
      </c>
      <c r="N952">
        <v>51.858425340604882</v>
      </c>
      <c r="O952">
        <v>9.4014285714285712</v>
      </c>
      <c r="P952">
        <v>0.37857142857142811</v>
      </c>
      <c r="Q952">
        <v>951</v>
      </c>
      <c r="R952">
        <v>14</v>
      </c>
      <c r="S952" t="s">
        <v>24</v>
      </c>
      <c r="T952" t="s">
        <v>45</v>
      </c>
      <c r="U952">
        <v>5000</v>
      </c>
      <c r="V952">
        <v>1000</v>
      </c>
    </row>
    <row r="953" spans="1:22" x14ac:dyDescent="0.3">
      <c r="A953" t="s">
        <v>1106</v>
      </c>
      <c r="B953" t="s">
        <v>976</v>
      </c>
      <c r="C953">
        <v>4.2</v>
      </c>
      <c r="D953">
        <v>1.92</v>
      </c>
      <c r="E953">
        <v>4.97</v>
      </c>
      <c r="F953">
        <v>0.94</v>
      </c>
      <c r="G953">
        <v>61.310418904403861</v>
      </c>
      <c r="H953">
        <v>22.975291695264243</v>
      </c>
      <c r="I953">
        <v>34.585400425230326</v>
      </c>
      <c r="J953">
        <v>36.447371502075207</v>
      </c>
      <c r="K953">
        <v>68.582375478927204</v>
      </c>
      <c r="L953">
        <v>19.657921285386536</v>
      </c>
      <c r="M953">
        <v>65.951481562520826</v>
      </c>
      <c r="N953">
        <v>51.857150011399611</v>
      </c>
      <c r="O953">
        <v>4.3111111111111109</v>
      </c>
      <c r="P953">
        <v>0.65888888888888886</v>
      </c>
      <c r="Q953">
        <v>952</v>
      </c>
      <c r="R953">
        <v>4</v>
      </c>
      <c r="S953" t="s">
        <v>24</v>
      </c>
      <c r="T953" t="s">
        <v>977</v>
      </c>
      <c r="U953">
        <v>1000</v>
      </c>
      <c r="V953">
        <v>1000</v>
      </c>
    </row>
    <row r="954" spans="1:22" x14ac:dyDescent="0.3">
      <c r="A954" t="s">
        <v>1107</v>
      </c>
      <c r="B954" t="s">
        <v>383</v>
      </c>
      <c r="C954">
        <v>3.78</v>
      </c>
      <c r="D954">
        <v>7.84</v>
      </c>
      <c r="E954">
        <v>6.25</v>
      </c>
      <c r="F954">
        <v>1.45</v>
      </c>
      <c r="G954">
        <v>60.408163265306115</v>
      </c>
      <c r="H954">
        <v>33.133150308853807</v>
      </c>
      <c r="I954">
        <v>39.121190644932668</v>
      </c>
      <c r="J954">
        <v>41.5821730681837</v>
      </c>
      <c r="K954">
        <v>49.042145593869726</v>
      </c>
      <c r="L954">
        <v>14.334795441987056</v>
      </c>
      <c r="M954">
        <v>75.171405978371666</v>
      </c>
      <c r="N954">
        <v>51.8444744271522</v>
      </c>
      <c r="O954">
        <v>6.1480952380952392</v>
      </c>
      <c r="P954">
        <v>0.10190476190476083</v>
      </c>
      <c r="Q954">
        <v>953</v>
      </c>
      <c r="R954">
        <v>16</v>
      </c>
      <c r="S954" t="s">
        <v>24</v>
      </c>
      <c r="T954" t="s">
        <v>816</v>
      </c>
      <c r="U954">
        <v>1000</v>
      </c>
      <c r="V954">
        <v>1000</v>
      </c>
    </row>
    <row r="955" spans="1:22" x14ac:dyDescent="0.3">
      <c r="A955" t="s">
        <v>1108</v>
      </c>
      <c r="B955" t="s">
        <v>520</v>
      </c>
      <c r="C955">
        <v>4.82</v>
      </c>
      <c r="D955">
        <v>3.93</v>
      </c>
      <c r="E955">
        <v>4.47</v>
      </c>
      <c r="F955">
        <v>0.98</v>
      </c>
      <c r="G955">
        <v>62.642320085929107</v>
      </c>
      <c r="H955">
        <v>26.424159231297189</v>
      </c>
      <c r="I955">
        <v>32.813607370659106</v>
      </c>
      <c r="J955">
        <v>36.86251547190453</v>
      </c>
      <c r="K955">
        <v>67.049808429118769</v>
      </c>
      <c r="L955">
        <v>19.331892153760226</v>
      </c>
      <c r="M955">
        <v>66.516180583245159</v>
      </c>
      <c r="N955">
        <v>51.822754989043247</v>
      </c>
      <c r="O955">
        <v>4.625</v>
      </c>
      <c r="P955">
        <v>-0.15500000000000025</v>
      </c>
      <c r="Q955">
        <v>954</v>
      </c>
      <c r="R955">
        <v>22</v>
      </c>
      <c r="S955" t="s">
        <v>24</v>
      </c>
      <c r="T955" t="s">
        <v>521</v>
      </c>
      <c r="U955">
        <v>5000</v>
      </c>
      <c r="V955">
        <v>1000</v>
      </c>
    </row>
    <row r="956" spans="1:22" x14ac:dyDescent="0.3">
      <c r="A956" t="s">
        <v>1109</v>
      </c>
      <c r="B956" t="s">
        <v>520</v>
      </c>
      <c r="C956">
        <v>4.82</v>
      </c>
      <c r="D956">
        <v>3.93</v>
      </c>
      <c r="E956">
        <v>4.47</v>
      </c>
      <c r="F956">
        <v>0.98</v>
      </c>
      <c r="G956">
        <v>62.642320085929107</v>
      </c>
      <c r="H956">
        <v>26.424159231297189</v>
      </c>
      <c r="I956">
        <v>32.813607370659106</v>
      </c>
      <c r="J956">
        <v>36.86251547190453</v>
      </c>
      <c r="K956">
        <v>67.049808429118769</v>
      </c>
      <c r="L956">
        <v>19.331892153760226</v>
      </c>
      <c r="M956">
        <v>66.516180583245159</v>
      </c>
      <c r="N956">
        <v>51.822754989043247</v>
      </c>
      <c r="O956">
        <v>4.625</v>
      </c>
      <c r="P956">
        <v>-0.15500000000000025</v>
      </c>
      <c r="Q956">
        <v>954</v>
      </c>
      <c r="R956">
        <v>22</v>
      </c>
      <c r="S956" t="s">
        <v>24</v>
      </c>
      <c r="T956" t="s">
        <v>521</v>
      </c>
      <c r="U956">
        <v>5000</v>
      </c>
      <c r="V956">
        <v>1000</v>
      </c>
    </row>
    <row r="957" spans="1:22" x14ac:dyDescent="0.3">
      <c r="A957" t="s">
        <v>1110</v>
      </c>
      <c r="B957" t="s">
        <v>1019</v>
      </c>
      <c r="C957">
        <v>4.92</v>
      </c>
      <c r="D957">
        <v>8.0399999999999991</v>
      </c>
      <c r="E957">
        <v>11.37</v>
      </c>
      <c r="F957">
        <v>1.9</v>
      </c>
      <c r="G957">
        <v>62.857142857142854</v>
      </c>
      <c r="H957">
        <v>33.476321207961568</v>
      </c>
      <c r="I957">
        <v>57.264351523742022</v>
      </c>
      <c r="J957">
        <v>51.246500695688056</v>
      </c>
      <c r="K957">
        <v>31.800766283524908</v>
      </c>
      <c r="L957">
        <v>15.601187892723923</v>
      </c>
      <c r="M957">
        <v>72.977949911373742</v>
      </c>
      <c r="N957">
        <v>51.817929396568687</v>
      </c>
      <c r="O957">
        <v>8.7813636363636363</v>
      </c>
      <c r="P957">
        <v>2.588636363636363</v>
      </c>
      <c r="Q957">
        <v>956</v>
      </c>
      <c r="R957">
        <v>3</v>
      </c>
      <c r="S957" t="s">
        <v>24</v>
      </c>
      <c r="T957" t="s">
        <v>1020</v>
      </c>
      <c r="U957">
        <v>5000</v>
      </c>
      <c r="V957">
        <v>1000</v>
      </c>
    </row>
    <row r="958" spans="1:22" x14ac:dyDescent="0.3">
      <c r="A958" t="s">
        <v>1111</v>
      </c>
      <c r="B958" t="s">
        <v>844</v>
      </c>
      <c r="C958">
        <v>4.3099999999999996</v>
      </c>
      <c r="D958">
        <v>4.07</v>
      </c>
      <c r="E958">
        <v>4.59</v>
      </c>
      <c r="F958">
        <v>1.02</v>
      </c>
      <c r="G958">
        <v>61.546723952738994</v>
      </c>
      <c r="H958">
        <v>26.66437886067262</v>
      </c>
      <c r="I958">
        <v>33.238837703756197</v>
      </c>
      <c r="J958">
        <v>36.928077300627677</v>
      </c>
      <c r="K958">
        <v>65.517241379310349</v>
      </c>
      <c r="L958">
        <v>18.535272374973598</v>
      </c>
      <c r="M958">
        <v>67.895966514417879</v>
      </c>
      <c r="N958">
        <v>51.817340623745892</v>
      </c>
      <c r="O958">
        <v>4.4820000000000002</v>
      </c>
      <c r="P958">
        <v>0.10799999999999965</v>
      </c>
      <c r="Q958">
        <v>957</v>
      </c>
      <c r="R958">
        <v>16</v>
      </c>
      <c r="S958" t="s">
        <v>24</v>
      </c>
      <c r="T958" t="s">
        <v>845</v>
      </c>
      <c r="U958">
        <v>5000</v>
      </c>
      <c r="V958">
        <v>1000</v>
      </c>
    </row>
    <row r="959" spans="1:22" x14ac:dyDescent="0.3">
      <c r="A959" t="s">
        <v>1112</v>
      </c>
      <c r="B959" t="s">
        <v>844</v>
      </c>
      <c r="C959">
        <v>3.9</v>
      </c>
      <c r="D959">
        <v>3.96</v>
      </c>
      <c r="E959">
        <v>4.53</v>
      </c>
      <c r="F959">
        <v>1.02</v>
      </c>
      <c r="G959">
        <v>60.66595059076262</v>
      </c>
      <c r="H959">
        <v>26.475634866163354</v>
      </c>
      <c r="I959">
        <v>33.026222537207651</v>
      </c>
      <c r="J959">
        <v>36.588991846605353</v>
      </c>
      <c r="K959">
        <v>65.517241379310349</v>
      </c>
      <c r="L959">
        <v>18.146819992578546</v>
      </c>
      <c r="M959">
        <v>68.568785777047282</v>
      </c>
      <c r="N959">
        <v>51.816002712392084</v>
      </c>
      <c r="O959">
        <v>4.4820000000000002</v>
      </c>
      <c r="P959">
        <v>4.8000000000000043E-2</v>
      </c>
      <c r="Q959">
        <v>958</v>
      </c>
      <c r="R959">
        <v>17</v>
      </c>
      <c r="S959" t="s">
        <v>24</v>
      </c>
      <c r="T959" t="s">
        <v>845</v>
      </c>
      <c r="U959">
        <v>5000</v>
      </c>
      <c r="V959">
        <v>1000</v>
      </c>
    </row>
    <row r="960" spans="1:22" x14ac:dyDescent="0.3">
      <c r="A960" t="s">
        <v>1113</v>
      </c>
      <c r="B960" t="s">
        <v>1019</v>
      </c>
      <c r="C960">
        <v>4.92</v>
      </c>
      <c r="D960">
        <v>8.0399999999999991</v>
      </c>
      <c r="E960">
        <v>11.36</v>
      </c>
      <c r="F960">
        <v>1.9</v>
      </c>
      <c r="G960">
        <v>62.857142857142854</v>
      </c>
      <c r="H960">
        <v>33.476321207961568</v>
      </c>
      <c r="I960">
        <v>57.228915662650607</v>
      </c>
      <c r="J960">
        <v>51.228782765142341</v>
      </c>
      <c r="K960">
        <v>31.800766283524908</v>
      </c>
      <c r="L960">
        <v>15.594311812659695</v>
      </c>
      <c r="M960">
        <v>72.989859631401885</v>
      </c>
      <c r="N960">
        <v>51.812047861302872</v>
      </c>
      <c r="O960">
        <v>8.7813636363636363</v>
      </c>
      <c r="P960">
        <v>2.5786363636363632</v>
      </c>
      <c r="Q960">
        <v>959</v>
      </c>
      <c r="R960">
        <v>4</v>
      </c>
      <c r="S960" t="s">
        <v>24</v>
      </c>
      <c r="T960" t="s">
        <v>1020</v>
      </c>
      <c r="U960">
        <v>5000</v>
      </c>
      <c r="V960">
        <v>1000</v>
      </c>
    </row>
    <row r="961" spans="1:22" x14ac:dyDescent="0.3">
      <c r="A961" t="s">
        <v>1114</v>
      </c>
      <c r="B961" t="s">
        <v>138</v>
      </c>
      <c r="C961">
        <v>6.62</v>
      </c>
      <c r="D961">
        <v>13.42</v>
      </c>
      <c r="E961">
        <v>8.57</v>
      </c>
      <c r="F961">
        <v>1.96</v>
      </c>
      <c r="G961">
        <v>66.509129967776587</v>
      </c>
      <c r="H961">
        <v>42.707618393960203</v>
      </c>
      <c r="I961">
        <v>47.342310418143157</v>
      </c>
      <c r="J961">
        <v>49.78526672081496</v>
      </c>
      <c r="K961">
        <v>29.501915708812266</v>
      </c>
      <c r="L961">
        <v>12.618500274106472</v>
      </c>
      <c r="M961">
        <v>78.144116409925786</v>
      </c>
      <c r="N961">
        <v>51.804141390091999</v>
      </c>
      <c r="O961">
        <v>9.219019607843137</v>
      </c>
      <c r="P961">
        <v>-0.64901960784313673</v>
      </c>
      <c r="Q961">
        <v>960</v>
      </c>
      <c r="R961">
        <v>25</v>
      </c>
      <c r="S961" t="s">
        <v>24</v>
      </c>
      <c r="T961" t="s">
        <v>134</v>
      </c>
      <c r="U961">
        <v>5000</v>
      </c>
      <c r="V961">
        <v>1000</v>
      </c>
    </row>
    <row r="962" spans="1:22" x14ac:dyDescent="0.3">
      <c r="A962" t="s">
        <v>1115</v>
      </c>
      <c r="B962" t="s">
        <v>262</v>
      </c>
      <c r="C962">
        <v>5.29</v>
      </c>
      <c r="D962">
        <v>4.37</v>
      </c>
      <c r="E962">
        <v>3.99</v>
      </c>
      <c r="F962">
        <v>0.93</v>
      </c>
      <c r="G962">
        <v>63.651987110633726</v>
      </c>
      <c r="H962">
        <v>27.179135209334255</v>
      </c>
      <c r="I962">
        <v>31.112686038270731</v>
      </c>
      <c r="J962">
        <v>36.440481004062391</v>
      </c>
      <c r="K962">
        <v>68.965517241379317</v>
      </c>
      <c r="L962">
        <v>20.018940457376171</v>
      </c>
      <c r="M962">
        <v>65.326178014128331</v>
      </c>
      <c r="N962">
        <v>51.793164315908115</v>
      </c>
      <c r="O962">
        <v>4.4728846153846158</v>
      </c>
      <c r="P962">
        <v>-0.48288461538461558</v>
      </c>
      <c r="Q962">
        <v>961</v>
      </c>
      <c r="R962">
        <v>47</v>
      </c>
      <c r="S962" t="s">
        <v>24</v>
      </c>
      <c r="T962" t="s">
        <v>295</v>
      </c>
      <c r="U962">
        <v>1000</v>
      </c>
      <c r="V962">
        <v>1000</v>
      </c>
    </row>
    <row r="963" spans="1:22" x14ac:dyDescent="0.3">
      <c r="A963" t="s">
        <v>1116</v>
      </c>
      <c r="B963" t="s">
        <v>844</v>
      </c>
      <c r="C963">
        <v>4.42</v>
      </c>
      <c r="D963">
        <v>4.03</v>
      </c>
      <c r="E963">
        <v>4.8499999999999996</v>
      </c>
      <c r="F963">
        <v>1.05</v>
      </c>
      <c r="G963">
        <v>61.783029001074105</v>
      </c>
      <c r="H963">
        <v>26.59574468085107</v>
      </c>
      <c r="I963">
        <v>34.160170092133235</v>
      </c>
      <c r="J963">
        <v>37.415414250536756</v>
      </c>
      <c r="K963">
        <v>64.367816091954026</v>
      </c>
      <c r="L963">
        <v>18.522004228926917</v>
      </c>
      <c r="M963">
        <v>67.918947617492961</v>
      </c>
      <c r="N963">
        <v>51.779398052630128</v>
      </c>
      <c r="O963">
        <v>4.4820000000000002</v>
      </c>
      <c r="P963">
        <v>0.36799999999999944</v>
      </c>
      <c r="Q963">
        <v>962</v>
      </c>
      <c r="R963">
        <v>18</v>
      </c>
      <c r="S963" t="s">
        <v>24</v>
      </c>
      <c r="T963" t="s">
        <v>845</v>
      </c>
      <c r="U963">
        <v>1000</v>
      </c>
      <c r="V963">
        <v>1000</v>
      </c>
    </row>
    <row r="964" spans="1:22" x14ac:dyDescent="0.3">
      <c r="A964" t="s">
        <v>1117</v>
      </c>
      <c r="B964" t="s">
        <v>199</v>
      </c>
      <c r="C964">
        <v>16.73</v>
      </c>
      <c r="D964">
        <v>20.65</v>
      </c>
      <c r="E964">
        <v>10.029999999999999</v>
      </c>
      <c r="F964">
        <v>2.19</v>
      </c>
      <c r="G964">
        <v>88.227712137486563</v>
      </c>
      <c r="H964">
        <v>55.113246396705563</v>
      </c>
      <c r="I964">
        <v>52.515946137491134</v>
      </c>
      <c r="J964">
        <v>60.437489415254547</v>
      </c>
      <c r="K964">
        <v>20.68965517241379</v>
      </c>
      <c r="L964">
        <v>19.91081800082685</v>
      </c>
      <c r="M964">
        <v>65.513451602310909</v>
      </c>
      <c r="N964">
        <v>51.769521401308445</v>
      </c>
      <c r="O964">
        <v>9.83</v>
      </c>
      <c r="P964">
        <v>0.19999999999999929</v>
      </c>
      <c r="Q964">
        <v>963</v>
      </c>
      <c r="R964">
        <v>15</v>
      </c>
      <c r="S964" t="s">
        <v>24</v>
      </c>
      <c r="T964" t="s">
        <v>78</v>
      </c>
      <c r="U964">
        <v>1000</v>
      </c>
      <c r="V964">
        <v>1000</v>
      </c>
    </row>
    <row r="965" spans="1:22" x14ac:dyDescent="0.3">
      <c r="A965" t="s">
        <v>1118</v>
      </c>
      <c r="B965" t="s">
        <v>976</v>
      </c>
      <c r="C965">
        <v>7.24</v>
      </c>
      <c r="D965">
        <v>4.53</v>
      </c>
      <c r="E965">
        <v>5.69</v>
      </c>
      <c r="F965">
        <v>1.0900000000000001</v>
      </c>
      <c r="G965">
        <v>67.841031149301827</v>
      </c>
      <c r="H965">
        <v>27.453671928620459</v>
      </c>
      <c r="I965">
        <v>37.136782423812896</v>
      </c>
      <c r="J965">
        <v>40.372699020352954</v>
      </c>
      <c r="K965">
        <v>62.835249042145591</v>
      </c>
      <c r="L965">
        <v>21.0857467794367</v>
      </c>
      <c r="M965">
        <v>63.478415262483807</v>
      </c>
      <c r="N965">
        <v>51.764765586333823</v>
      </c>
      <c r="O965">
        <v>4.3111111111111109</v>
      </c>
      <c r="P965">
        <v>1.3788888888888895</v>
      </c>
      <c r="Q965">
        <v>964</v>
      </c>
      <c r="R965">
        <v>5</v>
      </c>
      <c r="S965" t="s">
        <v>24</v>
      </c>
      <c r="T965" t="s">
        <v>1119</v>
      </c>
      <c r="U965">
        <v>5000</v>
      </c>
      <c r="V965">
        <v>5000</v>
      </c>
    </row>
    <row r="966" spans="1:22" x14ac:dyDescent="0.3">
      <c r="A966" t="s">
        <v>1120</v>
      </c>
      <c r="B966" t="s">
        <v>976</v>
      </c>
      <c r="C966">
        <v>7.24</v>
      </c>
      <c r="D966">
        <v>4.53</v>
      </c>
      <c r="E966">
        <v>5.69</v>
      </c>
      <c r="F966">
        <v>1.0900000000000001</v>
      </c>
      <c r="G966">
        <v>67.841031149301827</v>
      </c>
      <c r="H966">
        <v>27.453671928620459</v>
      </c>
      <c r="I966">
        <v>37.136782423812896</v>
      </c>
      <c r="J966">
        <v>40.372699020352954</v>
      </c>
      <c r="K966">
        <v>62.835249042145591</v>
      </c>
      <c r="L966">
        <v>21.0857467794367</v>
      </c>
      <c r="M966">
        <v>63.478415262483807</v>
      </c>
      <c r="N966">
        <v>51.764765586333823</v>
      </c>
      <c r="O966">
        <v>4.3111111111111109</v>
      </c>
      <c r="P966">
        <v>1.3788888888888895</v>
      </c>
      <c r="Q966">
        <v>964</v>
      </c>
      <c r="R966">
        <v>5</v>
      </c>
      <c r="S966" t="s">
        <v>24</v>
      </c>
      <c r="T966" t="s">
        <v>1119</v>
      </c>
      <c r="U966">
        <v>5000</v>
      </c>
      <c r="V966">
        <v>5000</v>
      </c>
    </row>
    <row r="967" spans="1:22" x14ac:dyDescent="0.3">
      <c r="A967" t="s">
        <v>1121</v>
      </c>
      <c r="B967" t="s">
        <v>844</v>
      </c>
      <c r="C967">
        <v>5.4</v>
      </c>
      <c r="D967">
        <v>4.34</v>
      </c>
      <c r="E967">
        <v>4.9400000000000004</v>
      </c>
      <c r="F967">
        <v>1.05</v>
      </c>
      <c r="G967">
        <v>63.888292158968852</v>
      </c>
      <c r="H967">
        <v>27.127659574468087</v>
      </c>
      <c r="I967">
        <v>34.47909284195606</v>
      </c>
      <c r="J967">
        <v>38.155502725112228</v>
      </c>
      <c r="K967">
        <v>64.367816091954026</v>
      </c>
      <c r="L967">
        <v>19.452029386702279</v>
      </c>
      <c r="M967">
        <v>66.308096791908781</v>
      </c>
      <c r="N967">
        <v>51.746729583521812</v>
      </c>
      <c r="O967">
        <v>4.4820000000000002</v>
      </c>
      <c r="P967">
        <v>0.45800000000000018</v>
      </c>
      <c r="Q967">
        <v>966</v>
      </c>
      <c r="R967">
        <v>19</v>
      </c>
      <c r="S967" t="s">
        <v>24</v>
      </c>
      <c r="T967" t="s">
        <v>845</v>
      </c>
      <c r="U967">
        <v>1000</v>
      </c>
      <c r="V967">
        <v>1000</v>
      </c>
    </row>
    <row r="968" spans="1:22" x14ac:dyDescent="0.3">
      <c r="A968" t="s">
        <v>1122</v>
      </c>
      <c r="B968" t="s">
        <v>494</v>
      </c>
      <c r="C968">
        <v>5.35</v>
      </c>
      <c r="D968">
        <v>11.88</v>
      </c>
      <c r="E968">
        <v>6.75</v>
      </c>
      <c r="F968">
        <v>1.69</v>
      </c>
      <c r="G968">
        <v>63.780880773361972</v>
      </c>
      <c r="H968">
        <v>40.065202470830478</v>
      </c>
      <c r="I968">
        <v>40.892983699503894</v>
      </c>
      <c r="J968">
        <v>45.22222874567349</v>
      </c>
      <c r="K968">
        <v>39.846743295019159</v>
      </c>
      <c r="L968">
        <v>13.459658561637863</v>
      </c>
      <c r="M968">
        <v>76.687187518713785</v>
      </c>
      <c r="N968">
        <v>51.744597076269983</v>
      </c>
      <c r="O968">
        <v>7.1099999999999994</v>
      </c>
      <c r="P968">
        <v>-0.35999999999999943</v>
      </c>
      <c r="Q968">
        <v>967</v>
      </c>
      <c r="R968">
        <v>2</v>
      </c>
      <c r="S968" t="s">
        <v>24</v>
      </c>
      <c r="T968" t="s">
        <v>1123</v>
      </c>
      <c r="U968">
        <v>1000</v>
      </c>
      <c r="V968">
        <v>1000</v>
      </c>
    </row>
    <row r="969" spans="1:22" x14ac:dyDescent="0.3">
      <c r="A969" t="s">
        <v>1124</v>
      </c>
      <c r="B969" t="s">
        <v>262</v>
      </c>
      <c r="C969">
        <v>5.3</v>
      </c>
      <c r="D969">
        <v>4.37</v>
      </c>
      <c r="E969">
        <v>3.95</v>
      </c>
      <c r="F969">
        <v>0.93</v>
      </c>
      <c r="G969">
        <v>63.673469387755098</v>
      </c>
      <c r="H969">
        <v>27.179135209334255</v>
      </c>
      <c r="I969">
        <v>30.970942593905026</v>
      </c>
      <c r="J969">
        <v>36.373905737303808</v>
      </c>
      <c r="K969">
        <v>68.965517241379317</v>
      </c>
      <c r="L969">
        <v>20.065183316175737</v>
      </c>
      <c r="M969">
        <v>65.24608303320025</v>
      </c>
      <c r="N969">
        <v>51.739852937296796</v>
      </c>
      <c r="O969">
        <v>4.4728846153846158</v>
      </c>
      <c r="P969">
        <v>-0.52288461538461561</v>
      </c>
      <c r="Q969">
        <v>968</v>
      </c>
      <c r="R969">
        <v>48</v>
      </c>
      <c r="S969" t="s">
        <v>24</v>
      </c>
      <c r="T969" t="s">
        <v>295</v>
      </c>
      <c r="U969">
        <v>1000</v>
      </c>
      <c r="V969">
        <v>1000</v>
      </c>
    </row>
    <row r="970" spans="1:22" x14ac:dyDescent="0.3">
      <c r="A970" t="s">
        <v>1125</v>
      </c>
      <c r="B970" t="s">
        <v>123</v>
      </c>
      <c r="C970">
        <v>5.99</v>
      </c>
      <c r="D970">
        <v>13.22</v>
      </c>
      <c r="E970">
        <v>9.86</v>
      </c>
      <c r="F970">
        <v>2.12</v>
      </c>
      <c r="G970">
        <v>65.155746509129969</v>
      </c>
      <c r="H970">
        <v>42.364447494852442</v>
      </c>
      <c r="I970">
        <v>51.913536498936921</v>
      </c>
      <c r="J970">
        <v>51.697251799750191</v>
      </c>
      <c r="K970">
        <v>23.371647509578541</v>
      </c>
      <c r="L970">
        <v>11.445410561444792</v>
      </c>
      <c r="M970">
        <v>80.175967394092197</v>
      </c>
      <c r="N970">
        <v>51.735529625792779</v>
      </c>
      <c r="O970">
        <v>10.563571428571427</v>
      </c>
      <c r="P970">
        <v>-0.7035714285714274</v>
      </c>
      <c r="Q970">
        <v>969</v>
      </c>
      <c r="R970">
        <v>6</v>
      </c>
      <c r="S970" t="s">
        <v>24</v>
      </c>
      <c r="T970" t="s">
        <v>45</v>
      </c>
      <c r="U970">
        <v>1000</v>
      </c>
      <c r="V970">
        <v>1000</v>
      </c>
    </row>
    <row r="971" spans="1:22" x14ac:dyDescent="0.3">
      <c r="A971" t="s">
        <v>1126</v>
      </c>
      <c r="B971" t="s">
        <v>138</v>
      </c>
      <c r="C971">
        <v>2.85</v>
      </c>
      <c r="D971">
        <v>13.09</v>
      </c>
      <c r="E971">
        <v>8.49</v>
      </c>
      <c r="F971">
        <v>2.06</v>
      </c>
      <c r="G971">
        <v>58.410311493018256</v>
      </c>
      <c r="H971">
        <v>42.141386410432403</v>
      </c>
      <c r="I971">
        <v>47.058823529411761</v>
      </c>
      <c r="J971">
        <v>47.853889986439256</v>
      </c>
      <c r="K971">
        <v>25.670498084291182</v>
      </c>
      <c r="L971">
        <v>8.3438139775306013</v>
      </c>
      <c r="M971">
        <v>85.548090262013631</v>
      </c>
      <c r="N971">
        <v>51.731592079795831</v>
      </c>
      <c r="O971">
        <v>9.219019607843137</v>
      </c>
      <c r="P971">
        <v>-0.7290196078431368</v>
      </c>
      <c r="Q971">
        <v>970</v>
      </c>
      <c r="R971">
        <v>26</v>
      </c>
      <c r="S971" t="s">
        <v>24</v>
      </c>
      <c r="T971" t="s">
        <v>134</v>
      </c>
      <c r="U971">
        <v>1000</v>
      </c>
      <c r="V971">
        <v>1000</v>
      </c>
    </row>
    <row r="972" spans="1:22" x14ac:dyDescent="0.3">
      <c r="A972" t="s">
        <v>1127</v>
      </c>
      <c r="B972" t="s">
        <v>976</v>
      </c>
      <c r="C972">
        <v>4.2</v>
      </c>
      <c r="D972">
        <v>1.92</v>
      </c>
      <c r="E972">
        <v>4.84</v>
      </c>
      <c r="F972">
        <v>0.94</v>
      </c>
      <c r="G972">
        <v>61.310418904403861</v>
      </c>
      <c r="H972">
        <v>22.975291695264243</v>
      </c>
      <c r="I972">
        <v>34.124734231041806</v>
      </c>
      <c r="J972">
        <v>36.217038404980947</v>
      </c>
      <c r="K972">
        <v>68.582375478927204</v>
      </c>
      <c r="L972">
        <v>19.718660781769618</v>
      </c>
      <c r="M972">
        <v>65.846277668759186</v>
      </c>
      <c r="N972">
        <v>51.715682489412075</v>
      </c>
      <c r="O972">
        <v>4.3111111111111109</v>
      </c>
      <c r="P972">
        <v>0.52888888888888896</v>
      </c>
      <c r="Q972">
        <v>971</v>
      </c>
      <c r="R972">
        <v>7</v>
      </c>
      <c r="S972" t="s">
        <v>24</v>
      </c>
      <c r="T972" t="s">
        <v>977</v>
      </c>
      <c r="U972">
        <v>1000</v>
      </c>
      <c r="V972">
        <v>1000</v>
      </c>
    </row>
    <row r="973" spans="1:22" x14ac:dyDescent="0.3">
      <c r="A973" t="s">
        <v>1128</v>
      </c>
      <c r="B973" t="s">
        <v>148</v>
      </c>
      <c r="C973">
        <v>-0.03</v>
      </c>
      <c r="D973">
        <v>10.61</v>
      </c>
      <c r="E973">
        <v>7.6</v>
      </c>
      <c r="F973">
        <v>1.9</v>
      </c>
      <c r="G973">
        <v>52.223415682062289</v>
      </c>
      <c r="H973">
        <v>37.886067261496223</v>
      </c>
      <c r="I973">
        <v>43.905031892274977</v>
      </c>
      <c r="J973">
        <v>43.76301926099881</v>
      </c>
      <c r="K973">
        <v>31.800766283524908</v>
      </c>
      <c r="L973">
        <v>7.1993402919233995</v>
      </c>
      <c r="M973">
        <v>87.530376833410912</v>
      </c>
      <c r="N973">
        <v>51.71429540973336</v>
      </c>
      <c r="O973">
        <v>10.461</v>
      </c>
      <c r="P973">
        <v>-2.8610000000000007</v>
      </c>
      <c r="Q973">
        <v>972</v>
      </c>
      <c r="R973">
        <v>29</v>
      </c>
      <c r="S973" t="s">
        <v>24</v>
      </c>
      <c r="T973" t="s">
        <v>107</v>
      </c>
      <c r="U973">
        <v>1000</v>
      </c>
      <c r="V973">
        <v>1000</v>
      </c>
    </row>
    <row r="974" spans="1:22" x14ac:dyDescent="0.3">
      <c r="A974" t="s">
        <v>1129</v>
      </c>
      <c r="B974" t="s">
        <v>126</v>
      </c>
      <c r="C974">
        <v>4.16</v>
      </c>
      <c r="D974">
        <v>13.46</v>
      </c>
      <c r="E974">
        <v>6.89</v>
      </c>
      <c r="F974">
        <v>1.83</v>
      </c>
      <c r="G974">
        <v>61.224489795918366</v>
      </c>
      <c r="H974">
        <v>42.776252573781747</v>
      </c>
      <c r="I974">
        <v>41.389085754783835</v>
      </c>
      <c r="J974">
        <v>45.772316608710113</v>
      </c>
      <c r="K974">
        <v>34.482758620689658</v>
      </c>
      <c r="L974">
        <v>11.073278209748999</v>
      </c>
      <c r="M974">
        <v>80.820519534369396</v>
      </c>
      <c r="N974">
        <v>51.711977843119818</v>
      </c>
      <c r="O974">
        <v>11.362272727272726</v>
      </c>
      <c r="P974">
        <v>-4.4722727272727267</v>
      </c>
      <c r="Q974">
        <v>973</v>
      </c>
      <c r="R974">
        <v>38</v>
      </c>
      <c r="S974" t="s">
        <v>24</v>
      </c>
      <c r="T974" t="s">
        <v>127</v>
      </c>
      <c r="U974">
        <v>5000</v>
      </c>
      <c r="V974">
        <v>1000</v>
      </c>
    </row>
    <row r="975" spans="1:22" x14ac:dyDescent="0.3">
      <c r="A975" t="s">
        <v>1130</v>
      </c>
      <c r="B975" t="s">
        <v>844</v>
      </c>
      <c r="C975">
        <v>4.6399999999999997</v>
      </c>
      <c r="D975">
        <v>4.26</v>
      </c>
      <c r="E975">
        <v>4.99</v>
      </c>
      <c r="F975">
        <v>1.08</v>
      </c>
      <c r="G975">
        <v>62.25563909774435</v>
      </c>
      <c r="H975">
        <v>26.990391214824989</v>
      </c>
      <c r="I975">
        <v>34.656272147413183</v>
      </c>
      <c r="J975">
        <v>37.87638125770296</v>
      </c>
      <c r="K975">
        <v>63.218390804597703</v>
      </c>
      <c r="L975">
        <v>18.547814313171784</v>
      </c>
      <c r="M975">
        <v>67.874243240233227</v>
      </c>
      <c r="N975">
        <v>51.711349140059212</v>
      </c>
      <c r="O975">
        <v>4.4820000000000002</v>
      </c>
      <c r="P975">
        <v>0.50800000000000001</v>
      </c>
      <c r="Q975">
        <v>974</v>
      </c>
      <c r="R975">
        <v>20</v>
      </c>
      <c r="S975" t="s">
        <v>24</v>
      </c>
      <c r="T975" t="s">
        <v>845</v>
      </c>
      <c r="U975">
        <v>5000</v>
      </c>
      <c r="V975">
        <v>1000</v>
      </c>
    </row>
    <row r="976" spans="1:22" x14ac:dyDescent="0.3">
      <c r="A976" t="s">
        <v>1131</v>
      </c>
      <c r="B976" t="s">
        <v>844</v>
      </c>
      <c r="C976">
        <v>4.47</v>
      </c>
      <c r="D976">
        <v>4.04</v>
      </c>
      <c r="E976">
        <v>4.8</v>
      </c>
      <c r="F976">
        <v>1.05</v>
      </c>
      <c r="G976">
        <v>61.890440386680993</v>
      </c>
      <c r="H976">
        <v>26.612903225806456</v>
      </c>
      <c r="I976">
        <v>33.982990786676112</v>
      </c>
      <c r="J976">
        <v>37.353454438416193</v>
      </c>
      <c r="K976">
        <v>64.367816091954026</v>
      </c>
      <c r="L976">
        <v>18.608459375458704</v>
      </c>
      <c r="M976">
        <v>67.769202911124097</v>
      </c>
      <c r="N976">
        <v>51.710981969977631</v>
      </c>
      <c r="O976">
        <v>4.4820000000000002</v>
      </c>
      <c r="P976">
        <v>0.31799999999999962</v>
      </c>
      <c r="Q976">
        <v>975</v>
      </c>
      <c r="R976">
        <v>21</v>
      </c>
      <c r="S976" t="s">
        <v>24</v>
      </c>
      <c r="T976" t="s">
        <v>845</v>
      </c>
      <c r="U976">
        <v>1000</v>
      </c>
      <c r="V976">
        <v>1000</v>
      </c>
    </row>
    <row r="977" spans="1:22" x14ac:dyDescent="0.3">
      <c r="A977" t="s">
        <v>1132</v>
      </c>
      <c r="B977" t="s">
        <v>844</v>
      </c>
      <c r="C977">
        <v>4.54</v>
      </c>
      <c r="D977">
        <v>3.68</v>
      </c>
      <c r="E977">
        <v>4.49</v>
      </c>
      <c r="F977">
        <v>0.99</v>
      </c>
      <c r="G977">
        <v>62.04081632653061</v>
      </c>
      <c r="H977">
        <v>25.995195607412498</v>
      </c>
      <c r="I977">
        <v>32.884479092841957</v>
      </c>
      <c r="J977">
        <v>36.64896149395085</v>
      </c>
      <c r="K977">
        <v>66.666666666666657</v>
      </c>
      <c r="L977">
        <v>19.134789437277622</v>
      </c>
      <c r="M977">
        <v>66.857572502502876</v>
      </c>
      <c r="N977">
        <v>51.705540539267808</v>
      </c>
      <c r="O977">
        <v>4.4820000000000002</v>
      </c>
      <c r="P977">
        <v>8.0000000000000071E-3</v>
      </c>
      <c r="Q977">
        <v>976</v>
      </c>
      <c r="R977">
        <v>22</v>
      </c>
      <c r="S977" t="s">
        <v>24</v>
      </c>
      <c r="T977" t="s">
        <v>845</v>
      </c>
      <c r="U977">
        <v>1000</v>
      </c>
      <c r="V977">
        <v>1000</v>
      </c>
    </row>
    <row r="978" spans="1:22" x14ac:dyDescent="0.3">
      <c r="A978" t="s">
        <v>1133</v>
      </c>
      <c r="B978" t="s">
        <v>262</v>
      </c>
      <c r="C978">
        <v>5.3</v>
      </c>
      <c r="D978">
        <v>4.37</v>
      </c>
      <c r="E978">
        <v>3.92</v>
      </c>
      <c r="F978">
        <v>0.93</v>
      </c>
      <c r="G978">
        <v>63.673469387755098</v>
      </c>
      <c r="H978">
        <v>27.179135209334255</v>
      </c>
      <c r="I978">
        <v>30.86463501063076</v>
      </c>
      <c r="J978">
        <v>36.320751945666679</v>
      </c>
      <c r="K978">
        <v>68.965517241379317</v>
      </c>
      <c r="L978">
        <v>20.09078955266645</v>
      </c>
      <c r="M978">
        <v>65.201731730607719</v>
      </c>
      <c r="N978">
        <v>51.702188215830098</v>
      </c>
      <c r="O978">
        <v>4.4728846153846158</v>
      </c>
      <c r="P978">
        <v>-0.55288461538461586</v>
      </c>
      <c r="Q978">
        <v>977</v>
      </c>
      <c r="R978">
        <v>49</v>
      </c>
      <c r="S978" t="s">
        <v>24</v>
      </c>
      <c r="T978" t="s">
        <v>295</v>
      </c>
      <c r="U978">
        <v>1000</v>
      </c>
      <c r="V978">
        <v>1000</v>
      </c>
    </row>
    <row r="979" spans="1:22" x14ac:dyDescent="0.3">
      <c r="A979" t="s">
        <v>1134</v>
      </c>
      <c r="B979" t="s">
        <v>262</v>
      </c>
      <c r="C979">
        <v>5.33</v>
      </c>
      <c r="D979">
        <v>4.3600000000000003</v>
      </c>
      <c r="E979">
        <v>3.93</v>
      </c>
      <c r="F979">
        <v>0.93</v>
      </c>
      <c r="G979">
        <v>63.737916219119214</v>
      </c>
      <c r="H979">
        <v>27.161976664378862</v>
      </c>
      <c r="I979">
        <v>30.900070871722185</v>
      </c>
      <c r="J979">
        <v>36.3462116789986</v>
      </c>
      <c r="K979">
        <v>68.965517241379317</v>
      </c>
      <c r="L979">
        <v>20.125012586640199</v>
      </c>
      <c r="M979">
        <v>65.142455696976015</v>
      </c>
      <c r="N979">
        <v>51.700099074088129</v>
      </c>
      <c r="O979">
        <v>4.4728846153846158</v>
      </c>
      <c r="P979">
        <v>-0.54288461538461563</v>
      </c>
      <c r="Q979">
        <v>978</v>
      </c>
      <c r="R979">
        <v>50</v>
      </c>
      <c r="S979" t="s">
        <v>24</v>
      </c>
      <c r="T979" t="s">
        <v>295</v>
      </c>
      <c r="U979">
        <v>1000</v>
      </c>
      <c r="V979">
        <v>1000</v>
      </c>
    </row>
    <row r="980" spans="1:22" x14ac:dyDescent="0.3">
      <c r="A980" t="s">
        <v>1135</v>
      </c>
      <c r="B980" t="s">
        <v>383</v>
      </c>
      <c r="C980">
        <v>2.2200000000000002</v>
      </c>
      <c r="D980">
        <v>8.9600000000000009</v>
      </c>
      <c r="E980">
        <v>6.24</v>
      </c>
      <c r="F980">
        <v>1.58</v>
      </c>
      <c r="G980">
        <v>57.056928034371637</v>
      </c>
      <c r="H980">
        <v>35.054907343857245</v>
      </c>
      <c r="I980">
        <v>39.085754783841239</v>
      </c>
      <c r="J980">
        <v>41.470735201952124</v>
      </c>
      <c r="K980">
        <v>44.061302681992331</v>
      </c>
      <c r="L980">
        <v>11.713949757666626</v>
      </c>
      <c r="M980">
        <v>79.710843862412261</v>
      </c>
      <c r="N980">
        <v>51.67840423707721</v>
      </c>
      <c r="O980">
        <v>6.1480952380952392</v>
      </c>
      <c r="P980">
        <v>9.1904761904761045E-2</v>
      </c>
      <c r="Q980">
        <v>979</v>
      </c>
      <c r="R980">
        <v>17</v>
      </c>
      <c r="S980" t="s">
        <v>24</v>
      </c>
      <c r="T980" t="s">
        <v>384</v>
      </c>
      <c r="U980">
        <v>5000</v>
      </c>
      <c r="V980">
        <v>1000</v>
      </c>
    </row>
    <row r="981" spans="1:22" x14ac:dyDescent="0.3">
      <c r="A981" t="s">
        <v>1136</v>
      </c>
      <c r="B981" t="s">
        <v>976</v>
      </c>
      <c r="C981">
        <v>6.36</v>
      </c>
      <c r="D981">
        <v>3.84</v>
      </c>
      <c r="E981">
        <v>4.45</v>
      </c>
      <c r="F981">
        <v>0.94</v>
      </c>
      <c r="G981">
        <v>65.950590762620848</v>
      </c>
      <c r="H981">
        <v>26.269732326698701</v>
      </c>
      <c r="I981">
        <v>32.742735648476256</v>
      </c>
      <c r="J981">
        <v>37.442405674771905</v>
      </c>
      <c r="K981">
        <v>68.582375478927204</v>
      </c>
      <c r="L981">
        <v>21.288619571253932</v>
      </c>
      <c r="M981">
        <v>63.12702927958302</v>
      </c>
      <c r="N981">
        <v>51.64855402701351</v>
      </c>
      <c r="O981">
        <v>4.3111111111111109</v>
      </c>
      <c r="P981">
        <v>0.13888888888888928</v>
      </c>
      <c r="Q981">
        <v>980</v>
      </c>
      <c r="R981">
        <v>8</v>
      </c>
      <c r="S981" t="s">
        <v>24</v>
      </c>
      <c r="T981" t="s">
        <v>1119</v>
      </c>
      <c r="U981">
        <v>20000</v>
      </c>
      <c r="V981">
        <v>1000</v>
      </c>
    </row>
    <row r="982" spans="1:22" x14ac:dyDescent="0.3">
      <c r="A982" t="s">
        <v>1137</v>
      </c>
      <c r="B982" t="s">
        <v>976</v>
      </c>
      <c r="C982">
        <v>6.36</v>
      </c>
      <c r="D982">
        <v>3.84</v>
      </c>
      <c r="E982">
        <v>4.45</v>
      </c>
      <c r="F982">
        <v>0.94</v>
      </c>
      <c r="G982">
        <v>65.950590762620848</v>
      </c>
      <c r="H982">
        <v>26.269732326698701</v>
      </c>
      <c r="I982">
        <v>32.742735648476256</v>
      </c>
      <c r="J982">
        <v>37.442405674771905</v>
      </c>
      <c r="K982">
        <v>68.582375478927204</v>
      </c>
      <c r="L982">
        <v>21.288619571253932</v>
      </c>
      <c r="M982">
        <v>63.12702927958302</v>
      </c>
      <c r="N982">
        <v>51.64855402701351</v>
      </c>
      <c r="O982">
        <v>4.3111111111111109</v>
      </c>
      <c r="P982">
        <v>0.13888888888888928</v>
      </c>
      <c r="Q982">
        <v>980</v>
      </c>
      <c r="R982">
        <v>8</v>
      </c>
      <c r="S982" t="s">
        <v>24</v>
      </c>
      <c r="T982" t="s">
        <v>1119</v>
      </c>
      <c r="U982">
        <v>1000</v>
      </c>
      <c r="V982">
        <v>1000</v>
      </c>
    </row>
    <row r="983" spans="1:22" x14ac:dyDescent="0.3">
      <c r="A983" t="s">
        <v>1138</v>
      </c>
      <c r="B983" t="s">
        <v>445</v>
      </c>
      <c r="C983">
        <v>2.77</v>
      </c>
      <c r="D983">
        <v>6.21</v>
      </c>
      <c r="E983">
        <v>4.62</v>
      </c>
      <c r="F983">
        <v>1.21</v>
      </c>
      <c r="G983">
        <v>58.238453276047252</v>
      </c>
      <c r="H983">
        <v>30.336307481125601</v>
      </c>
      <c r="I983">
        <v>33.345145287030476</v>
      </c>
      <c r="J983">
        <v>37.421155543062369</v>
      </c>
      <c r="K983">
        <v>58.237547892720308</v>
      </c>
      <c r="L983">
        <v>15.314805622552276</v>
      </c>
      <c r="M983">
        <v>73.473978553697947</v>
      </c>
      <c r="N983">
        <v>51.638459383135746</v>
      </c>
      <c r="O983">
        <v>5.7759259259259252</v>
      </c>
      <c r="P983">
        <v>-1.1559259259259251</v>
      </c>
      <c r="Q983">
        <v>982</v>
      </c>
      <c r="R983">
        <v>7</v>
      </c>
      <c r="S983" t="s">
        <v>24</v>
      </c>
      <c r="T983" t="s">
        <v>612</v>
      </c>
      <c r="U983">
        <v>1000</v>
      </c>
      <c r="V983">
        <v>1000</v>
      </c>
    </row>
    <row r="984" spans="1:22" x14ac:dyDescent="0.3">
      <c r="A984" t="s">
        <v>1139</v>
      </c>
      <c r="B984" t="s">
        <v>358</v>
      </c>
      <c r="C984">
        <v>4.09</v>
      </c>
      <c r="D984">
        <v>3.28</v>
      </c>
      <c r="E984">
        <v>4.46</v>
      </c>
      <c r="F984">
        <v>0.99</v>
      </c>
      <c r="G984">
        <v>61.074113856068735</v>
      </c>
      <c r="H984">
        <v>25.308853809196986</v>
      </c>
      <c r="I984">
        <v>32.778171509567677</v>
      </c>
      <c r="J984">
        <v>36.196564668756679</v>
      </c>
      <c r="K984">
        <v>66.666666666666657</v>
      </c>
      <c r="L984">
        <v>18.866217101854943</v>
      </c>
      <c r="M984">
        <v>67.322753432962372</v>
      </c>
      <c r="N984">
        <v>51.595637359285597</v>
      </c>
      <c r="O984">
        <v>5.0554237288135591</v>
      </c>
      <c r="P984">
        <v>-0.59542372881355909</v>
      </c>
      <c r="Q984">
        <v>983</v>
      </c>
      <c r="R984">
        <v>57</v>
      </c>
      <c r="S984" t="s">
        <v>24</v>
      </c>
      <c r="T984" t="s">
        <v>457</v>
      </c>
      <c r="U984">
        <v>5000</v>
      </c>
      <c r="V984">
        <v>1000</v>
      </c>
    </row>
    <row r="985" spans="1:22" x14ac:dyDescent="0.3">
      <c r="A985" t="s">
        <v>1140</v>
      </c>
      <c r="B985" t="s">
        <v>123</v>
      </c>
      <c r="C985">
        <v>3.85</v>
      </c>
      <c r="D985">
        <v>9.68</v>
      </c>
      <c r="E985">
        <v>7.97</v>
      </c>
      <c r="F985">
        <v>1.78</v>
      </c>
      <c r="G985">
        <v>60.558539205155746</v>
      </c>
      <c r="H985">
        <v>36.29032258064516</v>
      </c>
      <c r="I985">
        <v>45.216158752657684</v>
      </c>
      <c r="J985">
        <v>45.606883991553545</v>
      </c>
      <c r="K985">
        <v>36.398467432950184</v>
      </c>
      <c r="L985">
        <v>12.274672619211845</v>
      </c>
      <c r="M985">
        <v>78.73964337725053</v>
      </c>
      <c r="N985">
        <v>51.587969698326951</v>
      </c>
      <c r="O985">
        <v>10.563571428571427</v>
      </c>
      <c r="P985">
        <v>-2.5935714285714271</v>
      </c>
      <c r="Q985">
        <v>984</v>
      </c>
      <c r="R985">
        <v>7</v>
      </c>
      <c r="S985" t="s">
        <v>24</v>
      </c>
      <c r="T985" t="s">
        <v>45</v>
      </c>
      <c r="U985">
        <v>5000</v>
      </c>
      <c r="V985">
        <v>1000</v>
      </c>
    </row>
    <row r="986" spans="1:22" x14ac:dyDescent="0.3">
      <c r="A986" t="s">
        <v>1141</v>
      </c>
      <c r="B986" t="s">
        <v>395</v>
      </c>
      <c r="C986">
        <v>6.12</v>
      </c>
      <c r="D986">
        <v>4.4400000000000004</v>
      </c>
      <c r="E986">
        <v>4.3099999999999996</v>
      </c>
      <c r="F986">
        <v>0.97</v>
      </c>
      <c r="G986">
        <v>65.435016111707839</v>
      </c>
      <c r="H986">
        <v>27.299245024021968</v>
      </c>
      <c r="I986">
        <v>32.246633593196314</v>
      </c>
      <c r="J986">
        <v>37.400093526146321</v>
      </c>
      <c r="K986">
        <v>67.432950191570868</v>
      </c>
      <c r="L986">
        <v>20.737576298038526</v>
      </c>
      <c r="M986">
        <v>64.081464225961156</v>
      </c>
      <c r="N986">
        <v>51.578650367456163</v>
      </c>
      <c r="O986">
        <v>5.2778260869565221</v>
      </c>
      <c r="P986">
        <v>-0.9678260869565225</v>
      </c>
      <c r="Q986">
        <v>985</v>
      </c>
      <c r="R986">
        <v>19</v>
      </c>
      <c r="S986" t="s">
        <v>24</v>
      </c>
      <c r="T986" t="s">
        <v>230</v>
      </c>
      <c r="U986">
        <v>1000</v>
      </c>
      <c r="V986">
        <v>1000</v>
      </c>
    </row>
    <row r="987" spans="1:22" x14ac:dyDescent="0.3">
      <c r="A987" t="s">
        <v>1142</v>
      </c>
      <c r="B987" t="s">
        <v>123</v>
      </c>
      <c r="C987">
        <v>3.85</v>
      </c>
      <c r="D987">
        <v>9.7200000000000006</v>
      </c>
      <c r="E987">
        <v>7.93</v>
      </c>
      <c r="F987">
        <v>1.78</v>
      </c>
      <c r="G987">
        <v>60.558539205155746</v>
      </c>
      <c r="H987">
        <v>36.358956760466718</v>
      </c>
      <c r="I987">
        <v>45.074415308291989</v>
      </c>
      <c r="J987">
        <v>45.55660252331716</v>
      </c>
      <c r="K987">
        <v>36.398467432950184</v>
      </c>
      <c r="L987">
        <v>12.256543157633459</v>
      </c>
      <c r="M987">
        <v>78.771044525818169</v>
      </c>
      <c r="N987">
        <v>51.570679251350668</v>
      </c>
      <c r="O987">
        <v>10.563571428571427</v>
      </c>
      <c r="P987">
        <v>-2.6335714285714271</v>
      </c>
      <c r="Q987">
        <v>986</v>
      </c>
      <c r="R987">
        <v>8</v>
      </c>
      <c r="S987" t="s">
        <v>24</v>
      </c>
      <c r="T987" t="s">
        <v>45</v>
      </c>
      <c r="U987">
        <v>5000</v>
      </c>
      <c r="V987">
        <v>1000</v>
      </c>
    </row>
    <row r="988" spans="1:22" x14ac:dyDescent="0.3">
      <c r="A988" t="s">
        <v>1143</v>
      </c>
      <c r="B988" t="s">
        <v>755</v>
      </c>
      <c r="C988">
        <v>4.93</v>
      </c>
      <c r="D988">
        <v>12.87</v>
      </c>
      <c r="E988">
        <v>9.0299999999999994</v>
      </c>
      <c r="F988">
        <v>2.06</v>
      </c>
      <c r="G988">
        <v>62.878625134264233</v>
      </c>
      <c r="H988">
        <v>41.76389842141387</v>
      </c>
      <c r="I988">
        <v>48.972360028348682</v>
      </c>
      <c r="J988">
        <v>49.591074567451344</v>
      </c>
      <c r="K988">
        <v>25.670498084291182</v>
      </c>
      <c r="L988">
        <v>10.732954020934889</v>
      </c>
      <c r="M988">
        <v>81.409978320440104</v>
      </c>
      <c r="N988">
        <v>51.565656384908493</v>
      </c>
      <c r="O988">
        <v>11.035555555555554</v>
      </c>
      <c r="P988">
        <v>-2.0055555555555546</v>
      </c>
      <c r="Q988">
        <v>987</v>
      </c>
      <c r="R988">
        <v>9</v>
      </c>
      <c r="S988" t="s">
        <v>24</v>
      </c>
      <c r="T988" t="s">
        <v>756</v>
      </c>
      <c r="U988">
        <v>5000</v>
      </c>
      <c r="V988">
        <v>1000</v>
      </c>
    </row>
    <row r="989" spans="1:22" x14ac:dyDescent="0.3">
      <c r="A989" t="s">
        <v>1144</v>
      </c>
      <c r="B989" t="s">
        <v>844</v>
      </c>
      <c r="C989">
        <v>4.46</v>
      </c>
      <c r="D989">
        <v>3.85</v>
      </c>
      <c r="E989">
        <v>4.76</v>
      </c>
      <c r="F989">
        <v>1.05</v>
      </c>
      <c r="G989">
        <v>61.868958109559614</v>
      </c>
      <c r="H989">
        <v>26.286890871654091</v>
      </c>
      <c r="I989">
        <v>33.841247342310417</v>
      </c>
      <c r="J989">
        <v>37.180482554563355</v>
      </c>
      <c r="K989">
        <v>64.367816091954026</v>
      </c>
      <c r="L989">
        <v>18.74701923622861</v>
      </c>
      <c r="M989">
        <v>67.529210192380958</v>
      </c>
      <c r="N989">
        <v>51.56449784836542</v>
      </c>
      <c r="O989">
        <v>4.4820000000000002</v>
      </c>
      <c r="P989">
        <v>0.27799999999999958</v>
      </c>
      <c r="Q989">
        <v>988</v>
      </c>
      <c r="R989">
        <v>23</v>
      </c>
      <c r="S989" t="s">
        <v>24</v>
      </c>
      <c r="T989" t="s">
        <v>845</v>
      </c>
      <c r="U989">
        <v>1000</v>
      </c>
      <c r="V989">
        <v>1000</v>
      </c>
    </row>
    <row r="990" spans="1:22" x14ac:dyDescent="0.3">
      <c r="A990" t="s">
        <v>1145</v>
      </c>
      <c r="B990" t="s">
        <v>844</v>
      </c>
      <c r="C990">
        <v>4.17</v>
      </c>
      <c r="D990">
        <v>3.76</v>
      </c>
      <c r="E990">
        <v>4.55</v>
      </c>
      <c r="F990">
        <v>1.03</v>
      </c>
      <c r="G990">
        <v>61.245972073039731</v>
      </c>
      <c r="H990">
        <v>26.132463967055596</v>
      </c>
      <c r="I990">
        <v>33.097094259390502</v>
      </c>
      <c r="J990">
        <v>36.637480734419881</v>
      </c>
      <c r="K990">
        <v>65.134099616858236</v>
      </c>
      <c r="L990">
        <v>18.591323463673749</v>
      </c>
      <c r="M990">
        <v>67.798883180969668</v>
      </c>
      <c r="N990">
        <v>51.551986066666913</v>
      </c>
      <c r="O990">
        <v>4.4820000000000002</v>
      </c>
      <c r="P990">
        <v>6.7999999999999616E-2</v>
      </c>
      <c r="Q990">
        <v>989</v>
      </c>
      <c r="R990">
        <v>24</v>
      </c>
      <c r="S990" t="s">
        <v>24</v>
      </c>
      <c r="T990" t="s">
        <v>845</v>
      </c>
      <c r="U990">
        <v>5000</v>
      </c>
      <c r="V990">
        <v>1000</v>
      </c>
    </row>
    <row r="991" spans="1:22" x14ac:dyDescent="0.3">
      <c r="A991" t="s">
        <v>1146</v>
      </c>
      <c r="B991" t="s">
        <v>123</v>
      </c>
      <c r="C991">
        <v>3.85</v>
      </c>
      <c r="D991">
        <v>9.7200000000000006</v>
      </c>
      <c r="E991">
        <v>7.89</v>
      </c>
      <c r="F991">
        <v>1.78</v>
      </c>
      <c r="G991">
        <v>60.558539205155746</v>
      </c>
      <c r="H991">
        <v>36.358956760466718</v>
      </c>
      <c r="I991">
        <v>44.932671863926288</v>
      </c>
      <c r="J991">
        <v>45.485730801134309</v>
      </c>
      <c r="K991">
        <v>36.398467432950184</v>
      </c>
      <c r="L991">
        <v>12.269855414376961</v>
      </c>
      <c r="M991">
        <v>78.747987020775028</v>
      </c>
      <c r="N991">
        <v>51.529479013998454</v>
      </c>
      <c r="O991">
        <v>10.563571428571427</v>
      </c>
      <c r="P991">
        <v>-2.6735714285714272</v>
      </c>
      <c r="Q991">
        <v>990</v>
      </c>
      <c r="R991">
        <v>9</v>
      </c>
      <c r="S991" t="s">
        <v>24</v>
      </c>
      <c r="T991" t="s">
        <v>45</v>
      </c>
      <c r="U991">
        <v>5000</v>
      </c>
      <c r="V991">
        <v>1000</v>
      </c>
    </row>
    <row r="992" spans="1:22" x14ac:dyDescent="0.3">
      <c r="A992" t="s">
        <v>1147</v>
      </c>
      <c r="B992" t="s">
        <v>383</v>
      </c>
      <c r="C992">
        <v>2.21</v>
      </c>
      <c r="D992">
        <v>8.93</v>
      </c>
      <c r="E992">
        <v>6.11</v>
      </c>
      <c r="F992">
        <v>1.58</v>
      </c>
      <c r="G992">
        <v>57.035445757250272</v>
      </c>
      <c r="H992">
        <v>35.003431708991087</v>
      </c>
      <c r="I992">
        <v>38.625088589652719</v>
      </c>
      <c r="J992">
        <v>41.22066295897374</v>
      </c>
      <c r="K992">
        <v>44.061302681992331</v>
      </c>
      <c r="L992">
        <v>11.814308363325411</v>
      </c>
      <c r="M992">
        <v>79.537017658434479</v>
      </c>
      <c r="N992">
        <v>51.509911564593573</v>
      </c>
      <c r="O992">
        <v>6.1480952380952392</v>
      </c>
      <c r="P992">
        <v>-3.8095238095238848E-2</v>
      </c>
      <c r="Q992">
        <v>991</v>
      </c>
      <c r="R992">
        <v>18</v>
      </c>
      <c r="S992" t="s">
        <v>24</v>
      </c>
      <c r="T992" t="s">
        <v>384</v>
      </c>
      <c r="U992">
        <v>5000</v>
      </c>
      <c r="V992">
        <v>1000</v>
      </c>
    </row>
    <row r="993" spans="1:22" x14ac:dyDescent="0.3">
      <c r="A993" t="s">
        <v>1148</v>
      </c>
      <c r="B993" t="s">
        <v>202</v>
      </c>
      <c r="C993">
        <v>1.86</v>
      </c>
      <c r="D993">
        <v>14.61</v>
      </c>
      <c r="E993">
        <v>11.9</v>
      </c>
      <c r="F993">
        <v>2.4500000000000002</v>
      </c>
      <c r="G993">
        <v>56.283566058002144</v>
      </c>
      <c r="H993">
        <v>44.749485243651343</v>
      </c>
      <c r="I993">
        <v>59.142452161587521</v>
      </c>
      <c r="J993">
        <v>54.252784865489588</v>
      </c>
      <c r="K993">
        <v>10.727969348658984</v>
      </c>
      <c r="L993">
        <v>7.6197741292645285</v>
      </c>
      <c r="M993">
        <v>86.802164065914937</v>
      </c>
      <c r="N993">
        <v>51.508925786388275</v>
      </c>
      <c r="O993">
        <v>10.023387096774194</v>
      </c>
      <c r="P993">
        <v>1.8766129032258068</v>
      </c>
      <c r="Q993">
        <v>992</v>
      </c>
      <c r="R993">
        <v>36</v>
      </c>
      <c r="S993" t="s">
        <v>24</v>
      </c>
      <c r="T993" t="s">
        <v>107</v>
      </c>
      <c r="U993">
        <v>1000</v>
      </c>
      <c r="V993">
        <v>1000</v>
      </c>
    </row>
    <row r="994" spans="1:22" x14ac:dyDescent="0.3">
      <c r="A994" t="s">
        <v>1149</v>
      </c>
      <c r="B994" t="s">
        <v>202</v>
      </c>
      <c r="C994">
        <v>1.86</v>
      </c>
      <c r="D994">
        <v>14.61</v>
      </c>
      <c r="E994">
        <v>11.9</v>
      </c>
      <c r="F994">
        <v>2.4500000000000002</v>
      </c>
      <c r="G994">
        <v>56.283566058002144</v>
      </c>
      <c r="H994">
        <v>44.749485243651343</v>
      </c>
      <c r="I994">
        <v>59.142452161587521</v>
      </c>
      <c r="J994">
        <v>54.252784865489588</v>
      </c>
      <c r="K994">
        <v>10.727969348658984</v>
      </c>
      <c r="L994">
        <v>7.6197741292645285</v>
      </c>
      <c r="M994">
        <v>86.802164065914937</v>
      </c>
      <c r="N994">
        <v>51.508925786388275</v>
      </c>
      <c r="O994">
        <v>10.023387096774194</v>
      </c>
      <c r="P994">
        <v>1.8766129032258068</v>
      </c>
      <c r="Q994">
        <v>992</v>
      </c>
      <c r="R994">
        <v>36</v>
      </c>
      <c r="S994" t="s">
        <v>24</v>
      </c>
      <c r="T994" t="s">
        <v>107</v>
      </c>
      <c r="U994">
        <v>1000</v>
      </c>
      <c r="V994">
        <v>1000</v>
      </c>
    </row>
    <row r="995" spans="1:22" x14ac:dyDescent="0.3">
      <c r="A995" t="s">
        <v>1150</v>
      </c>
      <c r="B995" t="s">
        <v>410</v>
      </c>
      <c r="C995">
        <v>5.58</v>
      </c>
      <c r="D995">
        <v>4.83</v>
      </c>
      <c r="E995">
        <v>5.62</v>
      </c>
      <c r="F995">
        <v>1.18</v>
      </c>
      <c r="G995">
        <v>64.274973147153588</v>
      </c>
      <c r="H995">
        <v>27.968428277282094</v>
      </c>
      <c r="I995">
        <v>36.888731396172922</v>
      </c>
      <c r="J995">
        <v>39.689888810701802</v>
      </c>
      <c r="K995">
        <v>59.38697318007663</v>
      </c>
      <c r="L995">
        <v>18.919757069282728</v>
      </c>
      <c r="M995">
        <v>67.230019489141881</v>
      </c>
      <c r="N995">
        <v>51.499192572655531</v>
      </c>
      <c r="O995">
        <v>4.4264935064935065</v>
      </c>
      <c r="P995">
        <v>1.1935064935064936</v>
      </c>
      <c r="Q995">
        <v>994</v>
      </c>
      <c r="R995">
        <v>54</v>
      </c>
      <c r="S995" t="s">
        <v>24</v>
      </c>
      <c r="T995" t="s">
        <v>499</v>
      </c>
      <c r="U995">
        <v>10000</v>
      </c>
      <c r="V995">
        <v>10000</v>
      </c>
    </row>
    <row r="996" spans="1:22" x14ac:dyDescent="0.3">
      <c r="A996" t="s">
        <v>1151</v>
      </c>
      <c r="B996" t="s">
        <v>51</v>
      </c>
      <c r="C996">
        <v>3.11</v>
      </c>
      <c r="D996">
        <v>21.4</v>
      </c>
      <c r="E996">
        <v>6.98</v>
      </c>
      <c r="F996">
        <v>2.13</v>
      </c>
      <c r="G996">
        <v>58.968850698174002</v>
      </c>
      <c r="H996">
        <v>56.400137268359643</v>
      </c>
      <c r="I996">
        <v>41.708008504606667</v>
      </c>
      <c r="J996">
        <v>49.567815572446023</v>
      </c>
      <c r="K996">
        <v>22.988505747126432</v>
      </c>
      <c r="L996">
        <v>9.3130160664742103</v>
      </c>
      <c r="M996">
        <v>83.869383001161424</v>
      </c>
      <c r="N996">
        <v>51.498379973294973</v>
      </c>
      <c r="O996">
        <v>12.127586206896551</v>
      </c>
      <c r="P996">
        <v>-5.1475862068965501</v>
      </c>
      <c r="Q996">
        <v>995</v>
      </c>
      <c r="R996">
        <v>26</v>
      </c>
      <c r="S996" t="s">
        <v>24</v>
      </c>
      <c r="T996" t="s">
        <v>1152</v>
      </c>
      <c r="U996">
        <v>1000</v>
      </c>
      <c r="V996">
        <v>1000</v>
      </c>
    </row>
    <row r="997" spans="1:22" x14ac:dyDescent="0.3">
      <c r="A997" t="s">
        <v>1153</v>
      </c>
      <c r="B997" t="s">
        <v>229</v>
      </c>
      <c r="C997">
        <v>5.27</v>
      </c>
      <c r="D997">
        <v>3.92</v>
      </c>
      <c r="E997">
        <v>4.6399999999999997</v>
      </c>
      <c r="F997">
        <v>1.02</v>
      </c>
      <c r="G997">
        <v>63.609022556390968</v>
      </c>
      <c r="H997">
        <v>26.407000686341803</v>
      </c>
      <c r="I997">
        <v>33.41601700921332</v>
      </c>
      <c r="J997">
        <v>37.351913221787399</v>
      </c>
      <c r="K997">
        <v>65.517241379310349</v>
      </c>
      <c r="L997">
        <v>19.768385219021624</v>
      </c>
      <c r="M997">
        <v>65.760152417060937</v>
      </c>
      <c r="N997">
        <v>51.495305059986521</v>
      </c>
      <c r="O997">
        <v>5.1221052631578941</v>
      </c>
      <c r="P997">
        <v>-0.48210526315789437</v>
      </c>
      <c r="Q997">
        <v>996</v>
      </c>
      <c r="R997">
        <v>60</v>
      </c>
      <c r="S997" t="s">
        <v>24</v>
      </c>
      <c r="T997" t="s">
        <v>230</v>
      </c>
      <c r="U997">
        <v>5000</v>
      </c>
      <c r="V997">
        <v>1000</v>
      </c>
    </row>
    <row r="998" spans="1:22" x14ac:dyDescent="0.3">
      <c r="A998" t="s">
        <v>1154</v>
      </c>
      <c r="B998" t="s">
        <v>410</v>
      </c>
      <c r="C998">
        <v>5.58</v>
      </c>
      <c r="D998">
        <v>4.79</v>
      </c>
      <c r="E998">
        <v>5.61</v>
      </c>
      <c r="F998">
        <v>1.18</v>
      </c>
      <c r="G998">
        <v>64.274973147153588</v>
      </c>
      <c r="H998">
        <v>27.899794097460539</v>
      </c>
      <c r="I998">
        <v>36.8532955350815</v>
      </c>
      <c r="J998">
        <v>39.651580626209629</v>
      </c>
      <c r="K998">
        <v>59.38697318007663</v>
      </c>
      <c r="L998">
        <v>18.952868041324354</v>
      </c>
      <c r="M998">
        <v>67.172669603277782</v>
      </c>
      <c r="N998">
        <v>51.465701008943412</v>
      </c>
      <c r="O998">
        <v>4.4264935064935065</v>
      </c>
      <c r="P998">
        <v>1.1835064935064938</v>
      </c>
      <c r="Q998">
        <v>997</v>
      </c>
      <c r="R998">
        <v>55</v>
      </c>
      <c r="S998" t="s">
        <v>24</v>
      </c>
      <c r="T998" t="s">
        <v>499</v>
      </c>
      <c r="U998">
        <v>1000</v>
      </c>
      <c r="V998">
        <v>1000</v>
      </c>
    </row>
    <row r="999" spans="1:22" x14ac:dyDescent="0.3">
      <c r="A999" t="s">
        <v>1155</v>
      </c>
      <c r="B999" t="s">
        <v>410</v>
      </c>
      <c r="C999">
        <v>5.58</v>
      </c>
      <c r="D999">
        <v>4.79</v>
      </c>
      <c r="E999">
        <v>5.61</v>
      </c>
      <c r="F999">
        <v>1.18</v>
      </c>
      <c r="G999">
        <v>64.274973147153588</v>
      </c>
      <c r="H999">
        <v>27.899794097460539</v>
      </c>
      <c r="I999">
        <v>36.8532955350815</v>
      </c>
      <c r="J999">
        <v>39.651580626209629</v>
      </c>
      <c r="K999">
        <v>59.38697318007663</v>
      </c>
      <c r="L999">
        <v>18.952868041324354</v>
      </c>
      <c r="M999">
        <v>67.172669603277782</v>
      </c>
      <c r="N999">
        <v>51.465701008943412</v>
      </c>
      <c r="O999">
        <v>4.4264935064935065</v>
      </c>
      <c r="P999">
        <v>1.1835064935064938</v>
      </c>
      <c r="Q999">
        <v>997</v>
      </c>
      <c r="R999">
        <v>55</v>
      </c>
      <c r="S999" t="s">
        <v>24</v>
      </c>
      <c r="T999" t="s">
        <v>499</v>
      </c>
      <c r="U999">
        <v>1000</v>
      </c>
      <c r="V999">
        <v>1000</v>
      </c>
    </row>
    <row r="1000" spans="1:22" x14ac:dyDescent="0.3">
      <c r="A1000" t="s">
        <v>1156</v>
      </c>
      <c r="B1000" t="s">
        <v>410</v>
      </c>
      <c r="C1000">
        <v>5.58</v>
      </c>
      <c r="D1000">
        <v>4.79</v>
      </c>
      <c r="E1000">
        <v>5.61</v>
      </c>
      <c r="F1000">
        <v>1.18</v>
      </c>
      <c r="G1000">
        <v>64.274973147153588</v>
      </c>
      <c r="H1000">
        <v>27.899794097460539</v>
      </c>
      <c r="I1000">
        <v>36.8532955350815</v>
      </c>
      <c r="J1000">
        <v>39.651580626209629</v>
      </c>
      <c r="K1000">
        <v>59.38697318007663</v>
      </c>
      <c r="L1000">
        <v>18.952868041324354</v>
      </c>
      <c r="M1000">
        <v>67.172669603277782</v>
      </c>
      <c r="N1000">
        <v>51.465701008943412</v>
      </c>
      <c r="O1000">
        <v>4.4264935064935065</v>
      </c>
      <c r="P1000">
        <v>1.1835064935064938</v>
      </c>
      <c r="Q1000">
        <v>997</v>
      </c>
      <c r="R1000">
        <v>55</v>
      </c>
      <c r="S1000" t="s">
        <v>24</v>
      </c>
      <c r="T1000" t="s">
        <v>499</v>
      </c>
      <c r="U1000">
        <v>5000</v>
      </c>
      <c r="V1000">
        <v>1000</v>
      </c>
    </row>
    <row r="1001" spans="1:22" x14ac:dyDescent="0.3">
      <c r="A1001" t="s">
        <v>1157</v>
      </c>
      <c r="B1001" t="s">
        <v>844</v>
      </c>
      <c r="C1001">
        <v>4.0599999999999996</v>
      </c>
      <c r="D1001">
        <v>3.93</v>
      </c>
      <c r="E1001">
        <v>4.53</v>
      </c>
      <c r="F1001">
        <v>1.05</v>
      </c>
      <c r="G1001">
        <v>61.009667024704619</v>
      </c>
      <c r="H1001">
        <v>26.424159231297189</v>
      </c>
      <c r="I1001">
        <v>33.026222537207651</v>
      </c>
      <c r="J1001">
        <v>36.642292442933908</v>
      </c>
      <c r="K1001">
        <v>64.367816091954026</v>
      </c>
      <c r="L1001">
        <v>18.36127153643378</v>
      </c>
      <c r="M1001">
        <v>68.197344807328435</v>
      </c>
      <c r="N1001">
        <v>51.462436446287569</v>
      </c>
      <c r="O1001">
        <v>4.4820000000000002</v>
      </c>
      <c r="P1001">
        <v>4.8000000000000043E-2</v>
      </c>
      <c r="Q1001">
        <v>1000</v>
      </c>
      <c r="R1001">
        <v>25</v>
      </c>
      <c r="S1001" t="s">
        <v>24</v>
      </c>
      <c r="T1001" t="s">
        <v>845</v>
      </c>
      <c r="U1001">
        <v>1000</v>
      </c>
      <c r="V1001">
        <v>1000</v>
      </c>
    </row>
    <row r="1002" spans="1:22" x14ac:dyDescent="0.3">
      <c r="A1002" t="s">
        <v>1158</v>
      </c>
      <c r="B1002" t="s">
        <v>755</v>
      </c>
      <c r="C1002">
        <v>4.93</v>
      </c>
      <c r="D1002">
        <v>12.78</v>
      </c>
      <c r="E1002">
        <v>8.98</v>
      </c>
      <c r="F1002">
        <v>2.06</v>
      </c>
      <c r="G1002">
        <v>62.878625134264233</v>
      </c>
      <c r="H1002">
        <v>41.609471516815375</v>
      </c>
      <c r="I1002">
        <v>48.795180722891565</v>
      </c>
      <c r="J1002">
        <v>49.456156843343237</v>
      </c>
      <c r="K1002">
        <v>25.670498084291182</v>
      </c>
      <c r="L1002">
        <v>10.819386295635795</v>
      </c>
      <c r="M1002">
        <v>81.260273229244376</v>
      </c>
      <c r="N1002">
        <v>51.460771250055508</v>
      </c>
      <c r="O1002">
        <v>11.035555555555554</v>
      </c>
      <c r="P1002">
        <v>-2.0555555555555536</v>
      </c>
      <c r="Q1002">
        <v>1001</v>
      </c>
      <c r="R1002">
        <v>10</v>
      </c>
      <c r="S1002" t="s">
        <v>24</v>
      </c>
      <c r="T1002" t="s">
        <v>756</v>
      </c>
      <c r="U1002">
        <v>5000</v>
      </c>
      <c r="V1002">
        <v>1000</v>
      </c>
    </row>
    <row r="1003" spans="1:22" x14ac:dyDescent="0.3">
      <c r="A1003" t="s">
        <v>1159</v>
      </c>
      <c r="B1003" t="s">
        <v>202</v>
      </c>
      <c r="C1003">
        <v>3.43</v>
      </c>
      <c r="D1003">
        <v>12</v>
      </c>
      <c r="E1003">
        <v>8.6300000000000008</v>
      </c>
      <c r="F1003">
        <v>2.02</v>
      </c>
      <c r="G1003">
        <v>59.656283566058001</v>
      </c>
      <c r="H1003">
        <v>40.27110501029513</v>
      </c>
      <c r="I1003">
        <v>47.554925584691709</v>
      </c>
      <c r="J1003">
        <v>47.790051008645989</v>
      </c>
      <c r="K1003">
        <v>27.203065134099624</v>
      </c>
      <c r="L1003">
        <v>9.791850819193046</v>
      </c>
      <c r="M1003">
        <v>83.040016881022709</v>
      </c>
      <c r="N1003">
        <v>51.455796008103576</v>
      </c>
      <c r="O1003">
        <v>10.023387096774194</v>
      </c>
      <c r="P1003">
        <v>-1.3933870967741928</v>
      </c>
      <c r="Q1003">
        <v>1002</v>
      </c>
      <c r="R1003">
        <v>38</v>
      </c>
      <c r="S1003" t="s">
        <v>24</v>
      </c>
      <c r="T1003" t="s">
        <v>78</v>
      </c>
      <c r="U1003">
        <v>1000</v>
      </c>
      <c r="V1003">
        <v>1000</v>
      </c>
    </row>
    <row r="1004" spans="1:22" x14ac:dyDescent="0.3">
      <c r="A1004" t="s">
        <v>1160</v>
      </c>
      <c r="B1004" t="s">
        <v>844</v>
      </c>
      <c r="C1004">
        <v>5.4</v>
      </c>
      <c r="D1004">
        <v>4.32</v>
      </c>
      <c r="E1004">
        <v>4.7</v>
      </c>
      <c r="F1004">
        <v>1.05</v>
      </c>
      <c r="G1004">
        <v>63.888292158968852</v>
      </c>
      <c r="H1004">
        <v>27.093342484557315</v>
      </c>
      <c r="I1004">
        <v>33.628632175761872</v>
      </c>
      <c r="J1004">
        <v>37.719977265041905</v>
      </c>
      <c r="K1004">
        <v>64.367816091954026</v>
      </c>
      <c r="L1004">
        <v>19.630865812073175</v>
      </c>
      <c r="M1004">
        <v>65.998343016922405</v>
      </c>
      <c r="N1004">
        <v>51.451528409740057</v>
      </c>
      <c r="O1004">
        <v>4.4820000000000002</v>
      </c>
      <c r="P1004">
        <v>0.21799999999999997</v>
      </c>
      <c r="Q1004">
        <v>1003</v>
      </c>
      <c r="R1004">
        <v>26</v>
      </c>
      <c r="S1004" t="s">
        <v>24</v>
      </c>
      <c r="T1004" t="s">
        <v>845</v>
      </c>
      <c r="U1004">
        <v>1000</v>
      </c>
      <c r="V1004">
        <v>1000</v>
      </c>
    </row>
    <row r="1005" spans="1:22" x14ac:dyDescent="0.3">
      <c r="A1005" t="s">
        <v>1161</v>
      </c>
      <c r="B1005" t="s">
        <v>192</v>
      </c>
      <c r="C1005">
        <v>4.92</v>
      </c>
      <c r="D1005">
        <v>2.31</v>
      </c>
      <c r="E1005">
        <v>1.53</v>
      </c>
      <c r="F1005">
        <v>0.54</v>
      </c>
      <c r="G1005">
        <v>62.857142857142854</v>
      </c>
      <c r="H1005">
        <v>23.644474948524369</v>
      </c>
      <c r="I1005">
        <v>22.395464209780297</v>
      </c>
      <c r="J1005">
        <v>30.862503160876031</v>
      </c>
      <c r="K1005">
        <v>83.908045977011497</v>
      </c>
      <c r="L1005">
        <v>23.008479564787745</v>
      </c>
      <c r="M1005">
        <v>60.14814438887737</v>
      </c>
      <c r="N1005">
        <v>51.445299171910236</v>
      </c>
      <c r="O1005">
        <v>4.4280373831775703</v>
      </c>
      <c r="P1005">
        <v>-2.8980373831775701</v>
      </c>
      <c r="Q1005">
        <v>1004</v>
      </c>
      <c r="R1005">
        <v>107</v>
      </c>
      <c r="S1005" t="s">
        <v>24</v>
      </c>
      <c r="T1005" t="s">
        <v>45</v>
      </c>
      <c r="U1005">
        <v>5000</v>
      </c>
      <c r="V1005">
        <v>1000</v>
      </c>
    </row>
    <row r="1006" spans="1:22" x14ac:dyDescent="0.3">
      <c r="A1006" t="s">
        <v>1162</v>
      </c>
      <c r="B1006" t="s">
        <v>272</v>
      </c>
      <c r="C1006">
        <v>2.65</v>
      </c>
      <c r="D1006">
        <v>15.21</v>
      </c>
      <c r="E1006">
        <v>11.05</v>
      </c>
      <c r="F1006">
        <v>2.46</v>
      </c>
      <c r="G1006">
        <v>57.980665950590762</v>
      </c>
      <c r="H1006">
        <v>45.778997940974612</v>
      </c>
      <c r="I1006">
        <v>56.130403968816431</v>
      </c>
      <c r="J1006">
        <v>53.395034556818757</v>
      </c>
      <c r="K1006">
        <v>10.344827586206895</v>
      </c>
      <c r="L1006">
        <v>6.5759128437468597</v>
      </c>
      <c r="M1006">
        <v>88.610184848485702</v>
      </c>
      <c r="N1006">
        <v>51.43627038708253</v>
      </c>
      <c r="O1006">
        <v>10.044583333333334</v>
      </c>
      <c r="P1006">
        <v>1.0054166666666671</v>
      </c>
      <c r="Q1006">
        <v>1005</v>
      </c>
      <c r="R1006">
        <v>27</v>
      </c>
      <c r="S1006" t="s">
        <v>24</v>
      </c>
      <c r="T1006" t="s">
        <v>273</v>
      </c>
      <c r="U1006">
        <v>5000</v>
      </c>
      <c r="V1006">
        <v>1000</v>
      </c>
    </row>
    <row r="1007" spans="1:22" x14ac:dyDescent="0.3">
      <c r="A1007" t="s">
        <v>1163</v>
      </c>
      <c r="B1007" t="s">
        <v>328</v>
      </c>
      <c r="C1007">
        <v>3.03</v>
      </c>
      <c r="D1007">
        <v>16.11</v>
      </c>
      <c r="E1007">
        <v>10.64</v>
      </c>
      <c r="F1007">
        <v>2.4900000000000002</v>
      </c>
      <c r="G1007">
        <v>58.796992481203006</v>
      </c>
      <c r="H1007">
        <v>47.32326698695951</v>
      </c>
      <c r="I1007">
        <v>54.677533664068037</v>
      </c>
      <c r="J1007">
        <v>53.295145424362474</v>
      </c>
      <c r="K1007">
        <v>9.1954022988505635</v>
      </c>
      <c r="L1007">
        <v>5.8123654969578018</v>
      </c>
      <c r="M1007">
        <v>89.932687647108764</v>
      </c>
      <c r="N1007">
        <v>51.429595198671066</v>
      </c>
      <c r="O1007">
        <v>10.248999999999999</v>
      </c>
      <c r="P1007">
        <v>0.39100000000000179</v>
      </c>
      <c r="Q1007">
        <v>1006</v>
      </c>
      <c r="R1007">
        <v>6</v>
      </c>
      <c r="S1007" t="s">
        <v>24</v>
      </c>
      <c r="T1007" t="s">
        <v>78</v>
      </c>
      <c r="U1007">
        <v>5000</v>
      </c>
      <c r="V1007">
        <v>1000</v>
      </c>
    </row>
    <row r="1008" spans="1:22" x14ac:dyDescent="0.3">
      <c r="A1008" t="s">
        <v>1164</v>
      </c>
      <c r="B1008" t="s">
        <v>844</v>
      </c>
      <c r="C1008">
        <v>4.08</v>
      </c>
      <c r="D1008">
        <v>4.01</v>
      </c>
      <c r="E1008">
        <v>4.87</v>
      </c>
      <c r="F1008">
        <v>1.1000000000000001</v>
      </c>
      <c r="G1008">
        <v>61.05263157894737</v>
      </c>
      <c r="H1008">
        <v>26.561427590940291</v>
      </c>
      <c r="I1008">
        <v>34.231041814316086</v>
      </c>
      <c r="J1008">
        <v>37.294475500229602</v>
      </c>
      <c r="K1008">
        <v>62.452107279693479</v>
      </c>
      <c r="L1008">
        <v>18.110143623486707</v>
      </c>
      <c r="M1008">
        <v>68.632311111751491</v>
      </c>
      <c r="N1008">
        <v>51.418342347976051</v>
      </c>
      <c r="O1008">
        <v>4.4820000000000002</v>
      </c>
      <c r="P1008">
        <v>0.3879999999999999</v>
      </c>
      <c r="Q1008">
        <v>1007</v>
      </c>
      <c r="R1008">
        <v>27</v>
      </c>
      <c r="S1008" t="s">
        <v>24</v>
      </c>
      <c r="T1008" t="s">
        <v>845</v>
      </c>
      <c r="U1008">
        <v>5000</v>
      </c>
      <c r="V1008">
        <v>1000</v>
      </c>
    </row>
    <row r="1009" spans="1:22" x14ac:dyDescent="0.3">
      <c r="A1009" t="s">
        <v>1165</v>
      </c>
      <c r="B1009" t="s">
        <v>976</v>
      </c>
      <c r="C1009">
        <v>4.07</v>
      </c>
      <c r="D1009">
        <v>2.5299999999999998</v>
      </c>
      <c r="E1009">
        <v>4.6500000000000004</v>
      </c>
      <c r="F1009">
        <v>0.99</v>
      </c>
      <c r="G1009">
        <v>61.031149301825991</v>
      </c>
      <c r="H1009">
        <v>24.021962937542902</v>
      </c>
      <c r="I1009">
        <v>33.451452870304749</v>
      </c>
      <c r="J1009">
        <v>36.13854517678044</v>
      </c>
      <c r="K1009">
        <v>66.666666666666657</v>
      </c>
      <c r="L1009">
        <v>19.232068752447304</v>
      </c>
      <c r="M1009">
        <v>66.689079786103463</v>
      </c>
      <c r="N1009">
        <v>51.40820920158275</v>
      </c>
      <c r="O1009">
        <v>4.3111111111111109</v>
      </c>
      <c r="P1009">
        <v>0.33888888888888946</v>
      </c>
      <c r="Q1009">
        <v>1008</v>
      </c>
      <c r="R1009">
        <v>10</v>
      </c>
      <c r="S1009" t="s">
        <v>24</v>
      </c>
      <c r="T1009" t="s">
        <v>977</v>
      </c>
      <c r="U1009">
        <v>5000</v>
      </c>
      <c r="V1009">
        <v>1000</v>
      </c>
    </row>
    <row r="1010" spans="1:22" x14ac:dyDescent="0.3">
      <c r="A1010" t="s">
        <v>1166</v>
      </c>
      <c r="B1010" t="s">
        <v>328</v>
      </c>
      <c r="C1010">
        <v>3.09</v>
      </c>
      <c r="D1010">
        <v>16.14</v>
      </c>
      <c r="E1010">
        <v>10.6</v>
      </c>
      <c r="F1010">
        <v>2.4900000000000002</v>
      </c>
      <c r="G1010">
        <v>58.925886143931251</v>
      </c>
      <c r="H1010">
        <v>47.374742621825675</v>
      </c>
      <c r="I1010">
        <v>54.535790219702342</v>
      </c>
      <c r="J1010">
        <v>53.265495125185126</v>
      </c>
      <c r="K1010">
        <v>9.1954022988505635</v>
      </c>
      <c r="L1010">
        <v>5.8307012384341919</v>
      </c>
      <c r="M1010">
        <v>89.900929211277202</v>
      </c>
      <c r="N1010">
        <v>51.406830440124509</v>
      </c>
      <c r="O1010">
        <v>10.248999999999999</v>
      </c>
      <c r="P1010">
        <v>0.35100000000000087</v>
      </c>
      <c r="Q1010">
        <v>1009</v>
      </c>
      <c r="R1010">
        <v>7</v>
      </c>
      <c r="S1010" t="s">
        <v>24</v>
      </c>
      <c r="T1010" t="s">
        <v>78</v>
      </c>
      <c r="U1010">
        <v>5000</v>
      </c>
      <c r="V1010">
        <v>1000</v>
      </c>
    </row>
    <row r="1011" spans="1:22" x14ac:dyDescent="0.3">
      <c r="A1011" t="s">
        <v>1167</v>
      </c>
      <c r="B1011" t="s">
        <v>202</v>
      </c>
      <c r="C1011">
        <v>3.43</v>
      </c>
      <c r="D1011">
        <v>12</v>
      </c>
      <c r="E1011">
        <v>8.58</v>
      </c>
      <c r="F1011">
        <v>2.02</v>
      </c>
      <c r="G1011">
        <v>59.656283566058001</v>
      </c>
      <c r="H1011">
        <v>40.27110501029513</v>
      </c>
      <c r="I1011">
        <v>47.377746279234586</v>
      </c>
      <c r="J1011">
        <v>47.701461355917431</v>
      </c>
      <c r="K1011">
        <v>27.203065134099624</v>
      </c>
      <c r="L1011">
        <v>9.8069021244233472</v>
      </c>
      <c r="M1011">
        <v>83.0139472556436</v>
      </c>
      <c r="N1011">
        <v>51.404983775394527</v>
      </c>
      <c r="O1011">
        <v>10.023387096774194</v>
      </c>
      <c r="P1011">
        <v>-1.4433870967741935</v>
      </c>
      <c r="Q1011">
        <v>1010</v>
      </c>
      <c r="R1011">
        <v>39</v>
      </c>
      <c r="S1011" t="s">
        <v>24</v>
      </c>
      <c r="T1011" t="s">
        <v>78</v>
      </c>
      <c r="U1011">
        <v>1000</v>
      </c>
      <c r="V1011">
        <v>1000</v>
      </c>
    </row>
    <row r="1012" spans="1:22" x14ac:dyDescent="0.3">
      <c r="A1012" t="s">
        <v>1168</v>
      </c>
      <c r="B1012" t="s">
        <v>844</v>
      </c>
      <c r="C1012">
        <v>4.6399999999999997</v>
      </c>
      <c r="D1012">
        <v>4.18</v>
      </c>
      <c r="E1012">
        <v>4.76</v>
      </c>
      <c r="F1012">
        <v>1.08</v>
      </c>
      <c r="G1012">
        <v>62.25563909774435</v>
      </c>
      <c r="H1012">
        <v>26.853122855181883</v>
      </c>
      <c r="I1012">
        <v>33.841247342310417</v>
      </c>
      <c r="J1012">
        <v>37.427688347258645</v>
      </c>
      <c r="K1012">
        <v>63.218390804597703</v>
      </c>
      <c r="L1012">
        <v>18.750776423852322</v>
      </c>
      <c r="M1012">
        <v>67.522702552523114</v>
      </c>
      <c r="N1012">
        <v>51.399117512909527</v>
      </c>
      <c r="O1012">
        <v>4.4820000000000002</v>
      </c>
      <c r="P1012">
        <v>0.27799999999999958</v>
      </c>
      <c r="Q1012">
        <v>1011</v>
      </c>
      <c r="R1012">
        <v>28</v>
      </c>
      <c r="S1012" t="s">
        <v>24</v>
      </c>
      <c r="T1012" t="s">
        <v>845</v>
      </c>
      <c r="U1012">
        <v>5000</v>
      </c>
      <c r="V1012">
        <v>1000</v>
      </c>
    </row>
    <row r="1013" spans="1:22" x14ac:dyDescent="0.3">
      <c r="A1013" t="s">
        <v>1169</v>
      </c>
      <c r="B1013" t="s">
        <v>138</v>
      </c>
      <c r="C1013">
        <v>7.89</v>
      </c>
      <c r="D1013">
        <v>19.440000000000001</v>
      </c>
      <c r="E1013">
        <v>10.039999999999999</v>
      </c>
      <c r="F1013">
        <v>2.4700000000000002</v>
      </c>
      <c r="G1013">
        <v>69.237379162191189</v>
      </c>
      <c r="H1013">
        <v>53.037062457103644</v>
      </c>
      <c r="I1013">
        <v>52.551381998582556</v>
      </c>
      <c r="J1013">
        <v>56.034285568860611</v>
      </c>
      <c r="K1013">
        <v>9.9616858237547845</v>
      </c>
      <c r="L1013">
        <v>9.4965664689655345</v>
      </c>
      <c r="M1013">
        <v>83.551464378296728</v>
      </c>
      <c r="N1013">
        <v>51.395430334943185</v>
      </c>
      <c r="O1013">
        <v>9.219019607843137</v>
      </c>
      <c r="P1013">
        <v>0.82098039215686214</v>
      </c>
      <c r="Q1013">
        <v>1012</v>
      </c>
      <c r="R1013">
        <v>27</v>
      </c>
      <c r="S1013" t="s">
        <v>24</v>
      </c>
      <c r="T1013" t="s">
        <v>134</v>
      </c>
      <c r="U1013">
        <v>5000</v>
      </c>
      <c r="V1013">
        <v>1000</v>
      </c>
    </row>
    <row r="1014" spans="1:22" x14ac:dyDescent="0.3">
      <c r="A1014" t="s">
        <v>1170</v>
      </c>
      <c r="B1014" t="s">
        <v>138</v>
      </c>
      <c r="C1014">
        <v>7.89</v>
      </c>
      <c r="D1014">
        <v>19.440000000000001</v>
      </c>
      <c r="E1014">
        <v>10.039999999999999</v>
      </c>
      <c r="F1014">
        <v>2.4700000000000002</v>
      </c>
      <c r="G1014">
        <v>69.237379162191189</v>
      </c>
      <c r="H1014">
        <v>53.037062457103644</v>
      </c>
      <c r="I1014">
        <v>52.551381998582556</v>
      </c>
      <c r="J1014">
        <v>56.034285568860611</v>
      </c>
      <c r="K1014">
        <v>9.9616858237547845</v>
      </c>
      <c r="L1014">
        <v>9.4965664689655345</v>
      </c>
      <c r="M1014">
        <v>83.551464378296728</v>
      </c>
      <c r="N1014">
        <v>51.395430334943185</v>
      </c>
      <c r="O1014">
        <v>9.219019607843137</v>
      </c>
      <c r="P1014">
        <v>0.82098039215686214</v>
      </c>
      <c r="Q1014">
        <v>1012</v>
      </c>
      <c r="R1014">
        <v>27</v>
      </c>
      <c r="S1014" t="s">
        <v>24</v>
      </c>
      <c r="T1014" t="s">
        <v>134</v>
      </c>
      <c r="U1014">
        <v>5000</v>
      </c>
      <c r="V1014">
        <v>1000</v>
      </c>
    </row>
    <row r="1015" spans="1:22" x14ac:dyDescent="0.3">
      <c r="A1015" t="s">
        <v>1171</v>
      </c>
      <c r="B1015" t="s">
        <v>138</v>
      </c>
      <c r="C1015">
        <v>7.89</v>
      </c>
      <c r="D1015">
        <v>19.440000000000001</v>
      </c>
      <c r="E1015">
        <v>10.029999999999999</v>
      </c>
      <c r="F1015">
        <v>2.4700000000000002</v>
      </c>
      <c r="G1015">
        <v>69.237379162191189</v>
      </c>
      <c r="H1015">
        <v>53.037062457103644</v>
      </c>
      <c r="I1015">
        <v>52.515946137491134</v>
      </c>
      <c r="J1015">
        <v>56.016567638314896</v>
      </c>
      <c r="K1015">
        <v>9.9616858237547845</v>
      </c>
      <c r="L1015">
        <v>9.5072616629188111</v>
      </c>
      <c r="M1015">
        <v>83.532939758972844</v>
      </c>
      <c r="N1015">
        <v>51.381940214839354</v>
      </c>
      <c r="O1015">
        <v>9.219019607843137</v>
      </c>
      <c r="P1015">
        <v>0.81098039215686235</v>
      </c>
      <c r="Q1015">
        <v>1014</v>
      </c>
      <c r="R1015">
        <v>29</v>
      </c>
      <c r="S1015" t="s">
        <v>24</v>
      </c>
      <c r="T1015" t="s">
        <v>134</v>
      </c>
      <c r="U1015">
        <v>5000</v>
      </c>
      <c r="V1015">
        <v>1000</v>
      </c>
    </row>
    <row r="1016" spans="1:22" x14ac:dyDescent="0.3">
      <c r="A1016" t="s">
        <v>1172</v>
      </c>
      <c r="B1016" t="s">
        <v>138</v>
      </c>
      <c r="C1016">
        <v>3.78</v>
      </c>
      <c r="D1016">
        <v>12</v>
      </c>
      <c r="E1016">
        <v>11.61</v>
      </c>
      <c r="F1016">
        <v>2.2599999999999998</v>
      </c>
      <c r="G1016">
        <v>60.408163265306115</v>
      </c>
      <c r="H1016">
        <v>40.27110501029513</v>
      </c>
      <c r="I1016">
        <v>58.114812189936217</v>
      </c>
      <c r="J1016">
        <v>53.22037025111787</v>
      </c>
      <c r="K1016">
        <v>18.00766283524904</v>
      </c>
      <c r="L1016">
        <v>11.023901761123275</v>
      </c>
      <c r="M1016">
        <v>80.906042052086462</v>
      </c>
      <c r="N1016">
        <v>51.338611347392813</v>
      </c>
      <c r="O1016">
        <v>9.219019607843137</v>
      </c>
      <c r="P1016">
        <v>2.3909803921568624</v>
      </c>
      <c r="Q1016">
        <v>1015</v>
      </c>
      <c r="R1016">
        <v>30</v>
      </c>
      <c r="S1016" t="s">
        <v>24</v>
      </c>
      <c r="T1016" t="s">
        <v>134</v>
      </c>
      <c r="U1016">
        <v>5000</v>
      </c>
      <c r="V1016">
        <v>1000</v>
      </c>
    </row>
    <row r="1017" spans="1:22" x14ac:dyDescent="0.3">
      <c r="A1017" t="s">
        <v>1173</v>
      </c>
      <c r="B1017" t="s">
        <v>410</v>
      </c>
      <c r="C1017">
        <v>5.35</v>
      </c>
      <c r="D1017">
        <v>4.42</v>
      </c>
      <c r="E1017">
        <v>3.32</v>
      </c>
      <c r="F1017">
        <v>0.89</v>
      </c>
      <c r="G1017">
        <v>63.780880773361972</v>
      </c>
      <c r="H1017">
        <v>27.264927934111192</v>
      </c>
      <c r="I1017">
        <v>28.738483345145283</v>
      </c>
      <c r="J1017">
        <v>35.304896207478393</v>
      </c>
      <c r="K1017">
        <v>70.498084291187737</v>
      </c>
      <c r="L1017">
        <v>20.67025154993226</v>
      </c>
      <c r="M1017">
        <v>64.19807411028799</v>
      </c>
      <c r="N1017">
        <v>51.326487704108125</v>
      </c>
      <c r="O1017">
        <v>4.4264935064935065</v>
      </c>
      <c r="P1017">
        <v>-1.1064935064935066</v>
      </c>
      <c r="Q1017">
        <v>1016</v>
      </c>
      <c r="R1017">
        <v>58</v>
      </c>
      <c r="S1017" t="s">
        <v>24</v>
      </c>
      <c r="T1017" t="s">
        <v>499</v>
      </c>
      <c r="U1017">
        <v>1000</v>
      </c>
      <c r="V1017">
        <v>1000</v>
      </c>
    </row>
    <row r="1018" spans="1:22" x14ac:dyDescent="0.3">
      <c r="A1018" t="s">
        <v>1174</v>
      </c>
      <c r="B1018" t="s">
        <v>976</v>
      </c>
      <c r="C1018">
        <v>4.76</v>
      </c>
      <c r="D1018">
        <v>2.1800000000000002</v>
      </c>
      <c r="E1018">
        <v>4.18</v>
      </c>
      <c r="F1018">
        <v>0.9</v>
      </c>
      <c r="G1018">
        <v>62.513426423200855</v>
      </c>
      <c r="H1018">
        <v>23.421413864104331</v>
      </c>
      <c r="I1018">
        <v>31.785967399007792</v>
      </c>
      <c r="J1018">
        <v>35.422093143375363</v>
      </c>
      <c r="K1018">
        <v>70.114942528735625</v>
      </c>
      <c r="L1018">
        <v>20.58449230141585</v>
      </c>
      <c r="M1018">
        <v>64.34661348593734</v>
      </c>
      <c r="N1018">
        <v>51.326435575355916</v>
      </c>
      <c r="O1018">
        <v>4.3111111111111109</v>
      </c>
      <c r="P1018">
        <v>-0.13111111111111118</v>
      </c>
      <c r="Q1018">
        <v>1017</v>
      </c>
      <c r="R1018">
        <v>11</v>
      </c>
      <c r="S1018" t="s">
        <v>24</v>
      </c>
      <c r="T1018" t="s">
        <v>1119</v>
      </c>
      <c r="U1018">
        <v>1000</v>
      </c>
      <c r="V1018">
        <v>1000</v>
      </c>
    </row>
    <row r="1019" spans="1:22" x14ac:dyDescent="0.3">
      <c r="A1019" t="s">
        <v>1175</v>
      </c>
      <c r="B1019" t="s">
        <v>199</v>
      </c>
      <c r="C1019">
        <v>-1.1100000000000001</v>
      </c>
      <c r="D1019">
        <v>14.63</v>
      </c>
      <c r="E1019">
        <v>11.98</v>
      </c>
      <c r="F1019">
        <v>2.42</v>
      </c>
      <c r="G1019">
        <v>49.903329752953809</v>
      </c>
      <c r="H1019">
        <v>44.783802333562122</v>
      </c>
      <c r="I1019">
        <v>59.425939050318924</v>
      </c>
      <c r="J1019">
        <v>53.128776175818857</v>
      </c>
      <c r="K1019">
        <v>11.877394636015314</v>
      </c>
      <c r="L1019">
        <v>7.430587868851803</v>
      </c>
      <c r="M1019">
        <v>87.129844281043731</v>
      </c>
      <c r="N1019">
        <v>51.316197817174185</v>
      </c>
      <c r="O1019">
        <v>9.83</v>
      </c>
      <c r="P1019">
        <v>2.1500000000000004</v>
      </c>
      <c r="Q1019">
        <v>1018</v>
      </c>
      <c r="R1019">
        <v>16</v>
      </c>
      <c r="S1019" t="s">
        <v>24</v>
      </c>
      <c r="T1019" t="s">
        <v>78</v>
      </c>
      <c r="U1019">
        <v>1000</v>
      </c>
      <c r="V1019">
        <v>1000</v>
      </c>
    </row>
    <row r="1020" spans="1:22" x14ac:dyDescent="0.3">
      <c r="A1020" t="s">
        <v>1176</v>
      </c>
      <c r="B1020" t="s">
        <v>272</v>
      </c>
      <c r="C1020">
        <v>2.66</v>
      </c>
      <c r="D1020">
        <v>15.22</v>
      </c>
      <c r="E1020">
        <v>10.83</v>
      </c>
      <c r="F1020">
        <v>2.46</v>
      </c>
      <c r="G1020">
        <v>58.002148227712134</v>
      </c>
      <c r="H1020">
        <v>45.796156485929998</v>
      </c>
      <c r="I1020">
        <v>55.350815024805101</v>
      </c>
      <c r="J1020">
        <v>53.01468410372398</v>
      </c>
      <c r="K1020">
        <v>10.344827586206895</v>
      </c>
      <c r="L1020">
        <v>6.4201155486459109</v>
      </c>
      <c r="M1020">
        <v>88.880033679282349</v>
      </c>
      <c r="N1020">
        <v>51.313557368234299</v>
      </c>
      <c r="O1020">
        <v>10.044583333333334</v>
      </c>
      <c r="P1020">
        <v>0.78541666666666643</v>
      </c>
      <c r="Q1020">
        <v>1019</v>
      </c>
      <c r="R1020">
        <v>28</v>
      </c>
      <c r="S1020" t="s">
        <v>24</v>
      </c>
      <c r="T1020" t="s">
        <v>273</v>
      </c>
      <c r="U1020">
        <v>5000</v>
      </c>
      <c r="V1020">
        <v>1000</v>
      </c>
    </row>
    <row r="1021" spans="1:22" x14ac:dyDescent="0.3">
      <c r="A1021" t="s">
        <v>1177</v>
      </c>
      <c r="B1021" t="s">
        <v>844</v>
      </c>
      <c r="C1021">
        <v>3.98</v>
      </c>
      <c r="D1021">
        <v>3.83</v>
      </c>
      <c r="E1021">
        <v>4.42</v>
      </c>
      <c r="F1021">
        <v>1.05</v>
      </c>
      <c r="G1021">
        <v>60.837808807733616</v>
      </c>
      <c r="H1021">
        <v>26.252573781743312</v>
      </c>
      <c r="I1021">
        <v>32.636428065201983</v>
      </c>
      <c r="J1021">
        <v>36.36154792867071</v>
      </c>
      <c r="K1021">
        <v>64.367816091954026</v>
      </c>
      <c r="L1021">
        <v>18.403849022693841</v>
      </c>
      <c r="M1021">
        <v>68.123598437867443</v>
      </c>
      <c r="N1021">
        <v>51.303627596790719</v>
      </c>
      <c r="O1021">
        <v>4.4820000000000002</v>
      </c>
      <c r="P1021">
        <v>-6.2000000000000277E-2</v>
      </c>
      <c r="Q1021">
        <v>1020</v>
      </c>
      <c r="R1021">
        <v>29</v>
      </c>
      <c r="S1021" t="s">
        <v>24</v>
      </c>
      <c r="T1021" t="s">
        <v>845</v>
      </c>
      <c r="U1021">
        <v>1000</v>
      </c>
      <c r="V1021">
        <v>1000</v>
      </c>
    </row>
    <row r="1022" spans="1:22" x14ac:dyDescent="0.3">
      <c r="A1022" t="s">
        <v>1178</v>
      </c>
      <c r="B1022" t="s">
        <v>138</v>
      </c>
      <c r="C1022">
        <v>3.78</v>
      </c>
      <c r="D1022">
        <v>12</v>
      </c>
      <c r="E1022">
        <v>11.54</v>
      </c>
      <c r="F1022">
        <v>2.2599999999999998</v>
      </c>
      <c r="G1022">
        <v>60.408163265306115</v>
      </c>
      <c r="H1022">
        <v>40.27110501029513</v>
      </c>
      <c r="I1022">
        <v>57.866761162296228</v>
      </c>
      <c r="J1022">
        <v>53.096344737297876</v>
      </c>
      <c r="K1022">
        <v>18.00766283524904</v>
      </c>
      <c r="L1022">
        <v>10.966364903910678</v>
      </c>
      <c r="M1022">
        <v>81.005698812086507</v>
      </c>
      <c r="N1022">
        <v>51.301512780482824</v>
      </c>
      <c r="O1022">
        <v>9.219019607843137</v>
      </c>
      <c r="P1022">
        <v>2.3209803921568621</v>
      </c>
      <c r="Q1022">
        <v>1021</v>
      </c>
      <c r="R1022">
        <v>31</v>
      </c>
      <c r="S1022" t="s">
        <v>24</v>
      </c>
      <c r="T1022" t="s">
        <v>134</v>
      </c>
      <c r="U1022">
        <v>5000</v>
      </c>
      <c r="V1022">
        <v>1000</v>
      </c>
    </row>
    <row r="1023" spans="1:22" x14ac:dyDescent="0.3">
      <c r="A1023" t="s">
        <v>1179</v>
      </c>
      <c r="B1023" t="s">
        <v>272</v>
      </c>
      <c r="C1023">
        <v>-1.66</v>
      </c>
      <c r="D1023">
        <v>11.9</v>
      </c>
      <c r="E1023">
        <v>9.5</v>
      </c>
      <c r="F1023">
        <v>2.19</v>
      </c>
      <c r="G1023">
        <v>48.721804511278194</v>
      </c>
      <c r="H1023">
        <v>40.099519560741257</v>
      </c>
      <c r="I1023">
        <v>50.637845499645643</v>
      </c>
      <c r="J1023">
        <v>47.093139520300838</v>
      </c>
      <c r="K1023">
        <v>20.68965517241379</v>
      </c>
      <c r="L1023">
        <v>5.6135449945042879</v>
      </c>
      <c r="M1023">
        <v>90.277054858944624</v>
      </c>
      <c r="N1023">
        <v>51.288247267990023</v>
      </c>
      <c r="O1023">
        <v>10.044583333333334</v>
      </c>
      <c r="P1023">
        <v>-0.54458333333333364</v>
      </c>
      <c r="Q1023">
        <v>1022</v>
      </c>
      <c r="R1023">
        <v>29</v>
      </c>
      <c r="S1023" t="s">
        <v>24</v>
      </c>
      <c r="T1023" t="s">
        <v>291</v>
      </c>
      <c r="U1023">
        <v>1000</v>
      </c>
      <c r="V1023">
        <v>1000</v>
      </c>
    </row>
    <row r="1024" spans="1:22" x14ac:dyDescent="0.3">
      <c r="A1024" t="s">
        <v>1180</v>
      </c>
      <c r="B1024" t="s">
        <v>358</v>
      </c>
      <c r="C1024">
        <v>4.4000000000000004</v>
      </c>
      <c r="D1024">
        <v>3.05</v>
      </c>
      <c r="E1024">
        <v>4.7</v>
      </c>
      <c r="F1024">
        <v>1.03</v>
      </c>
      <c r="G1024">
        <v>61.740064446831354</v>
      </c>
      <c r="H1024">
        <v>24.914207275223067</v>
      </c>
      <c r="I1024">
        <v>33.628632175761872</v>
      </c>
      <c r="J1024">
        <v>36.636591159814131</v>
      </c>
      <c r="K1024">
        <v>65.134099616858236</v>
      </c>
      <c r="L1024">
        <v>19.245508489436137</v>
      </c>
      <c r="M1024">
        <v>66.665801478798443</v>
      </c>
      <c r="N1024">
        <v>51.268270853821235</v>
      </c>
      <c r="O1024">
        <v>5.0554237288135591</v>
      </c>
      <c r="P1024">
        <v>-0.35542372881355888</v>
      </c>
      <c r="Q1024">
        <v>1023</v>
      </c>
      <c r="R1024">
        <v>58</v>
      </c>
      <c r="S1024" t="s">
        <v>24</v>
      </c>
      <c r="T1024" t="s">
        <v>457</v>
      </c>
      <c r="U1024">
        <v>5000</v>
      </c>
      <c r="V1024">
        <v>1000</v>
      </c>
    </row>
    <row r="1025" spans="1:22" x14ac:dyDescent="0.3">
      <c r="A1025" t="s">
        <v>1181</v>
      </c>
      <c r="B1025" t="s">
        <v>358</v>
      </c>
      <c r="C1025">
        <v>4.41</v>
      </c>
      <c r="D1025">
        <v>3.05</v>
      </c>
      <c r="E1025">
        <v>4.7</v>
      </c>
      <c r="F1025">
        <v>1.03</v>
      </c>
      <c r="G1025">
        <v>61.761546723952733</v>
      </c>
      <c r="H1025">
        <v>24.914207275223067</v>
      </c>
      <c r="I1025">
        <v>33.628632175761872</v>
      </c>
      <c r="J1025">
        <v>36.640887615238398</v>
      </c>
      <c r="K1025">
        <v>65.134099616858236</v>
      </c>
      <c r="L1025">
        <v>19.257589442316196</v>
      </c>
      <c r="M1025">
        <v>66.64487665460635</v>
      </c>
      <c r="N1025">
        <v>51.265187875485346</v>
      </c>
      <c r="O1025">
        <v>5.0554237288135591</v>
      </c>
      <c r="P1025">
        <v>-0.35542372881355888</v>
      </c>
      <c r="Q1025">
        <v>1024</v>
      </c>
      <c r="R1025">
        <v>59</v>
      </c>
      <c r="S1025" t="s">
        <v>24</v>
      </c>
      <c r="T1025" t="s">
        <v>457</v>
      </c>
      <c r="U1025">
        <v>5000</v>
      </c>
      <c r="V1025">
        <v>1000</v>
      </c>
    </row>
    <row r="1026" spans="1:22" x14ac:dyDescent="0.3">
      <c r="A1026" t="s">
        <v>1182</v>
      </c>
      <c r="B1026" t="s">
        <v>155</v>
      </c>
      <c r="C1026">
        <v>4.3099999999999996</v>
      </c>
      <c r="D1026">
        <v>3.16</v>
      </c>
      <c r="E1026">
        <v>4.04</v>
      </c>
      <c r="F1026">
        <v>0.96</v>
      </c>
      <c r="G1026">
        <v>61.546723952738994</v>
      </c>
      <c r="H1026">
        <v>25.102951269732333</v>
      </c>
      <c r="I1026">
        <v>31.28986534372785</v>
      </c>
      <c r="J1026">
        <v>35.485162843331423</v>
      </c>
      <c r="K1026">
        <v>67.81609195402298</v>
      </c>
      <c r="L1026">
        <v>19.501726274082159</v>
      </c>
      <c r="M1026">
        <v>66.222019257988791</v>
      </c>
      <c r="N1026">
        <v>51.252109224668658</v>
      </c>
      <c r="O1026">
        <v>5.2086538461538465</v>
      </c>
      <c r="P1026">
        <v>-1.1686538461538465</v>
      </c>
      <c r="Q1026">
        <v>1025</v>
      </c>
      <c r="R1026">
        <v>29</v>
      </c>
      <c r="S1026" t="s">
        <v>24</v>
      </c>
      <c r="T1026" t="s">
        <v>45</v>
      </c>
      <c r="U1026">
        <v>1000</v>
      </c>
      <c r="V1026">
        <v>1000</v>
      </c>
    </row>
    <row r="1027" spans="1:22" x14ac:dyDescent="0.3">
      <c r="A1027" t="s">
        <v>1183</v>
      </c>
      <c r="B1027" t="s">
        <v>229</v>
      </c>
      <c r="C1027">
        <v>5.27</v>
      </c>
      <c r="D1027">
        <v>3.85</v>
      </c>
      <c r="E1027">
        <v>4.46</v>
      </c>
      <c r="F1027">
        <v>1.02</v>
      </c>
      <c r="G1027">
        <v>63.609022556390968</v>
      </c>
      <c r="H1027">
        <v>26.286890871654091</v>
      </c>
      <c r="I1027">
        <v>32.778171509567677</v>
      </c>
      <c r="J1027">
        <v>36.996957527558259</v>
      </c>
      <c r="K1027">
        <v>65.517241379310349</v>
      </c>
      <c r="L1027">
        <v>19.939991700451284</v>
      </c>
      <c r="M1027">
        <v>65.462921272316635</v>
      </c>
      <c r="N1027">
        <v>51.243519426685879</v>
      </c>
      <c r="O1027">
        <v>5.1221052631578941</v>
      </c>
      <c r="P1027">
        <v>-0.66210526315789409</v>
      </c>
      <c r="Q1027">
        <v>1026</v>
      </c>
      <c r="R1027">
        <v>61</v>
      </c>
      <c r="S1027" t="s">
        <v>24</v>
      </c>
      <c r="T1027" t="s">
        <v>230</v>
      </c>
      <c r="U1027">
        <v>5000</v>
      </c>
      <c r="V1027">
        <v>1000</v>
      </c>
    </row>
    <row r="1028" spans="1:22" x14ac:dyDescent="0.3">
      <c r="A1028" t="s">
        <v>1184</v>
      </c>
      <c r="B1028" t="s">
        <v>148</v>
      </c>
      <c r="C1028">
        <v>-0.03</v>
      </c>
      <c r="D1028">
        <v>10.32</v>
      </c>
      <c r="E1028">
        <v>7.29</v>
      </c>
      <c r="F1028">
        <v>1.9</v>
      </c>
      <c r="G1028">
        <v>52.223415682062289</v>
      </c>
      <c r="H1028">
        <v>37.388469457789988</v>
      </c>
      <c r="I1028">
        <v>42.806520198440815</v>
      </c>
      <c r="J1028">
        <v>43.064484072969861</v>
      </c>
      <c r="K1028">
        <v>31.800766283524908</v>
      </c>
      <c r="L1028">
        <v>7.5067616614930177</v>
      </c>
      <c r="M1028">
        <v>86.997907401983937</v>
      </c>
      <c r="N1028">
        <v>51.231910457862142</v>
      </c>
      <c r="O1028">
        <v>10.461</v>
      </c>
      <c r="P1028">
        <v>-3.1710000000000003</v>
      </c>
      <c r="Q1028">
        <v>1027</v>
      </c>
      <c r="R1028">
        <v>30</v>
      </c>
      <c r="S1028" t="s">
        <v>24</v>
      </c>
      <c r="T1028" t="s">
        <v>107</v>
      </c>
      <c r="U1028">
        <v>1000</v>
      </c>
      <c r="V1028">
        <v>1000</v>
      </c>
    </row>
    <row r="1029" spans="1:22" x14ac:dyDescent="0.3">
      <c r="A1029" t="s">
        <v>1185</v>
      </c>
      <c r="B1029" t="s">
        <v>202</v>
      </c>
      <c r="C1029">
        <v>12.58</v>
      </c>
      <c r="D1029">
        <v>16.52</v>
      </c>
      <c r="E1029">
        <v>8.1300000000000008</v>
      </c>
      <c r="F1029">
        <v>1.92</v>
      </c>
      <c r="G1029">
        <v>79.312567132116001</v>
      </c>
      <c r="H1029">
        <v>48.026767330130411</v>
      </c>
      <c r="I1029">
        <v>45.783132530120483</v>
      </c>
      <c r="J1029">
        <v>53.162109890522565</v>
      </c>
      <c r="K1029">
        <v>31.034482758620683</v>
      </c>
      <c r="L1029">
        <v>18.744146424485127</v>
      </c>
      <c r="M1029">
        <v>67.534186048281256</v>
      </c>
      <c r="N1029">
        <v>51.223222146986771</v>
      </c>
      <c r="O1029">
        <v>10.023387096774194</v>
      </c>
      <c r="P1029">
        <v>-1.8933870967741928</v>
      </c>
      <c r="Q1029">
        <v>1028</v>
      </c>
      <c r="R1029">
        <v>40</v>
      </c>
      <c r="S1029" t="s">
        <v>24</v>
      </c>
      <c r="T1029" t="s">
        <v>78</v>
      </c>
      <c r="U1029">
        <v>1000</v>
      </c>
      <c r="V1029">
        <v>1000</v>
      </c>
    </row>
    <row r="1030" spans="1:22" x14ac:dyDescent="0.3">
      <c r="A1030" t="s">
        <v>1186</v>
      </c>
      <c r="B1030" t="s">
        <v>844</v>
      </c>
      <c r="C1030">
        <v>4.6399999999999997</v>
      </c>
      <c r="D1030">
        <v>4.0999999999999996</v>
      </c>
      <c r="E1030">
        <v>4.6399999999999997</v>
      </c>
      <c r="F1030">
        <v>1.08</v>
      </c>
      <c r="G1030">
        <v>62.25563909774435</v>
      </c>
      <c r="H1030">
        <v>26.715854495538782</v>
      </c>
      <c r="I1030">
        <v>33.41601700921332</v>
      </c>
      <c r="J1030">
        <v>37.173892672817168</v>
      </c>
      <c r="K1030">
        <v>63.218390804597703</v>
      </c>
      <c r="L1030">
        <v>18.884262713920041</v>
      </c>
      <c r="M1030">
        <v>67.291497516011958</v>
      </c>
      <c r="N1030">
        <v>51.214418416560996</v>
      </c>
      <c r="O1030">
        <v>4.4820000000000002</v>
      </c>
      <c r="P1030">
        <v>0.15799999999999947</v>
      </c>
      <c r="Q1030">
        <v>1029</v>
      </c>
      <c r="R1030">
        <v>30</v>
      </c>
      <c r="S1030" t="s">
        <v>24</v>
      </c>
      <c r="T1030" t="s">
        <v>845</v>
      </c>
      <c r="U1030">
        <v>5000</v>
      </c>
      <c r="V1030">
        <v>1000</v>
      </c>
    </row>
    <row r="1031" spans="1:22" x14ac:dyDescent="0.3">
      <c r="A1031" t="s">
        <v>1187</v>
      </c>
      <c r="B1031" t="s">
        <v>229</v>
      </c>
      <c r="C1031">
        <v>5.27</v>
      </c>
      <c r="D1031">
        <v>3.84</v>
      </c>
      <c r="E1031">
        <v>4.4400000000000004</v>
      </c>
      <c r="F1031">
        <v>1.02</v>
      </c>
      <c r="G1031">
        <v>63.609022556390968</v>
      </c>
      <c r="H1031">
        <v>26.269732326698701</v>
      </c>
      <c r="I1031">
        <v>32.707299787384834</v>
      </c>
      <c r="J1031">
        <v>36.95637410298022</v>
      </c>
      <c r="K1031">
        <v>65.517241379310349</v>
      </c>
      <c r="L1031">
        <v>19.960717003490419</v>
      </c>
      <c r="M1031">
        <v>65.427023994450593</v>
      </c>
      <c r="N1031">
        <v>51.214253394930346</v>
      </c>
      <c r="O1031">
        <v>5.1221052631578941</v>
      </c>
      <c r="P1031">
        <v>-0.68210526315789366</v>
      </c>
      <c r="Q1031">
        <v>1030</v>
      </c>
      <c r="R1031">
        <v>62</v>
      </c>
      <c r="S1031" t="s">
        <v>24</v>
      </c>
      <c r="T1031" t="s">
        <v>230</v>
      </c>
      <c r="U1031">
        <v>5000</v>
      </c>
      <c r="V1031">
        <v>1000</v>
      </c>
    </row>
    <row r="1032" spans="1:22" x14ac:dyDescent="0.3">
      <c r="A1032" t="s">
        <v>1188</v>
      </c>
      <c r="B1032" t="s">
        <v>123</v>
      </c>
      <c r="C1032">
        <v>5.99</v>
      </c>
      <c r="D1032">
        <v>13.26</v>
      </c>
      <c r="E1032">
        <v>9.32</v>
      </c>
      <c r="F1032">
        <v>2.12</v>
      </c>
      <c r="G1032">
        <v>65.155746509129969</v>
      </c>
      <c r="H1032">
        <v>42.433081674673986</v>
      </c>
      <c r="I1032">
        <v>50</v>
      </c>
      <c r="J1032">
        <v>50.761073804228189</v>
      </c>
      <c r="K1032">
        <v>23.371647509578541</v>
      </c>
      <c r="L1032">
        <v>11.570612216373734</v>
      </c>
      <c r="M1032">
        <v>79.959111766563552</v>
      </c>
      <c r="N1032">
        <v>51.213226721149617</v>
      </c>
      <c r="O1032">
        <v>10.563571428571427</v>
      </c>
      <c r="P1032">
        <v>-1.2435714285714266</v>
      </c>
      <c r="Q1032">
        <v>1031</v>
      </c>
      <c r="R1032">
        <v>10</v>
      </c>
      <c r="S1032" t="s">
        <v>24</v>
      </c>
      <c r="T1032" t="s">
        <v>45</v>
      </c>
      <c r="U1032">
        <v>1000</v>
      </c>
      <c r="V1032">
        <v>1000</v>
      </c>
    </row>
    <row r="1033" spans="1:22" x14ac:dyDescent="0.3">
      <c r="A1033" t="s">
        <v>1189</v>
      </c>
      <c r="B1033" t="s">
        <v>844</v>
      </c>
      <c r="C1033">
        <v>4.17</v>
      </c>
      <c r="D1033">
        <v>3.74</v>
      </c>
      <c r="E1033">
        <v>4.2699999999999996</v>
      </c>
      <c r="F1033">
        <v>1.03</v>
      </c>
      <c r="G1033">
        <v>61.245972073039731</v>
      </c>
      <c r="H1033">
        <v>26.098146877144824</v>
      </c>
      <c r="I1033">
        <v>32.104890148830613</v>
      </c>
      <c r="J1033">
        <v>36.1310835521667</v>
      </c>
      <c r="K1033">
        <v>65.134099616858236</v>
      </c>
      <c r="L1033">
        <v>18.8000586721008</v>
      </c>
      <c r="M1033">
        <v>67.437343194645536</v>
      </c>
      <c r="N1033">
        <v>51.208402478959293</v>
      </c>
      <c r="O1033">
        <v>4.4820000000000002</v>
      </c>
      <c r="P1033">
        <v>-0.21200000000000063</v>
      </c>
      <c r="Q1033">
        <v>1032</v>
      </c>
      <c r="R1033">
        <v>31</v>
      </c>
      <c r="S1033" t="s">
        <v>24</v>
      </c>
      <c r="T1033" t="s">
        <v>845</v>
      </c>
      <c r="U1033">
        <v>5000</v>
      </c>
      <c r="V1033">
        <v>1000</v>
      </c>
    </row>
    <row r="1034" spans="1:22" x14ac:dyDescent="0.3">
      <c r="A1034" t="s">
        <v>1190</v>
      </c>
      <c r="B1034" t="s">
        <v>410</v>
      </c>
      <c r="C1034">
        <v>5.23</v>
      </c>
      <c r="D1034">
        <v>4.29</v>
      </c>
      <c r="E1034">
        <v>3.69</v>
      </c>
      <c r="F1034">
        <v>0.95</v>
      </c>
      <c r="G1034">
        <v>63.523093447905474</v>
      </c>
      <c r="H1034">
        <v>27.04186684969115</v>
      </c>
      <c r="I1034">
        <v>30.049610205527987</v>
      </c>
      <c r="J1034">
        <v>35.841983847252436</v>
      </c>
      <c r="K1034">
        <v>68.199233716475092</v>
      </c>
      <c r="L1034">
        <v>20.250104915705858</v>
      </c>
      <c r="M1034">
        <v>64.925789427397177</v>
      </c>
      <c r="N1034">
        <v>51.202247709594282</v>
      </c>
      <c r="O1034">
        <v>4.4264935064935065</v>
      </c>
      <c r="P1034">
        <v>-0.73649350649350653</v>
      </c>
      <c r="Q1034">
        <v>1033</v>
      </c>
      <c r="R1034">
        <v>59</v>
      </c>
      <c r="S1034" t="s">
        <v>24</v>
      </c>
      <c r="T1034" t="s">
        <v>411</v>
      </c>
      <c r="U1034">
        <v>1000</v>
      </c>
      <c r="V1034">
        <v>1000</v>
      </c>
    </row>
    <row r="1035" spans="1:22" x14ac:dyDescent="0.3">
      <c r="A1035" t="s">
        <v>1191</v>
      </c>
      <c r="B1035" t="s">
        <v>395</v>
      </c>
      <c r="C1035">
        <v>6.15</v>
      </c>
      <c r="D1035">
        <v>4.3499999999999996</v>
      </c>
      <c r="E1035">
        <v>4.0199999999999996</v>
      </c>
      <c r="F1035">
        <v>0.97</v>
      </c>
      <c r="G1035">
        <v>65.499462943071961</v>
      </c>
      <c r="H1035">
        <v>27.144818119423476</v>
      </c>
      <c r="I1035">
        <v>31.218993621545</v>
      </c>
      <c r="J1035">
        <v>36.852834835213933</v>
      </c>
      <c r="K1035">
        <v>67.432950191570868</v>
      </c>
      <c r="L1035">
        <v>21.066672979196564</v>
      </c>
      <c r="M1035">
        <v>63.511452053593146</v>
      </c>
      <c r="N1035">
        <v>51.162517978897966</v>
      </c>
      <c r="O1035">
        <v>5.2778260869565221</v>
      </c>
      <c r="P1035">
        <v>-1.2578260869565225</v>
      </c>
      <c r="Q1035">
        <v>1034</v>
      </c>
      <c r="R1035">
        <v>20</v>
      </c>
      <c r="S1035" t="s">
        <v>24</v>
      </c>
      <c r="T1035" t="s">
        <v>230</v>
      </c>
      <c r="U1035">
        <v>1000</v>
      </c>
      <c r="V1035">
        <v>1000</v>
      </c>
    </row>
    <row r="1036" spans="1:22" x14ac:dyDescent="0.3">
      <c r="A1036" t="s">
        <v>1192</v>
      </c>
      <c r="B1036" t="s">
        <v>410</v>
      </c>
      <c r="C1036">
        <v>5.24</v>
      </c>
      <c r="D1036">
        <v>4.3</v>
      </c>
      <c r="E1036">
        <v>3.63</v>
      </c>
      <c r="F1036">
        <v>0.95</v>
      </c>
      <c r="G1036">
        <v>63.544575725026853</v>
      </c>
      <c r="H1036">
        <v>27.05902539464654</v>
      </c>
      <c r="I1036">
        <v>29.836995038979442</v>
      </c>
      <c r="J1036">
        <v>35.745120282889054</v>
      </c>
      <c r="K1036">
        <v>68.199233716475092</v>
      </c>
      <c r="L1036">
        <v>20.310561677617986</v>
      </c>
      <c r="M1036">
        <v>64.821075244104279</v>
      </c>
      <c r="N1036">
        <v>51.127637381589366</v>
      </c>
      <c r="O1036">
        <v>4.4264935064935065</v>
      </c>
      <c r="P1036">
        <v>-0.79649350649350659</v>
      </c>
      <c r="Q1036">
        <v>1035</v>
      </c>
      <c r="R1036">
        <v>60</v>
      </c>
      <c r="S1036" t="s">
        <v>24</v>
      </c>
      <c r="T1036" t="s">
        <v>411</v>
      </c>
      <c r="U1036">
        <v>1000</v>
      </c>
      <c r="V1036">
        <v>1000</v>
      </c>
    </row>
    <row r="1037" spans="1:22" x14ac:dyDescent="0.3">
      <c r="A1037" t="s">
        <v>1193</v>
      </c>
      <c r="B1037" t="s">
        <v>155</v>
      </c>
      <c r="C1037">
        <v>4.34</v>
      </c>
      <c r="D1037">
        <v>3.07</v>
      </c>
      <c r="E1037">
        <v>4.55</v>
      </c>
      <c r="F1037">
        <v>1.03</v>
      </c>
      <c r="G1037">
        <v>61.611170784103109</v>
      </c>
      <c r="H1037">
        <v>24.948524365133839</v>
      </c>
      <c r="I1037">
        <v>33.097094259390502</v>
      </c>
      <c r="J1037">
        <v>36.355338596056029</v>
      </c>
      <c r="K1037">
        <v>65.134099616858236</v>
      </c>
      <c r="L1037">
        <v>19.250980034884428</v>
      </c>
      <c r="M1037">
        <v>66.656324484086099</v>
      </c>
      <c r="N1037">
        <v>51.125275323264098</v>
      </c>
      <c r="O1037">
        <v>5.2086538461538465</v>
      </c>
      <c r="P1037">
        <v>-0.6586538461538467</v>
      </c>
      <c r="Q1037">
        <v>1036</v>
      </c>
      <c r="R1037">
        <v>30</v>
      </c>
      <c r="S1037" t="s">
        <v>24</v>
      </c>
      <c r="T1037" t="s">
        <v>45</v>
      </c>
      <c r="U1037">
        <v>5000</v>
      </c>
      <c r="V1037">
        <v>1000</v>
      </c>
    </row>
    <row r="1038" spans="1:22" x14ac:dyDescent="0.3">
      <c r="A1038" t="s">
        <v>1194</v>
      </c>
      <c r="B1038" t="s">
        <v>844</v>
      </c>
      <c r="C1038">
        <v>4.46</v>
      </c>
      <c r="D1038">
        <v>3.73</v>
      </c>
      <c r="E1038">
        <v>4.4400000000000004</v>
      </c>
      <c r="F1038">
        <v>1.05</v>
      </c>
      <c r="G1038">
        <v>61.868958109559614</v>
      </c>
      <c r="H1038">
        <v>26.080988332189435</v>
      </c>
      <c r="I1038">
        <v>32.707299787384834</v>
      </c>
      <c r="J1038">
        <v>36.551738015261165</v>
      </c>
      <c r="K1038">
        <v>64.367816091954026</v>
      </c>
      <c r="L1038">
        <v>19.039822742463059</v>
      </c>
      <c r="M1038">
        <v>67.022059642948591</v>
      </c>
      <c r="N1038">
        <v>51.12333794135624</v>
      </c>
      <c r="O1038">
        <v>4.4820000000000002</v>
      </c>
      <c r="P1038">
        <v>-4.1999999999999815E-2</v>
      </c>
      <c r="Q1038">
        <v>1037</v>
      </c>
      <c r="R1038">
        <v>32</v>
      </c>
      <c r="S1038" t="s">
        <v>24</v>
      </c>
      <c r="T1038" t="s">
        <v>845</v>
      </c>
      <c r="U1038">
        <v>1000</v>
      </c>
      <c r="V1038">
        <v>1000</v>
      </c>
    </row>
    <row r="1039" spans="1:22" x14ac:dyDescent="0.3">
      <c r="A1039" t="s">
        <v>1195</v>
      </c>
      <c r="B1039" t="s">
        <v>976</v>
      </c>
      <c r="C1039">
        <v>4.76</v>
      </c>
      <c r="D1039">
        <v>2.1800000000000002</v>
      </c>
      <c r="E1039">
        <v>4</v>
      </c>
      <c r="F1039">
        <v>0.9</v>
      </c>
      <c r="G1039">
        <v>62.513426423200855</v>
      </c>
      <c r="H1039">
        <v>23.421413864104331</v>
      </c>
      <c r="I1039">
        <v>31.148121899362152</v>
      </c>
      <c r="J1039">
        <v>35.103170393552546</v>
      </c>
      <c r="K1039">
        <v>70.114942528735625</v>
      </c>
      <c r="L1039">
        <v>20.702937757943978</v>
      </c>
      <c r="M1039">
        <v>64.14145993730493</v>
      </c>
      <c r="N1039">
        <v>51.115685813286419</v>
      </c>
      <c r="O1039">
        <v>4.3111111111111109</v>
      </c>
      <c r="P1039">
        <v>-0.31111111111111089</v>
      </c>
      <c r="Q1039">
        <v>1038</v>
      </c>
      <c r="R1039">
        <v>12</v>
      </c>
      <c r="S1039" t="s">
        <v>24</v>
      </c>
      <c r="T1039" t="s">
        <v>1119</v>
      </c>
      <c r="U1039">
        <v>1000</v>
      </c>
      <c r="V1039">
        <v>1000</v>
      </c>
    </row>
    <row r="1040" spans="1:22" x14ac:dyDescent="0.3">
      <c r="A1040" t="s">
        <v>1196</v>
      </c>
      <c r="B1040" t="s">
        <v>202</v>
      </c>
      <c r="C1040">
        <v>3.76</v>
      </c>
      <c r="D1040">
        <v>17.02</v>
      </c>
      <c r="E1040">
        <v>9.89</v>
      </c>
      <c r="F1040">
        <v>2.4900000000000002</v>
      </c>
      <c r="G1040">
        <v>60.365198711063371</v>
      </c>
      <c r="H1040">
        <v>48.884694577899801</v>
      </c>
      <c r="I1040">
        <v>52.0198440822112</v>
      </c>
      <c r="J1040">
        <v>52.74837015668821</v>
      </c>
      <c r="K1040">
        <v>9.1954022988505635</v>
      </c>
      <c r="L1040">
        <v>5.9340273205650451</v>
      </c>
      <c r="M1040">
        <v>89.721963187279528</v>
      </c>
      <c r="N1040">
        <v>51.103526449876625</v>
      </c>
      <c r="O1040">
        <v>10.023387096774194</v>
      </c>
      <c r="P1040">
        <v>-0.13338709677419303</v>
      </c>
      <c r="Q1040">
        <v>1039</v>
      </c>
      <c r="R1040">
        <v>41</v>
      </c>
      <c r="S1040" t="s">
        <v>24</v>
      </c>
      <c r="T1040" t="s">
        <v>78</v>
      </c>
      <c r="U1040">
        <v>1000</v>
      </c>
      <c r="V1040">
        <v>1000</v>
      </c>
    </row>
    <row r="1041" spans="1:22" x14ac:dyDescent="0.3">
      <c r="A1041" t="s">
        <v>1197</v>
      </c>
      <c r="B1041" t="s">
        <v>202</v>
      </c>
      <c r="C1041">
        <v>3.8</v>
      </c>
      <c r="D1041">
        <v>17.02</v>
      </c>
      <c r="E1041">
        <v>9.89</v>
      </c>
      <c r="F1041">
        <v>2.4900000000000002</v>
      </c>
      <c r="G1041">
        <v>60.451127819548866</v>
      </c>
      <c r="H1041">
        <v>48.884694577899801</v>
      </c>
      <c r="I1041">
        <v>52.0198440822112</v>
      </c>
      <c r="J1041">
        <v>52.765555978385308</v>
      </c>
      <c r="K1041">
        <v>9.1954022988505635</v>
      </c>
      <c r="L1041">
        <v>5.9818905290245699</v>
      </c>
      <c r="M1041">
        <v>89.639061678414379</v>
      </c>
      <c r="N1041">
        <v>51.091393983508894</v>
      </c>
      <c r="O1041">
        <v>10.023387096774194</v>
      </c>
      <c r="P1041">
        <v>-0.13338709677419303</v>
      </c>
      <c r="Q1041">
        <v>1040</v>
      </c>
      <c r="R1041">
        <v>42</v>
      </c>
      <c r="S1041" t="s">
        <v>24</v>
      </c>
      <c r="T1041" t="s">
        <v>78</v>
      </c>
      <c r="U1041">
        <v>1000</v>
      </c>
      <c r="V1041">
        <v>1000</v>
      </c>
    </row>
    <row r="1042" spans="1:22" x14ac:dyDescent="0.3">
      <c r="A1042" t="s">
        <v>1198</v>
      </c>
      <c r="B1042" t="s">
        <v>410</v>
      </c>
      <c r="C1042">
        <v>5.24</v>
      </c>
      <c r="D1042">
        <v>4.24</v>
      </c>
      <c r="E1042">
        <v>3.62</v>
      </c>
      <c r="F1042">
        <v>0.95</v>
      </c>
      <c r="G1042">
        <v>63.544575725026853</v>
      </c>
      <c r="H1042">
        <v>26.95607412491421</v>
      </c>
      <c r="I1042">
        <v>29.80155917788802</v>
      </c>
      <c r="J1042">
        <v>35.696516971423641</v>
      </c>
      <c r="K1042">
        <v>68.199233716475092</v>
      </c>
      <c r="L1042">
        <v>20.352749200982768</v>
      </c>
      <c r="M1042">
        <v>64.748004310190979</v>
      </c>
      <c r="N1042">
        <v>51.085067992378342</v>
      </c>
      <c r="O1042">
        <v>4.4264935064935065</v>
      </c>
      <c r="P1042">
        <v>-0.80649350649350637</v>
      </c>
      <c r="Q1042">
        <v>1041</v>
      </c>
      <c r="R1042">
        <v>61</v>
      </c>
      <c r="S1042" t="s">
        <v>24</v>
      </c>
      <c r="T1042" t="s">
        <v>411</v>
      </c>
      <c r="U1042">
        <v>1000</v>
      </c>
      <c r="V1042">
        <v>1000</v>
      </c>
    </row>
    <row r="1043" spans="1:22" x14ac:dyDescent="0.3">
      <c r="A1043" t="s">
        <v>1199</v>
      </c>
      <c r="B1043" t="s">
        <v>185</v>
      </c>
      <c r="C1043">
        <v>15.75</v>
      </c>
      <c r="D1043">
        <v>20.55</v>
      </c>
      <c r="E1043">
        <v>9.5500000000000007</v>
      </c>
      <c r="F1043">
        <v>2.2200000000000002</v>
      </c>
      <c r="G1043">
        <v>86.122448979591823</v>
      </c>
      <c r="H1043">
        <v>54.941660947151696</v>
      </c>
      <c r="I1043">
        <v>50.815024805102759</v>
      </c>
      <c r="J1043">
        <v>59.114500482615256</v>
      </c>
      <c r="K1043">
        <v>19.540229885057457</v>
      </c>
      <c r="L1043">
        <v>19.30407931850209</v>
      </c>
      <c r="M1043">
        <v>66.564353827014799</v>
      </c>
      <c r="N1043">
        <v>51.083396169325688</v>
      </c>
      <c r="O1043">
        <v>9.4014285714285712</v>
      </c>
      <c r="P1043">
        <v>0.14857142857142946</v>
      </c>
      <c r="Q1043">
        <v>1042</v>
      </c>
      <c r="R1043">
        <v>15</v>
      </c>
      <c r="S1043" t="s">
        <v>24</v>
      </c>
      <c r="T1043" t="s">
        <v>666</v>
      </c>
      <c r="U1043">
        <v>1000</v>
      </c>
      <c r="V1043">
        <v>1000</v>
      </c>
    </row>
    <row r="1044" spans="1:22" x14ac:dyDescent="0.3">
      <c r="A1044" t="s">
        <v>1200</v>
      </c>
      <c r="B1044" t="s">
        <v>844</v>
      </c>
      <c r="C1044">
        <v>4.09</v>
      </c>
      <c r="D1044">
        <v>3.97</v>
      </c>
      <c r="E1044">
        <v>4.59</v>
      </c>
      <c r="F1044">
        <v>1.1000000000000001</v>
      </c>
      <c r="G1044">
        <v>61.074113856068735</v>
      </c>
      <c r="H1044">
        <v>26.492793411118743</v>
      </c>
      <c r="I1044">
        <v>33.238837703756197</v>
      </c>
      <c r="J1044">
        <v>36.782079646427462</v>
      </c>
      <c r="K1044">
        <v>62.452107279693479</v>
      </c>
      <c r="L1044">
        <v>18.331118513746151</v>
      </c>
      <c r="M1044">
        <v>68.249571374625177</v>
      </c>
      <c r="N1044">
        <v>51.066459486793391</v>
      </c>
      <c r="O1044">
        <v>4.4820000000000002</v>
      </c>
      <c r="P1044">
        <v>0.10799999999999965</v>
      </c>
      <c r="Q1044">
        <v>1043</v>
      </c>
      <c r="R1044">
        <v>33</v>
      </c>
      <c r="S1044" t="s">
        <v>24</v>
      </c>
      <c r="T1044" t="s">
        <v>845</v>
      </c>
      <c r="U1044">
        <v>5000</v>
      </c>
      <c r="V1044">
        <v>1000</v>
      </c>
    </row>
    <row r="1045" spans="1:22" x14ac:dyDescent="0.3">
      <c r="A1045" t="s">
        <v>1201</v>
      </c>
      <c r="B1045" t="s">
        <v>155</v>
      </c>
      <c r="C1045">
        <v>4.33</v>
      </c>
      <c r="D1045">
        <v>3.07</v>
      </c>
      <c r="E1045">
        <v>4.49</v>
      </c>
      <c r="F1045">
        <v>1.03</v>
      </c>
      <c r="G1045">
        <v>61.58968850698173</v>
      </c>
      <c r="H1045">
        <v>24.948524365133839</v>
      </c>
      <c r="I1045">
        <v>32.884479092841957</v>
      </c>
      <c r="J1045">
        <v>36.244734557357475</v>
      </c>
      <c r="K1045">
        <v>65.134099616858236</v>
      </c>
      <c r="L1045">
        <v>19.276684252483584</v>
      </c>
      <c r="M1045">
        <v>66.61180347323554</v>
      </c>
      <c r="N1045">
        <v>51.058843051202182</v>
      </c>
      <c r="O1045">
        <v>5.2086538461538465</v>
      </c>
      <c r="P1045">
        <v>-0.71865384615384631</v>
      </c>
      <c r="Q1045">
        <v>1044</v>
      </c>
      <c r="R1045">
        <v>31</v>
      </c>
      <c r="S1045" t="s">
        <v>24</v>
      </c>
      <c r="T1045" t="s">
        <v>45</v>
      </c>
      <c r="U1045">
        <v>5000</v>
      </c>
      <c r="V1045">
        <v>1000</v>
      </c>
    </row>
    <row r="1046" spans="1:22" x14ac:dyDescent="0.3">
      <c r="A1046" t="s">
        <v>1202</v>
      </c>
      <c r="B1046" t="s">
        <v>445</v>
      </c>
      <c r="C1046">
        <v>4.71</v>
      </c>
      <c r="D1046">
        <v>8.09</v>
      </c>
      <c r="E1046">
        <v>8.24</v>
      </c>
      <c r="F1046">
        <v>1.74</v>
      </c>
      <c r="G1046">
        <v>62.406015037593974</v>
      </c>
      <c r="H1046">
        <v>33.562113932738505</v>
      </c>
      <c r="I1046">
        <v>46.172927002126151</v>
      </c>
      <c r="J1046">
        <v>45.636300688403423</v>
      </c>
      <c r="K1046">
        <v>37.931034482758605</v>
      </c>
      <c r="L1046">
        <v>14.4598085763319</v>
      </c>
      <c r="M1046">
        <v>74.954876878072952</v>
      </c>
      <c r="N1046">
        <v>51.039628184409601</v>
      </c>
      <c r="O1046">
        <v>5.7759259259259252</v>
      </c>
      <c r="P1046">
        <v>2.464074074074075</v>
      </c>
      <c r="Q1046">
        <v>1045</v>
      </c>
      <c r="R1046">
        <v>8</v>
      </c>
      <c r="S1046" t="s">
        <v>24</v>
      </c>
      <c r="T1046" t="s">
        <v>443</v>
      </c>
      <c r="U1046">
        <v>5000</v>
      </c>
      <c r="V1046">
        <v>1000</v>
      </c>
    </row>
    <row r="1047" spans="1:22" x14ac:dyDescent="0.3">
      <c r="A1047" t="s">
        <v>1203</v>
      </c>
      <c r="B1047" t="s">
        <v>410</v>
      </c>
      <c r="C1047">
        <v>5.26</v>
      </c>
      <c r="D1047">
        <v>4.28</v>
      </c>
      <c r="E1047">
        <v>3.86</v>
      </c>
      <c r="F1047">
        <v>0.99</v>
      </c>
      <c r="G1047">
        <v>63.587540279269597</v>
      </c>
      <c r="H1047">
        <v>27.024708304735761</v>
      </c>
      <c r="I1047">
        <v>30.652019844082211</v>
      </c>
      <c r="J1047">
        <v>36.150930469315753</v>
      </c>
      <c r="K1047">
        <v>66.666666666666657</v>
      </c>
      <c r="L1047">
        <v>20.144257152424839</v>
      </c>
      <c r="M1047">
        <v>65.109123131267424</v>
      </c>
      <c r="N1047">
        <v>51.0194126841414</v>
      </c>
      <c r="O1047">
        <v>4.4264935064935065</v>
      </c>
      <c r="P1047">
        <v>-0.5664935064935066</v>
      </c>
      <c r="Q1047">
        <v>1046</v>
      </c>
      <c r="R1047">
        <v>62</v>
      </c>
      <c r="S1047" t="s">
        <v>24</v>
      </c>
      <c r="T1047" t="s">
        <v>411</v>
      </c>
      <c r="U1047">
        <v>1000</v>
      </c>
      <c r="V1047">
        <v>1000</v>
      </c>
    </row>
    <row r="1048" spans="1:22" x14ac:dyDescent="0.3">
      <c r="A1048" t="s">
        <v>1204</v>
      </c>
      <c r="B1048" t="s">
        <v>844</v>
      </c>
      <c r="C1048">
        <v>4.4400000000000004</v>
      </c>
      <c r="D1048">
        <v>4.12</v>
      </c>
      <c r="E1048">
        <v>4.9800000000000004</v>
      </c>
      <c r="F1048">
        <v>1.1499999999999999</v>
      </c>
      <c r="G1048">
        <v>61.825993555316863</v>
      </c>
      <c r="H1048">
        <v>26.750171585449557</v>
      </c>
      <c r="I1048">
        <v>34.620836286321754</v>
      </c>
      <c r="J1048">
        <v>37.700668329859113</v>
      </c>
      <c r="K1048">
        <v>60.536398467432953</v>
      </c>
      <c r="L1048">
        <v>18.404624562530199</v>
      </c>
      <c r="M1048">
        <v>68.122255163467571</v>
      </c>
      <c r="N1048">
        <v>51.014997572654686</v>
      </c>
      <c r="O1048">
        <v>4.4820000000000002</v>
      </c>
      <c r="P1048">
        <v>0.49800000000000022</v>
      </c>
      <c r="Q1048">
        <v>1047</v>
      </c>
      <c r="R1048">
        <v>34</v>
      </c>
      <c r="S1048" t="s">
        <v>24</v>
      </c>
      <c r="T1048" t="s">
        <v>845</v>
      </c>
      <c r="U1048">
        <v>5000</v>
      </c>
      <c r="V1048">
        <v>1000</v>
      </c>
    </row>
    <row r="1049" spans="1:22" x14ac:dyDescent="0.3">
      <c r="A1049" t="s">
        <v>1205</v>
      </c>
      <c r="B1049" t="s">
        <v>445</v>
      </c>
      <c r="C1049">
        <v>3.72</v>
      </c>
      <c r="D1049">
        <v>5.5</v>
      </c>
      <c r="E1049">
        <v>6.06</v>
      </c>
      <c r="F1049">
        <v>1.38</v>
      </c>
      <c r="G1049">
        <v>60.27926960257787</v>
      </c>
      <c r="H1049">
        <v>29.118050789293072</v>
      </c>
      <c r="I1049">
        <v>38.447909284195603</v>
      </c>
      <c r="J1049">
        <v>40.015223799401298</v>
      </c>
      <c r="K1049">
        <v>51.724137931034477</v>
      </c>
      <c r="L1049">
        <v>15.993103257421906</v>
      </c>
      <c r="M1049">
        <v>72.299132587449947</v>
      </c>
      <c r="N1049">
        <v>51.013429529321755</v>
      </c>
      <c r="O1049">
        <v>5.7759259259259252</v>
      </c>
      <c r="P1049">
        <v>0.28407407407407437</v>
      </c>
      <c r="Q1049">
        <v>1048</v>
      </c>
      <c r="R1049">
        <v>9</v>
      </c>
      <c r="S1049" t="s">
        <v>24</v>
      </c>
      <c r="T1049" t="s">
        <v>612</v>
      </c>
      <c r="U1049">
        <v>10000</v>
      </c>
      <c r="V1049">
        <v>1000</v>
      </c>
    </row>
    <row r="1050" spans="1:22" x14ac:dyDescent="0.3">
      <c r="A1050" t="s">
        <v>1206</v>
      </c>
      <c r="B1050" t="s">
        <v>262</v>
      </c>
      <c r="C1050">
        <v>4.74</v>
      </c>
      <c r="D1050">
        <v>3.81</v>
      </c>
      <c r="E1050">
        <v>3.83</v>
      </c>
      <c r="F1050">
        <v>0.98</v>
      </c>
      <c r="G1050">
        <v>62.470461868958104</v>
      </c>
      <c r="H1050">
        <v>26.218256691832536</v>
      </c>
      <c r="I1050">
        <v>30.545712260807932</v>
      </c>
      <c r="J1050">
        <v>35.632425511745346</v>
      </c>
      <c r="K1050">
        <v>67.049808429118769</v>
      </c>
      <c r="L1050">
        <v>19.799574445969583</v>
      </c>
      <c r="M1050">
        <v>65.706131091338278</v>
      </c>
      <c r="N1050">
        <v>51.005197635986939</v>
      </c>
      <c r="O1050">
        <v>4.4728846153846158</v>
      </c>
      <c r="P1050">
        <v>-0.64288461538461572</v>
      </c>
      <c r="Q1050">
        <v>1049</v>
      </c>
      <c r="R1050">
        <v>51</v>
      </c>
      <c r="S1050" t="s">
        <v>24</v>
      </c>
      <c r="T1050" t="s">
        <v>295</v>
      </c>
      <c r="U1050">
        <v>5000</v>
      </c>
      <c r="V1050">
        <v>1000</v>
      </c>
    </row>
    <row r="1051" spans="1:22" x14ac:dyDescent="0.3">
      <c r="A1051" t="s">
        <v>1207</v>
      </c>
      <c r="B1051" t="s">
        <v>262</v>
      </c>
      <c r="C1051">
        <v>4.7300000000000004</v>
      </c>
      <c r="D1051">
        <v>3.81</v>
      </c>
      <c r="E1051">
        <v>3.82</v>
      </c>
      <c r="F1051">
        <v>0.98</v>
      </c>
      <c r="G1051">
        <v>62.448979591836732</v>
      </c>
      <c r="H1051">
        <v>26.218256691832536</v>
      </c>
      <c r="I1051">
        <v>30.510276399716506</v>
      </c>
      <c r="J1051">
        <v>35.610411125775357</v>
      </c>
      <c r="K1051">
        <v>67.049808429118769</v>
      </c>
      <c r="L1051">
        <v>19.795485498062867</v>
      </c>
      <c r="M1051">
        <v>65.713213356862212</v>
      </c>
      <c r="N1051">
        <v>50.995961009382924</v>
      </c>
      <c r="O1051">
        <v>4.4728846153846158</v>
      </c>
      <c r="P1051">
        <v>-0.65288461538461595</v>
      </c>
      <c r="Q1051">
        <v>1050</v>
      </c>
      <c r="R1051">
        <v>52</v>
      </c>
      <c r="S1051" t="s">
        <v>24</v>
      </c>
      <c r="T1051" t="s">
        <v>295</v>
      </c>
      <c r="U1051">
        <v>5000</v>
      </c>
      <c r="V1051">
        <v>1000</v>
      </c>
    </row>
    <row r="1052" spans="1:22" x14ac:dyDescent="0.3">
      <c r="A1052" t="s">
        <v>1208</v>
      </c>
      <c r="B1052" t="s">
        <v>126</v>
      </c>
      <c r="C1052">
        <v>6.01</v>
      </c>
      <c r="D1052">
        <v>13.49</v>
      </c>
      <c r="E1052">
        <v>7.07</v>
      </c>
      <c r="F1052">
        <v>1.87</v>
      </c>
      <c r="G1052">
        <v>65.198711063372713</v>
      </c>
      <c r="H1052">
        <v>42.827728208647912</v>
      </c>
      <c r="I1052">
        <v>42.026931254429478</v>
      </c>
      <c r="J1052">
        <v>46.90152630248366</v>
      </c>
      <c r="K1052">
        <v>32.950191570881216</v>
      </c>
      <c r="L1052">
        <v>13.153158867501665</v>
      </c>
      <c r="M1052">
        <v>77.218060561461996</v>
      </c>
      <c r="N1052">
        <v>50.992826184327633</v>
      </c>
      <c r="O1052">
        <v>11.362272727272726</v>
      </c>
      <c r="P1052">
        <v>-4.2922727272727261</v>
      </c>
      <c r="Q1052">
        <v>1051</v>
      </c>
      <c r="R1052">
        <v>39</v>
      </c>
      <c r="S1052" t="s">
        <v>24</v>
      </c>
      <c r="T1052" t="s">
        <v>1209</v>
      </c>
      <c r="U1052">
        <v>1000</v>
      </c>
      <c r="V1052">
        <v>1000</v>
      </c>
    </row>
    <row r="1053" spans="1:22" x14ac:dyDescent="0.3">
      <c r="A1053" t="s">
        <v>1210</v>
      </c>
      <c r="B1053" t="s">
        <v>965</v>
      </c>
      <c r="C1053">
        <v>5.66</v>
      </c>
      <c r="D1053">
        <v>3.72</v>
      </c>
      <c r="E1053">
        <v>5.13</v>
      </c>
      <c r="F1053">
        <v>1.1100000000000001</v>
      </c>
      <c r="G1053">
        <v>64.446831364124591</v>
      </c>
      <c r="H1053">
        <v>26.063829787234049</v>
      </c>
      <c r="I1053">
        <v>35.152374202693125</v>
      </c>
      <c r="J1053">
        <v>38.2847023103417</v>
      </c>
      <c r="K1053">
        <v>62.068965517241367</v>
      </c>
      <c r="L1053">
        <v>20.058338540476949</v>
      </c>
      <c r="M1053">
        <v>65.25793853247697</v>
      </c>
      <c r="N1053">
        <v>50.974077167600434</v>
      </c>
      <c r="O1053">
        <v>4.3271875</v>
      </c>
      <c r="P1053">
        <v>0.80281249999999993</v>
      </c>
      <c r="Q1053">
        <v>1052</v>
      </c>
      <c r="R1053">
        <v>7</v>
      </c>
      <c r="S1053" t="s">
        <v>24</v>
      </c>
      <c r="T1053" t="s">
        <v>966</v>
      </c>
      <c r="U1053">
        <v>5000</v>
      </c>
      <c r="V1053">
        <v>1000</v>
      </c>
    </row>
    <row r="1054" spans="1:22" x14ac:dyDescent="0.3">
      <c r="A1054" t="s">
        <v>1211</v>
      </c>
      <c r="B1054" t="s">
        <v>185</v>
      </c>
      <c r="C1054">
        <v>7.36</v>
      </c>
      <c r="D1054">
        <v>23.07</v>
      </c>
      <c r="E1054">
        <v>9.24</v>
      </c>
      <c r="F1054">
        <v>2.54</v>
      </c>
      <c r="G1054">
        <v>68.098818474758318</v>
      </c>
      <c r="H1054">
        <v>59.265614275909407</v>
      </c>
      <c r="I1054">
        <v>49.716513111268604</v>
      </c>
      <c r="J1054">
        <v>56.25770453335879</v>
      </c>
      <c r="K1054">
        <v>7.2796934865900331</v>
      </c>
      <c r="L1054">
        <v>9.1934757658868165</v>
      </c>
      <c r="M1054">
        <v>84.076432875330838</v>
      </c>
      <c r="N1054">
        <v>50.967883857159613</v>
      </c>
      <c r="O1054">
        <v>9.4014285714285712</v>
      </c>
      <c r="P1054">
        <v>-0.16142857142857103</v>
      </c>
      <c r="Q1054">
        <v>1053</v>
      </c>
      <c r="R1054">
        <v>16</v>
      </c>
      <c r="S1054" t="s">
        <v>24</v>
      </c>
      <c r="T1054" t="s">
        <v>45</v>
      </c>
      <c r="U1054">
        <v>5000</v>
      </c>
      <c r="V1054">
        <v>1000</v>
      </c>
    </row>
    <row r="1055" spans="1:22" x14ac:dyDescent="0.3">
      <c r="A1055" t="s">
        <v>1212</v>
      </c>
      <c r="B1055" t="s">
        <v>272</v>
      </c>
      <c r="C1055">
        <v>0.44</v>
      </c>
      <c r="D1055">
        <v>11.93</v>
      </c>
      <c r="E1055">
        <v>9.6199999999999992</v>
      </c>
      <c r="F1055">
        <v>2.2200000000000002</v>
      </c>
      <c r="G1055">
        <v>53.233082706766908</v>
      </c>
      <c r="H1055">
        <v>40.150995195607422</v>
      </c>
      <c r="I1055">
        <v>51.063075832742719</v>
      </c>
      <c r="J1055">
        <v>48.223453016406964</v>
      </c>
      <c r="K1055">
        <v>19.540229885057457</v>
      </c>
      <c r="L1055">
        <v>7.0109848014180614</v>
      </c>
      <c r="M1055">
        <v>87.856618112850725</v>
      </c>
      <c r="N1055">
        <v>50.960938507680524</v>
      </c>
      <c r="O1055">
        <v>10.044583333333334</v>
      </c>
      <c r="P1055">
        <v>-0.42458333333333442</v>
      </c>
      <c r="Q1055">
        <v>1054</v>
      </c>
      <c r="R1055">
        <v>30</v>
      </c>
      <c r="S1055" t="s">
        <v>24</v>
      </c>
      <c r="T1055" t="s">
        <v>273</v>
      </c>
      <c r="U1055">
        <v>5000</v>
      </c>
      <c r="V1055">
        <v>1000</v>
      </c>
    </row>
    <row r="1056" spans="1:22" x14ac:dyDescent="0.3">
      <c r="A1056" t="s">
        <v>1213</v>
      </c>
      <c r="B1056" t="s">
        <v>51</v>
      </c>
      <c r="C1056">
        <v>3.11</v>
      </c>
      <c r="D1056">
        <v>21.38</v>
      </c>
      <c r="E1056">
        <v>6.64</v>
      </c>
      <c r="F1056">
        <v>2.13</v>
      </c>
      <c r="G1056">
        <v>58.968850698174002</v>
      </c>
      <c r="H1056">
        <v>56.365820178448864</v>
      </c>
      <c r="I1056">
        <v>40.503189227498225</v>
      </c>
      <c r="J1056">
        <v>48.955110806918569</v>
      </c>
      <c r="K1056">
        <v>22.988505747126432</v>
      </c>
      <c r="L1056">
        <v>9.9948276800409577</v>
      </c>
      <c r="M1056">
        <v>82.688450645273292</v>
      </c>
      <c r="N1056">
        <v>50.896794501559214</v>
      </c>
      <c r="O1056">
        <v>12.127586206896551</v>
      </c>
      <c r="P1056">
        <v>-5.4875862068965509</v>
      </c>
      <c r="Q1056">
        <v>1055</v>
      </c>
      <c r="R1056">
        <v>27</v>
      </c>
      <c r="S1056" t="s">
        <v>24</v>
      </c>
      <c r="T1056" t="s">
        <v>1152</v>
      </c>
      <c r="U1056">
        <v>1000</v>
      </c>
      <c r="V1056">
        <v>1000</v>
      </c>
    </row>
    <row r="1057" spans="1:22" x14ac:dyDescent="0.3">
      <c r="A1057" t="s">
        <v>1214</v>
      </c>
      <c r="B1057" t="s">
        <v>410</v>
      </c>
      <c r="C1057">
        <v>5.26</v>
      </c>
      <c r="D1057">
        <v>4.28</v>
      </c>
      <c r="E1057">
        <v>3.76</v>
      </c>
      <c r="F1057">
        <v>0.99</v>
      </c>
      <c r="G1057">
        <v>63.587540279269597</v>
      </c>
      <c r="H1057">
        <v>27.024708304735761</v>
      </c>
      <c r="I1057">
        <v>30.297661233167961</v>
      </c>
      <c r="J1057">
        <v>35.97375116385863</v>
      </c>
      <c r="K1057">
        <v>66.666666666666657</v>
      </c>
      <c r="L1057">
        <v>20.231036181132705</v>
      </c>
      <c r="M1057">
        <v>64.958817444513926</v>
      </c>
      <c r="N1057">
        <v>50.893246609724464</v>
      </c>
      <c r="O1057">
        <v>4.4264935064935065</v>
      </c>
      <c r="P1057">
        <v>-0.66649350649350669</v>
      </c>
      <c r="Q1057">
        <v>1056</v>
      </c>
      <c r="R1057">
        <v>63</v>
      </c>
      <c r="S1057" t="s">
        <v>24</v>
      </c>
      <c r="T1057" t="s">
        <v>411</v>
      </c>
      <c r="U1057">
        <v>2000</v>
      </c>
      <c r="V1057">
        <v>2000</v>
      </c>
    </row>
    <row r="1058" spans="1:22" x14ac:dyDescent="0.3">
      <c r="A1058" t="s">
        <v>1215</v>
      </c>
      <c r="B1058" t="s">
        <v>755</v>
      </c>
      <c r="C1058">
        <v>13.35</v>
      </c>
      <c r="D1058">
        <v>19.93</v>
      </c>
      <c r="E1058">
        <v>12.91</v>
      </c>
      <c r="F1058">
        <v>2.73</v>
      </c>
      <c r="G1058">
        <v>80.966702470461868</v>
      </c>
      <c r="H1058">
        <v>53.877831159917648</v>
      </c>
      <c r="I1058">
        <v>62.721474131821395</v>
      </c>
      <c r="J1058">
        <v>63.717426907978364</v>
      </c>
      <c r="K1058">
        <v>0</v>
      </c>
      <c r="L1058">
        <v>13.813672737683111</v>
      </c>
      <c r="M1058">
        <v>76.074016979203776</v>
      </c>
      <c r="N1058">
        <v>50.877217698790126</v>
      </c>
      <c r="O1058">
        <v>11.035555555555554</v>
      </c>
      <c r="P1058">
        <v>1.8744444444444461</v>
      </c>
      <c r="Q1058">
        <v>1057</v>
      </c>
      <c r="R1058">
        <v>11</v>
      </c>
      <c r="S1058" t="s">
        <v>24</v>
      </c>
      <c r="T1058" t="s">
        <v>756</v>
      </c>
      <c r="U1058">
        <v>5000</v>
      </c>
      <c r="V1058">
        <v>1000</v>
      </c>
    </row>
    <row r="1059" spans="1:22" x14ac:dyDescent="0.3">
      <c r="A1059" t="s">
        <v>1216</v>
      </c>
      <c r="B1059" t="s">
        <v>424</v>
      </c>
      <c r="C1059">
        <v>3.42</v>
      </c>
      <c r="D1059">
        <v>10.84</v>
      </c>
      <c r="E1059">
        <v>9.18</v>
      </c>
      <c r="F1059">
        <v>2.06</v>
      </c>
      <c r="G1059">
        <v>59.634801288936622</v>
      </c>
      <c r="H1059">
        <v>38.280713795470142</v>
      </c>
      <c r="I1059">
        <v>49.503897944720052</v>
      </c>
      <c r="J1059">
        <v>48.163123368788391</v>
      </c>
      <c r="K1059">
        <v>25.670498084291182</v>
      </c>
      <c r="L1059">
        <v>10.681698660921979</v>
      </c>
      <c r="M1059">
        <v>81.498755208142683</v>
      </c>
      <c r="N1059">
        <v>50.873875007502662</v>
      </c>
      <c r="O1059">
        <v>7.9378947368421047</v>
      </c>
      <c r="P1059">
        <v>1.242105263157895</v>
      </c>
      <c r="Q1059">
        <v>1058</v>
      </c>
      <c r="R1059">
        <v>7</v>
      </c>
      <c r="S1059" t="s">
        <v>24</v>
      </c>
      <c r="T1059" t="s">
        <v>425</v>
      </c>
      <c r="U1059">
        <v>1000</v>
      </c>
      <c r="V1059">
        <v>1000</v>
      </c>
    </row>
    <row r="1060" spans="1:22" x14ac:dyDescent="0.3">
      <c r="A1060" t="s">
        <v>1217</v>
      </c>
      <c r="B1060" t="s">
        <v>424</v>
      </c>
      <c r="C1060">
        <v>3.42</v>
      </c>
      <c r="D1060">
        <v>10.84</v>
      </c>
      <c r="E1060">
        <v>9.18</v>
      </c>
      <c r="F1060">
        <v>2.06</v>
      </c>
      <c r="G1060">
        <v>59.634801288936622</v>
      </c>
      <c r="H1060">
        <v>38.280713795470142</v>
      </c>
      <c r="I1060">
        <v>49.503897944720052</v>
      </c>
      <c r="J1060">
        <v>48.163123368788391</v>
      </c>
      <c r="K1060">
        <v>25.670498084291182</v>
      </c>
      <c r="L1060">
        <v>10.681698660921979</v>
      </c>
      <c r="M1060">
        <v>81.498755208142683</v>
      </c>
      <c r="N1060">
        <v>50.873875007502662</v>
      </c>
      <c r="O1060">
        <v>7.9378947368421047</v>
      </c>
      <c r="P1060">
        <v>1.242105263157895</v>
      </c>
      <c r="Q1060">
        <v>1058</v>
      </c>
      <c r="R1060">
        <v>7</v>
      </c>
      <c r="S1060" t="s">
        <v>24</v>
      </c>
      <c r="T1060" t="s">
        <v>425</v>
      </c>
      <c r="U1060">
        <v>1000</v>
      </c>
      <c r="V1060">
        <v>1000</v>
      </c>
    </row>
    <row r="1061" spans="1:22" x14ac:dyDescent="0.3">
      <c r="A1061" t="s">
        <v>1218</v>
      </c>
      <c r="B1061" t="s">
        <v>272</v>
      </c>
      <c r="C1061">
        <v>-1.67</v>
      </c>
      <c r="D1061">
        <v>11.48</v>
      </c>
      <c r="E1061">
        <v>9.11</v>
      </c>
      <c r="F1061">
        <v>2.19</v>
      </c>
      <c r="G1061">
        <v>48.700322234156815</v>
      </c>
      <c r="H1061">
        <v>39.378860672614969</v>
      </c>
      <c r="I1061">
        <v>49.255846917080085</v>
      </c>
      <c r="J1061">
        <v>46.181646107155899</v>
      </c>
      <c r="K1061">
        <v>20.68965517241379</v>
      </c>
      <c r="L1061">
        <v>5.5490706517697213</v>
      </c>
      <c r="M1061">
        <v>90.388727696345498</v>
      </c>
      <c r="N1061">
        <v>50.860418770767772</v>
      </c>
      <c r="O1061">
        <v>10.044583333333334</v>
      </c>
      <c r="P1061">
        <v>-0.93458333333333421</v>
      </c>
      <c r="Q1061">
        <v>1060</v>
      </c>
      <c r="R1061">
        <v>31</v>
      </c>
      <c r="S1061" t="s">
        <v>24</v>
      </c>
      <c r="T1061" t="s">
        <v>291</v>
      </c>
      <c r="U1061">
        <v>1000</v>
      </c>
      <c r="V1061">
        <v>1000</v>
      </c>
    </row>
    <row r="1062" spans="1:22" x14ac:dyDescent="0.3">
      <c r="A1062" t="s">
        <v>1219</v>
      </c>
      <c r="B1062" t="s">
        <v>199</v>
      </c>
      <c r="C1062">
        <v>16.739999999999998</v>
      </c>
      <c r="D1062">
        <v>20.21</v>
      </c>
      <c r="E1062">
        <v>9.5</v>
      </c>
      <c r="F1062">
        <v>2.19</v>
      </c>
      <c r="G1062">
        <v>88.249194414607942</v>
      </c>
      <c r="H1062">
        <v>54.358270418668496</v>
      </c>
      <c r="I1062">
        <v>50.637845499645643</v>
      </c>
      <c r="J1062">
        <v>59.276242758344964</v>
      </c>
      <c r="K1062">
        <v>20.68965517241379</v>
      </c>
      <c r="L1062">
        <v>20.724582255860895</v>
      </c>
      <c r="M1062">
        <v>64.103970567208506</v>
      </c>
      <c r="N1062">
        <v>50.836527814078053</v>
      </c>
      <c r="O1062">
        <v>9.83</v>
      </c>
      <c r="P1062">
        <v>-0.33000000000000007</v>
      </c>
      <c r="Q1062">
        <v>1061</v>
      </c>
      <c r="R1062">
        <v>17</v>
      </c>
      <c r="S1062" t="s">
        <v>24</v>
      </c>
      <c r="T1062" t="s">
        <v>78</v>
      </c>
      <c r="U1062">
        <v>1000</v>
      </c>
      <c r="V1062">
        <v>1000</v>
      </c>
    </row>
    <row r="1063" spans="1:22" x14ac:dyDescent="0.3">
      <c r="A1063" t="s">
        <v>1220</v>
      </c>
      <c r="B1063" t="s">
        <v>185</v>
      </c>
      <c r="C1063">
        <v>18.7</v>
      </c>
      <c r="D1063">
        <v>22.53</v>
      </c>
      <c r="E1063">
        <v>11.21</v>
      </c>
      <c r="F1063">
        <v>2.48</v>
      </c>
      <c r="G1063">
        <v>92.459720730397407</v>
      </c>
      <c r="H1063">
        <v>58.33905284831846</v>
      </c>
      <c r="I1063">
        <v>56.69737774627923</v>
      </c>
      <c r="J1063">
        <v>64.342348873714627</v>
      </c>
      <c r="K1063">
        <v>9.578544061302674</v>
      </c>
      <c r="L1063">
        <v>20.190180160883063</v>
      </c>
      <c r="M1063">
        <v>65.029582147381362</v>
      </c>
      <c r="N1063">
        <v>50.823205989028324</v>
      </c>
      <c r="O1063">
        <v>9.4014285714285712</v>
      </c>
      <c r="P1063">
        <v>1.8085714285714296</v>
      </c>
      <c r="Q1063">
        <v>1062</v>
      </c>
      <c r="R1063">
        <v>17</v>
      </c>
      <c r="S1063" t="s">
        <v>24</v>
      </c>
      <c r="T1063" t="s">
        <v>186</v>
      </c>
      <c r="U1063">
        <v>5000</v>
      </c>
      <c r="V1063">
        <v>1000</v>
      </c>
    </row>
    <row r="1064" spans="1:22" x14ac:dyDescent="0.3">
      <c r="A1064" t="s">
        <v>1221</v>
      </c>
      <c r="B1064" t="s">
        <v>185</v>
      </c>
      <c r="C1064">
        <v>7.33</v>
      </c>
      <c r="D1064">
        <v>23.06</v>
      </c>
      <c r="E1064">
        <v>9.15</v>
      </c>
      <c r="F1064">
        <v>2.54</v>
      </c>
      <c r="G1064">
        <v>68.034371643394195</v>
      </c>
      <c r="H1064">
        <v>59.248455730954021</v>
      </c>
      <c r="I1064">
        <v>49.397590361445779</v>
      </c>
      <c r="J1064">
        <v>56.080206228687935</v>
      </c>
      <c r="K1064">
        <v>7.2796934865900331</v>
      </c>
      <c r="L1064">
        <v>9.3234604046265019</v>
      </c>
      <c r="M1064">
        <v>83.851292876830215</v>
      </c>
      <c r="N1064">
        <v>50.822849705199033</v>
      </c>
      <c r="O1064">
        <v>9.4014285714285712</v>
      </c>
      <c r="P1064">
        <v>-0.25142857142857089</v>
      </c>
      <c r="Q1064">
        <v>1063</v>
      </c>
      <c r="R1064">
        <v>18</v>
      </c>
      <c r="S1064" t="s">
        <v>24</v>
      </c>
      <c r="T1064" t="s">
        <v>45</v>
      </c>
      <c r="U1064">
        <v>5000</v>
      </c>
      <c r="V1064">
        <v>1000</v>
      </c>
    </row>
    <row r="1065" spans="1:22" x14ac:dyDescent="0.3">
      <c r="A1065" t="s">
        <v>1222</v>
      </c>
      <c r="B1065" t="s">
        <v>844</v>
      </c>
      <c r="C1065">
        <v>4.4400000000000004</v>
      </c>
      <c r="D1065">
        <v>4.1500000000000004</v>
      </c>
      <c r="E1065">
        <v>4.8</v>
      </c>
      <c r="F1065">
        <v>1.1499999999999999</v>
      </c>
      <c r="G1065">
        <v>61.825993555316863</v>
      </c>
      <c r="H1065">
        <v>26.801647220315722</v>
      </c>
      <c r="I1065">
        <v>33.982990786676112</v>
      </c>
      <c r="J1065">
        <v>37.397188270496144</v>
      </c>
      <c r="K1065">
        <v>60.536398467432953</v>
      </c>
      <c r="L1065">
        <v>18.500042048541179</v>
      </c>
      <c r="M1065">
        <v>67.956987229766071</v>
      </c>
      <c r="N1065">
        <v>50.821940559547826</v>
      </c>
      <c r="O1065">
        <v>4.4820000000000002</v>
      </c>
      <c r="P1065">
        <v>0.31799999999999962</v>
      </c>
      <c r="Q1065">
        <v>1064</v>
      </c>
      <c r="R1065">
        <v>35</v>
      </c>
      <c r="S1065" t="s">
        <v>24</v>
      </c>
      <c r="T1065" t="s">
        <v>845</v>
      </c>
      <c r="U1065">
        <v>5000</v>
      </c>
      <c r="V1065">
        <v>1000</v>
      </c>
    </row>
    <row r="1066" spans="1:22" x14ac:dyDescent="0.3">
      <c r="A1066" t="s">
        <v>1223</v>
      </c>
      <c r="B1066" t="s">
        <v>229</v>
      </c>
      <c r="C1066">
        <v>5.3</v>
      </c>
      <c r="D1066">
        <v>3.6</v>
      </c>
      <c r="E1066">
        <v>4.2</v>
      </c>
      <c r="F1066">
        <v>1.02</v>
      </c>
      <c r="G1066">
        <v>63.673469387755098</v>
      </c>
      <c r="H1066">
        <v>25.857927247769393</v>
      </c>
      <c r="I1066">
        <v>31.856839121190646</v>
      </c>
      <c r="J1066">
        <v>36.420491612477164</v>
      </c>
      <c r="K1066">
        <v>65.517241379310349</v>
      </c>
      <c r="L1066">
        <v>20.323632108645402</v>
      </c>
      <c r="M1066">
        <v>64.798436593487963</v>
      </c>
      <c r="N1066">
        <v>50.78916529943816</v>
      </c>
      <c r="O1066">
        <v>5.1221052631578941</v>
      </c>
      <c r="P1066">
        <v>-0.92210526315789387</v>
      </c>
      <c r="Q1066">
        <v>1065</v>
      </c>
      <c r="R1066">
        <v>63</v>
      </c>
      <c r="S1066" t="s">
        <v>24</v>
      </c>
      <c r="T1066" t="s">
        <v>230</v>
      </c>
      <c r="U1066">
        <v>5000</v>
      </c>
      <c r="V1066">
        <v>1000</v>
      </c>
    </row>
    <row r="1067" spans="1:22" x14ac:dyDescent="0.3">
      <c r="A1067" t="s">
        <v>1224</v>
      </c>
      <c r="B1067" t="s">
        <v>424</v>
      </c>
      <c r="C1067">
        <v>5.17</v>
      </c>
      <c r="D1067">
        <v>9.68</v>
      </c>
      <c r="E1067">
        <v>8.01</v>
      </c>
      <c r="F1067">
        <v>1.83</v>
      </c>
      <c r="G1067">
        <v>63.394199785177229</v>
      </c>
      <c r="H1067">
        <v>36.29032258064516</v>
      </c>
      <c r="I1067">
        <v>45.357902197023385</v>
      </c>
      <c r="J1067">
        <v>46.244887829740691</v>
      </c>
      <c r="K1067">
        <v>34.482758620689658</v>
      </c>
      <c r="L1067">
        <v>13.797035855007378</v>
      </c>
      <c r="M1067">
        <v>76.102832905277722</v>
      </c>
      <c r="N1067">
        <v>50.768841796362189</v>
      </c>
      <c r="O1067">
        <v>7.9378947368421047</v>
      </c>
      <c r="P1067">
        <v>7.2105263157895116E-2</v>
      </c>
      <c r="Q1067">
        <v>1066</v>
      </c>
      <c r="R1067">
        <v>9</v>
      </c>
      <c r="S1067" t="s">
        <v>24</v>
      </c>
      <c r="T1067" t="s">
        <v>112</v>
      </c>
      <c r="U1067">
        <v>1000</v>
      </c>
      <c r="V1067">
        <v>1000</v>
      </c>
    </row>
    <row r="1068" spans="1:22" x14ac:dyDescent="0.3">
      <c r="A1068" t="s">
        <v>1225</v>
      </c>
      <c r="B1068" t="s">
        <v>424</v>
      </c>
      <c r="C1068">
        <v>5.17</v>
      </c>
      <c r="D1068">
        <v>9.68</v>
      </c>
      <c r="E1068">
        <v>8.01</v>
      </c>
      <c r="F1068">
        <v>1.83</v>
      </c>
      <c r="G1068">
        <v>63.394199785177229</v>
      </c>
      <c r="H1068">
        <v>36.29032258064516</v>
      </c>
      <c r="I1068">
        <v>45.357902197023385</v>
      </c>
      <c r="J1068">
        <v>46.244887829740691</v>
      </c>
      <c r="K1068">
        <v>34.482758620689658</v>
      </c>
      <c r="L1068">
        <v>13.797035855007378</v>
      </c>
      <c r="M1068">
        <v>76.102832905277722</v>
      </c>
      <c r="N1068">
        <v>50.768841796362189</v>
      </c>
      <c r="O1068">
        <v>7.9378947368421047</v>
      </c>
      <c r="P1068">
        <v>7.2105263157895116E-2</v>
      </c>
      <c r="Q1068">
        <v>1066</v>
      </c>
      <c r="R1068">
        <v>9</v>
      </c>
      <c r="S1068" t="s">
        <v>24</v>
      </c>
      <c r="T1068" t="s">
        <v>112</v>
      </c>
      <c r="U1068">
        <v>5000</v>
      </c>
    </row>
    <row r="1069" spans="1:22" x14ac:dyDescent="0.3">
      <c r="A1069" t="s">
        <v>1226</v>
      </c>
      <c r="B1069" t="s">
        <v>965</v>
      </c>
      <c r="C1069">
        <v>5.66</v>
      </c>
      <c r="D1069">
        <v>3.72</v>
      </c>
      <c r="E1069">
        <v>4.95</v>
      </c>
      <c r="F1069">
        <v>1.1100000000000001</v>
      </c>
      <c r="G1069">
        <v>64.446831364124591</v>
      </c>
      <c r="H1069">
        <v>26.063829787234049</v>
      </c>
      <c r="I1069">
        <v>34.514528703047482</v>
      </c>
      <c r="J1069">
        <v>37.965779560518875</v>
      </c>
      <c r="K1069">
        <v>62.068965517241367</v>
      </c>
      <c r="L1069">
        <v>20.168506244520756</v>
      </c>
      <c r="M1069">
        <v>65.06712247171987</v>
      </c>
      <c r="N1069">
        <v>50.766911777499743</v>
      </c>
      <c r="O1069">
        <v>4.3271875</v>
      </c>
      <c r="P1069">
        <v>0.62281250000000021</v>
      </c>
      <c r="Q1069">
        <v>1068</v>
      </c>
      <c r="R1069">
        <v>8</v>
      </c>
      <c r="S1069" t="s">
        <v>24</v>
      </c>
      <c r="T1069" t="s">
        <v>966</v>
      </c>
      <c r="U1069">
        <v>5000</v>
      </c>
      <c r="V1069">
        <v>1000</v>
      </c>
    </row>
    <row r="1070" spans="1:22" x14ac:dyDescent="0.3">
      <c r="A1070" t="s">
        <v>1227</v>
      </c>
      <c r="B1070" t="s">
        <v>965</v>
      </c>
      <c r="C1070">
        <v>5.66</v>
      </c>
      <c r="D1070">
        <v>3.72</v>
      </c>
      <c r="E1070">
        <v>4.9400000000000004</v>
      </c>
      <c r="F1070">
        <v>1.1100000000000001</v>
      </c>
      <c r="G1070">
        <v>64.446831364124591</v>
      </c>
      <c r="H1070">
        <v>26.063829787234049</v>
      </c>
      <c r="I1070">
        <v>34.47909284195606</v>
      </c>
      <c r="J1070">
        <v>37.948061629973168</v>
      </c>
      <c r="K1070">
        <v>62.068965517241367</v>
      </c>
      <c r="L1070">
        <v>20.174806130686918</v>
      </c>
      <c r="M1070">
        <v>65.056210748798179</v>
      </c>
      <c r="N1070">
        <v>50.75532488149647</v>
      </c>
      <c r="O1070">
        <v>4.3271875</v>
      </c>
      <c r="P1070">
        <v>0.61281250000000043</v>
      </c>
      <c r="Q1070">
        <v>1069</v>
      </c>
      <c r="R1070">
        <v>9</v>
      </c>
      <c r="S1070" t="s">
        <v>24</v>
      </c>
      <c r="T1070" t="s">
        <v>966</v>
      </c>
      <c r="U1070">
        <v>5000</v>
      </c>
      <c r="V1070">
        <v>1000</v>
      </c>
    </row>
    <row r="1071" spans="1:22" x14ac:dyDescent="0.3">
      <c r="A1071" t="s">
        <v>1228</v>
      </c>
      <c r="B1071" t="s">
        <v>202</v>
      </c>
      <c r="C1071">
        <v>-5.78</v>
      </c>
      <c r="D1071">
        <v>11.11</v>
      </c>
      <c r="E1071">
        <v>9.14</v>
      </c>
      <c r="F1071">
        <v>2.09</v>
      </c>
      <c r="G1071">
        <v>39.871106337271748</v>
      </c>
      <c r="H1071">
        <v>38.743994509265619</v>
      </c>
      <c r="I1071">
        <v>49.362154500354357</v>
      </c>
      <c r="J1071">
        <v>44.278496870411217</v>
      </c>
      <c r="K1071">
        <v>24.521072796934874</v>
      </c>
      <c r="L1071">
        <v>5.8323194057359187</v>
      </c>
      <c r="M1071">
        <v>89.898126463295469</v>
      </c>
      <c r="N1071">
        <v>50.744048250263191</v>
      </c>
      <c r="O1071">
        <v>10.023387096774194</v>
      </c>
      <c r="P1071">
        <v>-0.88338709677419303</v>
      </c>
      <c r="Q1071">
        <v>1070</v>
      </c>
      <c r="R1071">
        <v>43</v>
      </c>
      <c r="S1071" t="s">
        <v>24</v>
      </c>
      <c r="T1071" t="s">
        <v>107</v>
      </c>
      <c r="U1071">
        <v>1000</v>
      </c>
      <c r="V1071">
        <v>1000</v>
      </c>
    </row>
    <row r="1072" spans="1:22" x14ac:dyDescent="0.3">
      <c r="A1072" t="s">
        <v>1229</v>
      </c>
      <c r="B1072" t="s">
        <v>410</v>
      </c>
      <c r="C1072">
        <v>5.38</v>
      </c>
      <c r="D1072">
        <v>4.3600000000000003</v>
      </c>
      <c r="E1072">
        <v>3.64</v>
      </c>
      <c r="F1072">
        <v>0.99</v>
      </c>
      <c r="G1072">
        <v>63.845327604726101</v>
      </c>
      <c r="H1072">
        <v>27.161976664378862</v>
      </c>
      <c r="I1072">
        <v>29.872430900070867</v>
      </c>
      <c r="J1072">
        <v>35.853873970294316</v>
      </c>
      <c r="K1072">
        <v>66.666666666666657</v>
      </c>
      <c r="L1072">
        <v>20.44167519587387</v>
      </c>
      <c r="M1072">
        <v>64.593979968925964</v>
      </c>
      <c r="N1072">
        <v>50.742098644045313</v>
      </c>
      <c r="O1072">
        <v>4.4264935064935065</v>
      </c>
      <c r="P1072">
        <v>-0.78649350649350636</v>
      </c>
      <c r="Q1072">
        <v>1071</v>
      </c>
      <c r="R1072">
        <v>64</v>
      </c>
      <c r="S1072" t="s">
        <v>24</v>
      </c>
      <c r="T1072" t="s">
        <v>411</v>
      </c>
      <c r="U1072">
        <v>2000</v>
      </c>
      <c r="V1072">
        <v>2000</v>
      </c>
    </row>
    <row r="1073" spans="1:22" x14ac:dyDescent="0.3">
      <c r="A1073" t="s">
        <v>1230</v>
      </c>
      <c r="B1073" t="s">
        <v>272</v>
      </c>
      <c r="C1073">
        <v>0.44</v>
      </c>
      <c r="D1073">
        <v>11.93</v>
      </c>
      <c r="E1073">
        <v>9.25</v>
      </c>
      <c r="F1073">
        <v>2.2200000000000002</v>
      </c>
      <c r="G1073">
        <v>53.233082706766908</v>
      </c>
      <c r="H1073">
        <v>40.150995195607422</v>
      </c>
      <c r="I1073">
        <v>49.751948972360026</v>
      </c>
      <c r="J1073">
        <v>47.567889586215621</v>
      </c>
      <c r="K1073">
        <v>19.540229885057457</v>
      </c>
      <c r="L1073">
        <v>6.7754165819010801</v>
      </c>
      <c r="M1073">
        <v>88.264634237702666</v>
      </c>
      <c r="N1073">
        <v>50.735160823797841</v>
      </c>
      <c r="O1073">
        <v>10.044583333333334</v>
      </c>
      <c r="P1073">
        <v>-0.79458333333333364</v>
      </c>
      <c r="Q1073">
        <v>1072</v>
      </c>
      <c r="R1073">
        <v>32</v>
      </c>
      <c r="S1073" t="s">
        <v>24</v>
      </c>
      <c r="T1073" t="s">
        <v>273</v>
      </c>
      <c r="U1073">
        <v>5000</v>
      </c>
      <c r="V1073">
        <v>1000</v>
      </c>
    </row>
    <row r="1074" spans="1:22" x14ac:dyDescent="0.3">
      <c r="A1074" t="s">
        <v>1231</v>
      </c>
      <c r="B1074" t="s">
        <v>138</v>
      </c>
      <c r="C1074">
        <v>3.71</v>
      </c>
      <c r="D1074">
        <v>12.81</v>
      </c>
      <c r="E1074">
        <v>9.5299999999999994</v>
      </c>
      <c r="F1074">
        <v>2.23</v>
      </c>
      <c r="G1074">
        <v>60.257787325456491</v>
      </c>
      <c r="H1074">
        <v>41.66094715168154</v>
      </c>
      <c r="I1074">
        <v>50.744153082919908</v>
      </c>
      <c r="J1074">
        <v>49.921918152055717</v>
      </c>
      <c r="K1074">
        <v>19.157088122605369</v>
      </c>
      <c r="L1074">
        <v>9.2992502470089722</v>
      </c>
      <c r="M1074">
        <v>83.893226099883023</v>
      </c>
      <c r="N1074">
        <v>50.723537631649961</v>
      </c>
      <c r="O1074">
        <v>9.219019607843137</v>
      </c>
      <c r="P1074">
        <v>0.31098039215686235</v>
      </c>
      <c r="Q1074">
        <v>1073</v>
      </c>
      <c r="R1074">
        <v>32</v>
      </c>
      <c r="S1074" t="s">
        <v>24</v>
      </c>
      <c r="T1074" t="s">
        <v>134</v>
      </c>
      <c r="U1074">
        <v>5000</v>
      </c>
      <c r="V1074">
        <v>1000</v>
      </c>
    </row>
    <row r="1075" spans="1:22" x14ac:dyDescent="0.3">
      <c r="A1075" t="s">
        <v>1232</v>
      </c>
      <c r="B1075" t="s">
        <v>126</v>
      </c>
      <c r="C1075">
        <v>-1.99</v>
      </c>
      <c r="D1075">
        <v>16.809999999999999</v>
      </c>
      <c r="E1075">
        <v>8.66</v>
      </c>
      <c r="F1075">
        <v>2.5299999999999998</v>
      </c>
      <c r="G1075">
        <v>48.012889366272823</v>
      </c>
      <c r="H1075">
        <v>48.524365133836653</v>
      </c>
      <c r="I1075">
        <v>47.661233167965975</v>
      </c>
      <c r="J1075">
        <v>47.990503997388551</v>
      </c>
      <c r="K1075">
        <v>7.6628352490421436</v>
      </c>
      <c r="L1075">
        <v>0.43402502483927835</v>
      </c>
      <c r="M1075">
        <v>99.248246605222022</v>
      </c>
      <c r="N1075">
        <v>50.723022462260317</v>
      </c>
      <c r="O1075">
        <v>11.362272727272726</v>
      </c>
      <c r="P1075">
        <v>-2.7022727272727263</v>
      </c>
      <c r="Q1075">
        <v>1074</v>
      </c>
      <c r="R1075">
        <v>40</v>
      </c>
      <c r="S1075" t="s">
        <v>24</v>
      </c>
      <c r="T1075" t="s">
        <v>127</v>
      </c>
      <c r="U1075">
        <v>5000</v>
      </c>
      <c r="V1075">
        <v>1000</v>
      </c>
    </row>
    <row r="1076" spans="1:22" x14ac:dyDescent="0.3">
      <c r="A1076" t="s">
        <v>1233</v>
      </c>
      <c r="B1076" t="s">
        <v>77</v>
      </c>
      <c r="C1076">
        <v>10.5</v>
      </c>
      <c r="D1076">
        <v>23.07</v>
      </c>
      <c r="E1076">
        <v>10.48</v>
      </c>
      <c r="F1076">
        <v>2.68</v>
      </c>
      <c r="G1076">
        <v>74.844253490870031</v>
      </c>
      <c r="H1076">
        <v>59.265614275909407</v>
      </c>
      <c r="I1076">
        <v>54.110559886605245</v>
      </c>
      <c r="J1076">
        <v>59.803814924249451</v>
      </c>
      <c r="K1076">
        <v>1.9157088122605304</v>
      </c>
      <c r="L1076">
        <v>10.794710402338451</v>
      </c>
      <c r="M1076">
        <v>81.303013130157524</v>
      </c>
      <c r="N1076">
        <v>50.70658794772924</v>
      </c>
      <c r="O1076">
        <v>9.0435999999999996</v>
      </c>
      <c r="P1076">
        <v>1.4364000000000008</v>
      </c>
      <c r="Q1076">
        <v>1075</v>
      </c>
      <c r="R1076">
        <v>18</v>
      </c>
      <c r="S1076" t="s">
        <v>24</v>
      </c>
      <c r="T1076" t="s">
        <v>758</v>
      </c>
      <c r="U1076">
        <v>5000</v>
      </c>
      <c r="V1076">
        <v>1000</v>
      </c>
    </row>
    <row r="1077" spans="1:22" x14ac:dyDescent="0.3">
      <c r="A1077" t="s">
        <v>1234</v>
      </c>
      <c r="B1077" t="s">
        <v>202</v>
      </c>
      <c r="C1077">
        <v>-5.79</v>
      </c>
      <c r="D1077">
        <v>11.04</v>
      </c>
      <c r="E1077">
        <v>9.6</v>
      </c>
      <c r="F1077">
        <v>2.09</v>
      </c>
      <c r="G1077">
        <v>39.849624060150376</v>
      </c>
      <c r="H1077">
        <v>38.623884694577903</v>
      </c>
      <c r="I1077">
        <v>50.992204110559882</v>
      </c>
      <c r="J1077">
        <v>45.053192275683386</v>
      </c>
      <c r="K1077">
        <v>24.521072796934874</v>
      </c>
      <c r="L1077">
        <v>6.8146270666835314</v>
      </c>
      <c r="M1077">
        <v>88.196719685870065</v>
      </c>
      <c r="N1077">
        <v>50.706044258542931</v>
      </c>
      <c r="O1077">
        <v>10.023387096774194</v>
      </c>
      <c r="P1077">
        <v>-0.42338709677419395</v>
      </c>
      <c r="Q1077">
        <v>1076</v>
      </c>
      <c r="R1077">
        <v>44</v>
      </c>
      <c r="S1077" t="s">
        <v>24</v>
      </c>
      <c r="T1077" t="s">
        <v>107</v>
      </c>
      <c r="U1077">
        <v>1000</v>
      </c>
      <c r="V1077">
        <v>1000</v>
      </c>
    </row>
    <row r="1078" spans="1:22" x14ac:dyDescent="0.3">
      <c r="A1078" t="s">
        <v>1235</v>
      </c>
      <c r="B1078" t="s">
        <v>445</v>
      </c>
      <c r="C1078">
        <v>4.08</v>
      </c>
      <c r="D1078">
        <v>9.65</v>
      </c>
      <c r="E1078">
        <v>7.38</v>
      </c>
      <c r="F1078">
        <v>1.8</v>
      </c>
      <c r="G1078">
        <v>61.05263157894737</v>
      </c>
      <c r="H1078">
        <v>36.238846945779002</v>
      </c>
      <c r="I1078">
        <v>43.12544294826364</v>
      </c>
      <c r="J1078">
        <v>44.644901873654995</v>
      </c>
      <c r="K1078">
        <v>35.632183908045967</v>
      </c>
      <c r="L1078">
        <v>12.809717694799886</v>
      </c>
      <c r="M1078">
        <v>77.812918121992524</v>
      </c>
      <c r="N1078">
        <v>50.683726444337125</v>
      </c>
      <c r="O1078">
        <v>5.7759259259259252</v>
      </c>
      <c r="P1078">
        <v>1.6040740740740747</v>
      </c>
      <c r="Q1078">
        <v>1077</v>
      </c>
      <c r="R1078">
        <v>10</v>
      </c>
      <c r="S1078" t="s">
        <v>24</v>
      </c>
      <c r="T1078" t="s">
        <v>612</v>
      </c>
      <c r="U1078">
        <v>5000</v>
      </c>
      <c r="V1078">
        <v>1000</v>
      </c>
    </row>
    <row r="1079" spans="1:22" x14ac:dyDescent="0.3">
      <c r="A1079" t="s">
        <v>1236</v>
      </c>
      <c r="B1079" t="s">
        <v>844</v>
      </c>
      <c r="C1079">
        <v>4.4400000000000004</v>
      </c>
      <c r="D1079">
        <v>4.08</v>
      </c>
      <c r="E1079">
        <v>4.71</v>
      </c>
      <c r="F1079">
        <v>1.1499999999999999</v>
      </c>
      <c r="G1079">
        <v>61.825993555316863</v>
      </c>
      <c r="H1079">
        <v>26.68153740562801</v>
      </c>
      <c r="I1079">
        <v>33.664068036853287</v>
      </c>
      <c r="J1079">
        <v>37.201693951178413</v>
      </c>
      <c r="K1079">
        <v>60.536398467432953</v>
      </c>
      <c r="L1079">
        <v>18.605476707056319</v>
      </c>
      <c r="M1079">
        <v>67.774369044339167</v>
      </c>
      <c r="N1079">
        <v>50.678538853532231</v>
      </c>
      <c r="O1079">
        <v>4.4820000000000002</v>
      </c>
      <c r="P1079">
        <v>0.22799999999999976</v>
      </c>
      <c r="Q1079">
        <v>1078</v>
      </c>
      <c r="R1079">
        <v>36</v>
      </c>
      <c r="S1079" t="s">
        <v>24</v>
      </c>
      <c r="T1079" t="s">
        <v>845</v>
      </c>
      <c r="U1079">
        <v>5000</v>
      </c>
      <c r="V1079">
        <v>1000</v>
      </c>
    </row>
    <row r="1080" spans="1:22" x14ac:dyDescent="0.3">
      <c r="A1080" t="s">
        <v>1237</v>
      </c>
      <c r="B1080" t="s">
        <v>138</v>
      </c>
      <c r="C1080">
        <v>-0.77</v>
      </c>
      <c r="D1080">
        <v>9.5500000000000007</v>
      </c>
      <c r="E1080">
        <v>6.89</v>
      </c>
      <c r="F1080">
        <v>1.89</v>
      </c>
      <c r="G1080">
        <v>50.633727175080558</v>
      </c>
      <c r="H1080">
        <v>36.067261496225122</v>
      </c>
      <c r="I1080">
        <v>41.389085754783835</v>
      </c>
      <c r="J1080">
        <v>41.641466761275574</v>
      </c>
      <c r="K1080">
        <v>32.18390804597702</v>
      </c>
      <c r="L1080">
        <v>7.3707431873378413</v>
      </c>
      <c r="M1080">
        <v>87.23349830998869</v>
      </c>
      <c r="N1080">
        <v>50.675084969629211</v>
      </c>
      <c r="O1080">
        <v>9.219019607843137</v>
      </c>
      <c r="P1080">
        <v>-2.3290196078431373</v>
      </c>
      <c r="Q1080">
        <v>1079</v>
      </c>
      <c r="R1080">
        <v>33</v>
      </c>
      <c r="S1080" t="s">
        <v>24</v>
      </c>
      <c r="T1080" t="s">
        <v>176</v>
      </c>
      <c r="U1080">
        <v>5000</v>
      </c>
      <c r="V1080">
        <v>1000</v>
      </c>
    </row>
    <row r="1081" spans="1:22" x14ac:dyDescent="0.3">
      <c r="A1081" t="s">
        <v>1238</v>
      </c>
      <c r="B1081" t="s">
        <v>155</v>
      </c>
      <c r="C1081">
        <v>4.7300000000000004</v>
      </c>
      <c r="D1081">
        <v>3.2</v>
      </c>
      <c r="E1081">
        <v>5.27</v>
      </c>
      <c r="F1081">
        <v>1.1599999999999999</v>
      </c>
      <c r="G1081">
        <v>62.448979591836732</v>
      </c>
      <c r="H1081">
        <v>25.171585449553881</v>
      </c>
      <c r="I1081">
        <v>35.648476257973059</v>
      </c>
      <c r="J1081">
        <v>37.865509682220036</v>
      </c>
      <c r="K1081">
        <v>60.153256704980841</v>
      </c>
      <c r="L1081">
        <v>19.225141239182442</v>
      </c>
      <c r="M1081">
        <v>66.701078591048315</v>
      </c>
      <c r="N1081">
        <v>50.646338665117305</v>
      </c>
      <c r="O1081">
        <v>5.2086538461538465</v>
      </c>
      <c r="P1081">
        <v>6.1346153846153051E-2</v>
      </c>
      <c r="Q1081">
        <v>1080</v>
      </c>
      <c r="R1081">
        <v>32</v>
      </c>
      <c r="S1081" t="s">
        <v>24</v>
      </c>
      <c r="T1081" t="s">
        <v>45</v>
      </c>
      <c r="U1081">
        <v>1000</v>
      </c>
      <c r="V1081">
        <v>1000</v>
      </c>
    </row>
    <row r="1082" spans="1:22" x14ac:dyDescent="0.3">
      <c r="A1082" t="s">
        <v>1239</v>
      </c>
      <c r="B1082" t="s">
        <v>976</v>
      </c>
      <c r="C1082">
        <v>4.84</v>
      </c>
      <c r="D1082">
        <v>3.14</v>
      </c>
      <c r="E1082">
        <v>5.5</v>
      </c>
      <c r="F1082">
        <v>1.18</v>
      </c>
      <c r="G1082">
        <v>62.685284640171858</v>
      </c>
      <c r="H1082">
        <v>25.068634179821554</v>
      </c>
      <c r="I1082">
        <v>36.463501063075832</v>
      </c>
      <c r="J1082">
        <v>38.289397713518753</v>
      </c>
      <c r="K1082">
        <v>59.38697318007663</v>
      </c>
      <c r="L1082">
        <v>19.289190915757803</v>
      </c>
      <c r="M1082">
        <v>66.590141297011456</v>
      </c>
      <c r="N1082">
        <v>50.6389774760314</v>
      </c>
      <c r="O1082">
        <v>4.3111111111111109</v>
      </c>
      <c r="P1082">
        <v>1.1888888888888891</v>
      </c>
      <c r="Q1082">
        <v>1081</v>
      </c>
      <c r="R1082">
        <v>13</v>
      </c>
      <c r="S1082" t="s">
        <v>24</v>
      </c>
      <c r="T1082" t="s">
        <v>1119</v>
      </c>
      <c r="U1082">
        <v>1000</v>
      </c>
      <c r="V1082">
        <v>1000</v>
      </c>
    </row>
    <row r="1083" spans="1:22" x14ac:dyDescent="0.3">
      <c r="A1083" t="s">
        <v>1240</v>
      </c>
      <c r="B1083" t="s">
        <v>155</v>
      </c>
      <c r="C1083">
        <v>4.34</v>
      </c>
      <c r="D1083">
        <v>3.07</v>
      </c>
      <c r="E1083">
        <v>4.13</v>
      </c>
      <c r="F1083">
        <v>1.03</v>
      </c>
      <c r="G1083">
        <v>61.611170784103109</v>
      </c>
      <c r="H1083">
        <v>24.948524365133839</v>
      </c>
      <c r="I1083">
        <v>31.608788093550672</v>
      </c>
      <c r="J1083">
        <v>35.611185513136107</v>
      </c>
      <c r="K1083">
        <v>65.134099616858236</v>
      </c>
      <c r="L1083">
        <v>19.530539002993855</v>
      </c>
      <c r="M1083">
        <v>66.172114147609037</v>
      </c>
      <c r="N1083">
        <v>50.632146197684875</v>
      </c>
      <c r="O1083">
        <v>5.2086538461538465</v>
      </c>
      <c r="P1083">
        <v>-1.0786538461538466</v>
      </c>
      <c r="Q1083">
        <v>1082</v>
      </c>
      <c r="R1083">
        <v>33</v>
      </c>
      <c r="S1083" t="s">
        <v>24</v>
      </c>
      <c r="T1083" t="s">
        <v>45</v>
      </c>
      <c r="U1083">
        <v>5000</v>
      </c>
      <c r="V1083">
        <v>1000</v>
      </c>
    </row>
    <row r="1084" spans="1:22" x14ac:dyDescent="0.3">
      <c r="A1084" t="s">
        <v>1241</v>
      </c>
      <c r="B1084" t="s">
        <v>195</v>
      </c>
      <c r="C1084">
        <v>5.56</v>
      </c>
      <c r="D1084">
        <v>18.39</v>
      </c>
      <c r="E1084">
        <v>9.56</v>
      </c>
      <c r="F1084">
        <v>2.5099999999999998</v>
      </c>
      <c r="G1084">
        <v>64.232008592910844</v>
      </c>
      <c r="H1084">
        <v>51.235415236787929</v>
      </c>
      <c r="I1084">
        <v>50.850460666194188</v>
      </c>
      <c r="J1084">
        <v>53.642256622715642</v>
      </c>
      <c r="K1084">
        <v>8.4291187739463638</v>
      </c>
      <c r="L1084">
        <v>7.6171457230913617</v>
      </c>
      <c r="M1084">
        <v>86.806716598949791</v>
      </c>
      <c r="N1084">
        <v>50.630087154581858</v>
      </c>
      <c r="O1084">
        <v>10.412619047619048</v>
      </c>
      <c r="P1084">
        <v>-0.85261904761904717</v>
      </c>
      <c r="Q1084">
        <v>1083</v>
      </c>
      <c r="R1084">
        <v>33</v>
      </c>
      <c r="S1084" t="s">
        <v>24</v>
      </c>
      <c r="T1084" t="s">
        <v>196</v>
      </c>
      <c r="U1084">
        <v>5000</v>
      </c>
      <c r="V1084">
        <v>1000</v>
      </c>
    </row>
    <row r="1085" spans="1:22" x14ac:dyDescent="0.3">
      <c r="A1085" t="s">
        <v>1242</v>
      </c>
      <c r="B1085" t="s">
        <v>195</v>
      </c>
      <c r="C1085">
        <v>5.56</v>
      </c>
      <c r="D1085">
        <v>18.39</v>
      </c>
      <c r="E1085">
        <v>9.56</v>
      </c>
      <c r="F1085">
        <v>2.5099999999999998</v>
      </c>
      <c r="G1085">
        <v>64.232008592910844</v>
      </c>
      <c r="H1085">
        <v>51.235415236787929</v>
      </c>
      <c r="I1085">
        <v>50.850460666194188</v>
      </c>
      <c r="J1085">
        <v>53.642256622715642</v>
      </c>
      <c r="K1085">
        <v>8.4291187739463638</v>
      </c>
      <c r="L1085">
        <v>7.6171457230913617</v>
      </c>
      <c r="M1085">
        <v>86.806716598949791</v>
      </c>
      <c r="N1085">
        <v>50.630087154581858</v>
      </c>
      <c r="O1085">
        <v>10.412619047619048</v>
      </c>
      <c r="P1085">
        <v>-0.85261904761904717</v>
      </c>
      <c r="Q1085">
        <v>1083</v>
      </c>
      <c r="R1085">
        <v>33</v>
      </c>
      <c r="S1085" t="s">
        <v>24</v>
      </c>
      <c r="T1085" t="s">
        <v>196</v>
      </c>
      <c r="U1085">
        <v>5000</v>
      </c>
      <c r="V1085">
        <v>1000</v>
      </c>
    </row>
    <row r="1086" spans="1:22" x14ac:dyDescent="0.3">
      <c r="A1086" t="s">
        <v>1243</v>
      </c>
      <c r="B1086" t="s">
        <v>148</v>
      </c>
      <c r="C1086">
        <v>0.32</v>
      </c>
      <c r="D1086">
        <v>14.97</v>
      </c>
      <c r="E1086">
        <v>10.119999999999999</v>
      </c>
      <c r="F1086">
        <v>2.5</v>
      </c>
      <c r="G1086">
        <v>52.975295381310417</v>
      </c>
      <c r="H1086">
        <v>45.3671928620453</v>
      </c>
      <c r="I1086">
        <v>52.834868887313959</v>
      </c>
      <c r="J1086">
        <v>50.622651378532652</v>
      </c>
      <c r="K1086">
        <v>8.812260536398453</v>
      </c>
      <c r="L1086">
        <v>4.3525687580675978</v>
      </c>
      <c r="M1086">
        <v>92.461129767589952</v>
      </c>
      <c r="N1086">
        <v>50.629673265263428</v>
      </c>
      <c r="O1086">
        <v>10.461</v>
      </c>
      <c r="P1086">
        <v>-0.34100000000000108</v>
      </c>
      <c r="Q1086">
        <v>1085</v>
      </c>
      <c r="R1086">
        <v>31</v>
      </c>
      <c r="S1086" t="s">
        <v>24</v>
      </c>
      <c r="T1086" t="s">
        <v>78</v>
      </c>
      <c r="U1086">
        <v>5000</v>
      </c>
      <c r="V1086">
        <v>1000</v>
      </c>
    </row>
    <row r="1087" spans="1:22" x14ac:dyDescent="0.3">
      <c r="A1087" t="s">
        <v>1244</v>
      </c>
      <c r="B1087" t="s">
        <v>965</v>
      </c>
      <c r="C1087">
        <v>5.66</v>
      </c>
      <c r="D1087">
        <v>3.72</v>
      </c>
      <c r="E1087">
        <v>4.83</v>
      </c>
      <c r="F1087">
        <v>1.1100000000000001</v>
      </c>
      <c r="G1087">
        <v>64.446831364124591</v>
      </c>
      <c r="H1087">
        <v>26.063829787234049</v>
      </c>
      <c r="I1087">
        <v>34.089298369950392</v>
      </c>
      <c r="J1087">
        <v>37.75316439397033</v>
      </c>
      <c r="K1087">
        <v>62.068965517241367</v>
      </c>
      <c r="L1087">
        <v>20.245340062658553</v>
      </c>
      <c r="M1087">
        <v>64.934042394965701</v>
      </c>
      <c r="N1087">
        <v>50.627334175036928</v>
      </c>
      <c r="O1087">
        <v>4.3271875</v>
      </c>
      <c r="P1087">
        <v>0.50281250000000011</v>
      </c>
      <c r="Q1087">
        <v>1086</v>
      </c>
      <c r="R1087">
        <v>10</v>
      </c>
      <c r="S1087" t="s">
        <v>24</v>
      </c>
      <c r="T1087" t="s">
        <v>966</v>
      </c>
      <c r="U1087">
        <v>5000</v>
      </c>
      <c r="V1087">
        <v>1000</v>
      </c>
    </row>
    <row r="1088" spans="1:22" x14ac:dyDescent="0.3">
      <c r="A1088" t="s">
        <v>1245</v>
      </c>
      <c r="B1088" t="s">
        <v>445</v>
      </c>
      <c r="C1088">
        <v>4.71</v>
      </c>
      <c r="D1088">
        <v>8.61</v>
      </c>
      <c r="E1088">
        <v>7.52</v>
      </c>
      <c r="F1088">
        <v>1.74</v>
      </c>
      <c r="G1088">
        <v>62.406015037593974</v>
      </c>
      <c r="H1088">
        <v>34.454358270418673</v>
      </c>
      <c r="I1088">
        <v>43.621545003543581</v>
      </c>
      <c r="J1088">
        <v>44.628282990416182</v>
      </c>
      <c r="K1088">
        <v>37.931034482758605</v>
      </c>
      <c r="L1088">
        <v>14.248910736673261</v>
      </c>
      <c r="M1088">
        <v>75.320162651568239</v>
      </c>
      <c r="N1088">
        <v>50.626940778789802</v>
      </c>
      <c r="O1088">
        <v>5.7759259259259252</v>
      </c>
      <c r="P1088">
        <v>1.7440740740740743</v>
      </c>
      <c r="Q1088">
        <v>1087</v>
      </c>
      <c r="R1088">
        <v>11</v>
      </c>
      <c r="S1088" t="s">
        <v>24</v>
      </c>
      <c r="T1088" t="s">
        <v>443</v>
      </c>
      <c r="U1088">
        <v>5000</v>
      </c>
      <c r="V1088">
        <v>1000</v>
      </c>
    </row>
    <row r="1089" spans="1:22" x14ac:dyDescent="0.3">
      <c r="A1089" t="s">
        <v>1246</v>
      </c>
      <c r="B1089" t="s">
        <v>410</v>
      </c>
      <c r="C1089">
        <v>5.33</v>
      </c>
      <c r="D1089">
        <v>4.41</v>
      </c>
      <c r="E1089">
        <v>3.89</v>
      </c>
      <c r="F1089">
        <v>1.04</v>
      </c>
      <c r="G1089">
        <v>63.737916219119214</v>
      </c>
      <c r="H1089">
        <v>27.247769389155806</v>
      </c>
      <c r="I1089">
        <v>30.75832742735648</v>
      </c>
      <c r="J1089">
        <v>36.301077774248824</v>
      </c>
      <c r="K1089">
        <v>64.750957854406124</v>
      </c>
      <c r="L1089">
        <v>20.130855712419951</v>
      </c>
      <c r="M1089">
        <v>65.13233510625048</v>
      </c>
      <c r="N1089">
        <v>50.621362127288563</v>
      </c>
      <c r="O1089">
        <v>4.4264935064935065</v>
      </c>
      <c r="P1089">
        <v>-0.53649350649350636</v>
      </c>
      <c r="Q1089">
        <v>1088</v>
      </c>
      <c r="R1089">
        <v>65</v>
      </c>
      <c r="S1089" t="s">
        <v>24</v>
      </c>
      <c r="T1089" t="s">
        <v>411</v>
      </c>
      <c r="U1089">
        <v>1000</v>
      </c>
      <c r="V1089">
        <v>1000</v>
      </c>
    </row>
    <row r="1090" spans="1:22" x14ac:dyDescent="0.3">
      <c r="A1090" t="s">
        <v>1247</v>
      </c>
      <c r="B1090" t="s">
        <v>976</v>
      </c>
      <c r="C1090">
        <v>4.07</v>
      </c>
      <c r="D1090">
        <v>2.5299999999999998</v>
      </c>
      <c r="E1090">
        <v>3.96</v>
      </c>
      <c r="F1090">
        <v>0.99</v>
      </c>
      <c r="G1090">
        <v>61.031149301825991</v>
      </c>
      <c r="H1090">
        <v>24.021962937542902</v>
      </c>
      <c r="I1090">
        <v>31.006378454996451</v>
      </c>
      <c r="J1090">
        <v>34.916007969126298</v>
      </c>
      <c r="K1090">
        <v>66.666666666666657</v>
      </c>
      <c r="L1090">
        <v>19.66362462293981</v>
      </c>
      <c r="M1090">
        <v>65.941603092105836</v>
      </c>
      <c r="N1090">
        <v>50.610071424256276</v>
      </c>
      <c r="O1090">
        <v>4.3111111111111109</v>
      </c>
      <c r="P1090">
        <v>-0.35111111111111093</v>
      </c>
      <c r="Q1090">
        <v>1089</v>
      </c>
      <c r="R1090">
        <v>14</v>
      </c>
      <c r="S1090" t="s">
        <v>24</v>
      </c>
      <c r="T1090" t="s">
        <v>977</v>
      </c>
      <c r="U1090">
        <v>5000</v>
      </c>
      <c r="V1090">
        <v>1000</v>
      </c>
    </row>
    <row r="1091" spans="1:22" x14ac:dyDescent="0.3">
      <c r="A1091" t="s">
        <v>1248</v>
      </c>
      <c r="B1091" t="s">
        <v>86</v>
      </c>
      <c r="C1091">
        <v>2.16</v>
      </c>
      <c r="D1091">
        <v>16.89</v>
      </c>
      <c r="E1091">
        <v>9.5</v>
      </c>
      <c r="F1091">
        <v>2.54</v>
      </c>
      <c r="G1091">
        <v>56.928034371643385</v>
      </c>
      <c r="H1091">
        <v>48.661633493479762</v>
      </c>
      <c r="I1091">
        <v>50.637845499645643</v>
      </c>
      <c r="J1091">
        <v>51.303019672195433</v>
      </c>
      <c r="K1091">
        <v>7.2796934865900331</v>
      </c>
      <c r="L1091">
        <v>4.3167362944942314</v>
      </c>
      <c r="M1091">
        <v>92.523193415059382</v>
      </c>
      <c r="N1091">
        <v>50.602231561510067</v>
      </c>
      <c r="O1091">
        <v>8.6526315789473696</v>
      </c>
      <c r="P1091">
        <v>0.84736842105263044</v>
      </c>
      <c r="Q1091">
        <v>1090</v>
      </c>
      <c r="R1091">
        <v>7</v>
      </c>
      <c r="S1091" t="s">
        <v>24</v>
      </c>
      <c r="T1091" t="s">
        <v>78</v>
      </c>
      <c r="U1091">
        <v>5000</v>
      </c>
      <c r="V1091">
        <v>1000</v>
      </c>
    </row>
    <row r="1092" spans="1:22" x14ac:dyDescent="0.3">
      <c r="A1092" t="s">
        <v>1249</v>
      </c>
      <c r="B1092" t="s">
        <v>202</v>
      </c>
      <c r="C1092">
        <v>1.52</v>
      </c>
      <c r="D1092">
        <v>11.87</v>
      </c>
      <c r="E1092">
        <v>7.07</v>
      </c>
      <c r="F1092">
        <v>1.98</v>
      </c>
      <c r="G1092">
        <v>55.553168635875409</v>
      </c>
      <c r="H1092">
        <v>40.048043925875085</v>
      </c>
      <c r="I1092">
        <v>42.026931254429478</v>
      </c>
      <c r="J1092">
        <v>44.138512532152347</v>
      </c>
      <c r="K1092">
        <v>28.735632183908045</v>
      </c>
      <c r="L1092">
        <v>8.4388386348576923</v>
      </c>
      <c r="M1092">
        <v>85.383502727551289</v>
      </c>
      <c r="N1092">
        <v>50.599039993941005</v>
      </c>
      <c r="O1092">
        <v>10.023387096774194</v>
      </c>
      <c r="P1092">
        <v>-2.9533870967741933</v>
      </c>
      <c r="Q1092">
        <v>1091</v>
      </c>
      <c r="R1092">
        <v>45</v>
      </c>
      <c r="S1092" t="s">
        <v>24</v>
      </c>
      <c r="T1092" t="s">
        <v>78</v>
      </c>
      <c r="U1092">
        <v>1000</v>
      </c>
      <c r="V1092">
        <v>1000</v>
      </c>
    </row>
    <row r="1093" spans="1:22" x14ac:dyDescent="0.3">
      <c r="A1093" t="s">
        <v>1250</v>
      </c>
      <c r="B1093" t="s">
        <v>921</v>
      </c>
      <c r="C1093">
        <v>5.75</v>
      </c>
      <c r="D1093">
        <v>3.57</v>
      </c>
      <c r="E1093">
        <v>5.84</v>
      </c>
      <c r="F1093">
        <v>1.22</v>
      </c>
      <c r="G1093">
        <v>64.640171858216959</v>
      </c>
      <c r="H1093">
        <v>25.806451612903231</v>
      </c>
      <c r="I1093">
        <v>37.668320340184266</v>
      </c>
      <c r="J1093">
        <v>39.504130025606493</v>
      </c>
      <c r="K1093">
        <v>57.854406130268202</v>
      </c>
      <c r="L1093">
        <v>19.900764357620954</v>
      </c>
      <c r="M1093">
        <v>65.530865023144699</v>
      </c>
      <c r="N1093">
        <v>50.598382801156475</v>
      </c>
      <c r="O1093">
        <v>3.5597297297297299</v>
      </c>
      <c r="P1093">
        <v>2.28027027027027</v>
      </c>
      <c r="Q1093">
        <v>1092</v>
      </c>
      <c r="R1093">
        <v>6</v>
      </c>
      <c r="S1093" t="s">
        <v>24</v>
      </c>
      <c r="T1093" t="s">
        <v>221</v>
      </c>
      <c r="U1093">
        <v>5000</v>
      </c>
      <c r="V1093">
        <v>1000</v>
      </c>
    </row>
    <row r="1094" spans="1:22" x14ac:dyDescent="0.3">
      <c r="A1094" t="s">
        <v>1251</v>
      </c>
      <c r="B1094" t="s">
        <v>921</v>
      </c>
      <c r="C1094">
        <v>5.75</v>
      </c>
      <c r="D1094">
        <v>3.57</v>
      </c>
      <c r="E1094">
        <v>5.84</v>
      </c>
      <c r="F1094">
        <v>1.22</v>
      </c>
      <c r="G1094">
        <v>64.640171858216959</v>
      </c>
      <c r="H1094">
        <v>25.806451612903231</v>
      </c>
      <c r="I1094">
        <v>37.668320340184266</v>
      </c>
      <c r="J1094">
        <v>39.504130025606493</v>
      </c>
      <c r="K1094">
        <v>57.854406130268202</v>
      </c>
      <c r="L1094">
        <v>19.900764357620954</v>
      </c>
      <c r="M1094">
        <v>65.530865023144699</v>
      </c>
      <c r="N1094">
        <v>50.598382801156475</v>
      </c>
      <c r="O1094">
        <v>3.5597297297297299</v>
      </c>
      <c r="P1094">
        <v>2.28027027027027</v>
      </c>
      <c r="Q1094">
        <v>1092</v>
      </c>
      <c r="R1094">
        <v>6</v>
      </c>
      <c r="S1094" t="s">
        <v>24</v>
      </c>
      <c r="T1094" t="s">
        <v>221</v>
      </c>
      <c r="U1094">
        <v>5000</v>
      </c>
      <c r="V1094">
        <v>1000</v>
      </c>
    </row>
    <row r="1095" spans="1:22" x14ac:dyDescent="0.3">
      <c r="A1095" t="s">
        <v>1252</v>
      </c>
      <c r="B1095" t="s">
        <v>123</v>
      </c>
      <c r="C1095">
        <v>-3.5</v>
      </c>
      <c r="D1095">
        <v>9.34</v>
      </c>
      <c r="E1095">
        <v>9.51</v>
      </c>
      <c r="F1095">
        <v>2.0699999999999998</v>
      </c>
      <c r="G1095">
        <v>44.769065520945219</v>
      </c>
      <c r="H1095">
        <v>35.706932052161974</v>
      </c>
      <c r="I1095">
        <v>50.673281360737057</v>
      </c>
      <c r="J1095">
        <v>45.002533400206161</v>
      </c>
      <c r="K1095">
        <v>25.287356321839095</v>
      </c>
      <c r="L1095">
        <v>7.5384971901475621</v>
      </c>
      <c r="M1095">
        <v>86.942939853949198</v>
      </c>
      <c r="N1095">
        <v>50.558840744050158</v>
      </c>
      <c r="O1095">
        <v>10.563571428571427</v>
      </c>
      <c r="P1095">
        <v>-1.053571428571427</v>
      </c>
      <c r="Q1095">
        <v>1094</v>
      </c>
      <c r="R1095">
        <v>11</v>
      </c>
      <c r="S1095" t="s">
        <v>24</v>
      </c>
      <c r="T1095" t="s">
        <v>45</v>
      </c>
      <c r="U1095">
        <v>1000</v>
      </c>
      <c r="V1095">
        <v>1000</v>
      </c>
    </row>
    <row r="1096" spans="1:22" x14ac:dyDescent="0.3">
      <c r="A1096" t="s">
        <v>1253</v>
      </c>
      <c r="B1096" t="s">
        <v>138</v>
      </c>
      <c r="C1096">
        <v>3.71</v>
      </c>
      <c r="D1096">
        <v>12.81</v>
      </c>
      <c r="E1096">
        <v>9.34</v>
      </c>
      <c r="F1096">
        <v>2.23</v>
      </c>
      <c r="G1096">
        <v>60.257787325456491</v>
      </c>
      <c r="H1096">
        <v>41.66094715168154</v>
      </c>
      <c r="I1096">
        <v>50.070871722182851</v>
      </c>
      <c r="J1096">
        <v>49.585277471687192</v>
      </c>
      <c r="K1096">
        <v>19.157088122605369</v>
      </c>
      <c r="L1096">
        <v>9.3125591294648213</v>
      </c>
      <c r="M1096">
        <v>83.870174439277534</v>
      </c>
      <c r="N1096">
        <v>50.549454376314323</v>
      </c>
      <c r="O1096">
        <v>9.219019607843137</v>
      </c>
      <c r="P1096">
        <v>0.12098039215686285</v>
      </c>
      <c r="Q1096">
        <v>1095</v>
      </c>
      <c r="R1096">
        <v>34</v>
      </c>
      <c r="S1096" t="s">
        <v>24</v>
      </c>
      <c r="T1096" t="s">
        <v>134</v>
      </c>
      <c r="U1096">
        <v>5000</v>
      </c>
      <c r="V1096">
        <v>1000</v>
      </c>
    </row>
    <row r="1097" spans="1:22" x14ac:dyDescent="0.3">
      <c r="A1097" t="s">
        <v>1254</v>
      </c>
      <c r="B1097" t="s">
        <v>185</v>
      </c>
      <c r="C1097">
        <v>9.44</v>
      </c>
      <c r="D1097">
        <v>20.46</v>
      </c>
      <c r="E1097">
        <v>10.01</v>
      </c>
      <c r="F1097">
        <v>2.5499999999999998</v>
      </c>
      <c r="G1097">
        <v>72.567132116004302</v>
      </c>
      <c r="H1097">
        <v>54.787234042553187</v>
      </c>
      <c r="I1097">
        <v>52.445074415308291</v>
      </c>
      <c r="J1097">
        <v>57.172133843620962</v>
      </c>
      <c r="K1097">
        <v>6.8965517241379448</v>
      </c>
      <c r="L1097">
        <v>11.003845489433427</v>
      </c>
      <c r="M1097">
        <v>80.940780533663684</v>
      </c>
      <c r="N1097">
        <v>50.54539998626089</v>
      </c>
      <c r="O1097">
        <v>9.4014285714285712</v>
      </c>
      <c r="P1097">
        <v>0.60857142857142854</v>
      </c>
      <c r="Q1097">
        <v>1096</v>
      </c>
      <c r="R1097">
        <v>19</v>
      </c>
      <c r="S1097" t="s">
        <v>24</v>
      </c>
      <c r="T1097" t="s">
        <v>666</v>
      </c>
      <c r="U1097">
        <v>5000</v>
      </c>
      <c r="V1097">
        <v>1000</v>
      </c>
    </row>
    <row r="1098" spans="1:22" x14ac:dyDescent="0.3">
      <c r="A1098" t="s">
        <v>1255</v>
      </c>
      <c r="B1098" t="s">
        <v>155</v>
      </c>
      <c r="C1098">
        <v>4.74</v>
      </c>
      <c r="D1098">
        <v>3.2</v>
      </c>
      <c r="E1098">
        <v>5.18</v>
      </c>
      <c r="F1098">
        <v>1.1599999999999999</v>
      </c>
      <c r="G1098">
        <v>62.470461868958104</v>
      </c>
      <c r="H1098">
        <v>25.171585449553881</v>
      </c>
      <c r="I1098">
        <v>35.329553508150248</v>
      </c>
      <c r="J1098">
        <v>37.710344762732909</v>
      </c>
      <c r="K1098">
        <v>60.153256704980841</v>
      </c>
      <c r="L1098">
        <v>19.283064261501689</v>
      </c>
      <c r="M1098">
        <v>66.600752973463443</v>
      </c>
      <c r="N1098">
        <v>50.543674800977527</v>
      </c>
      <c r="O1098">
        <v>5.2086538461538465</v>
      </c>
      <c r="P1098">
        <v>-2.8653846153846807E-2</v>
      </c>
      <c r="Q1098">
        <v>1097</v>
      </c>
      <c r="R1098">
        <v>34</v>
      </c>
      <c r="S1098" t="s">
        <v>24</v>
      </c>
      <c r="T1098" t="s">
        <v>45</v>
      </c>
      <c r="U1098">
        <v>1000</v>
      </c>
      <c r="V1098">
        <v>1000</v>
      </c>
    </row>
    <row r="1099" spans="1:22" x14ac:dyDescent="0.3">
      <c r="A1099" t="s">
        <v>1256</v>
      </c>
      <c r="B1099" t="s">
        <v>148</v>
      </c>
      <c r="C1099">
        <v>0.28000000000000003</v>
      </c>
      <c r="D1099">
        <v>14.97</v>
      </c>
      <c r="E1099">
        <v>9.89</v>
      </c>
      <c r="F1099">
        <v>2.5</v>
      </c>
      <c r="G1099">
        <v>52.889366272824908</v>
      </c>
      <c r="H1099">
        <v>45.3671928620453</v>
      </c>
      <c r="I1099">
        <v>52.0198440822112</v>
      </c>
      <c r="J1099">
        <v>50.197953154284178</v>
      </c>
      <c r="K1099">
        <v>8.812260536398453</v>
      </c>
      <c r="L1099">
        <v>4.1149509903720647</v>
      </c>
      <c r="M1099">
        <v>92.872695814019721</v>
      </c>
      <c r="N1099">
        <v>50.52021566474663</v>
      </c>
      <c r="O1099">
        <v>10.461</v>
      </c>
      <c r="P1099">
        <v>-0.57099999999999973</v>
      </c>
      <c r="Q1099">
        <v>1098</v>
      </c>
      <c r="R1099">
        <v>32</v>
      </c>
      <c r="S1099" t="s">
        <v>24</v>
      </c>
      <c r="T1099" t="s">
        <v>78</v>
      </c>
      <c r="U1099">
        <v>5000</v>
      </c>
      <c r="V1099">
        <v>1000</v>
      </c>
    </row>
    <row r="1100" spans="1:22" x14ac:dyDescent="0.3">
      <c r="A1100" t="s">
        <v>1257</v>
      </c>
      <c r="B1100" t="s">
        <v>123</v>
      </c>
      <c r="C1100">
        <v>-3.5</v>
      </c>
      <c r="D1100">
        <v>9.2899999999999991</v>
      </c>
      <c r="E1100">
        <v>9.41</v>
      </c>
      <c r="F1100">
        <v>2.0699999999999998</v>
      </c>
      <c r="G1100">
        <v>44.769065520945219</v>
      </c>
      <c r="H1100">
        <v>35.621139327385045</v>
      </c>
      <c r="I1100">
        <v>50.318922749822818</v>
      </c>
      <c r="J1100">
        <v>44.799616277315963</v>
      </c>
      <c r="K1100">
        <v>25.287356321839095</v>
      </c>
      <c r="L1100">
        <v>7.4219304141693918</v>
      </c>
      <c r="M1100">
        <v>87.144839432417896</v>
      </c>
      <c r="N1100">
        <v>50.507857077222226</v>
      </c>
      <c r="O1100">
        <v>10.563571428571427</v>
      </c>
      <c r="P1100">
        <v>-1.1535714285714267</v>
      </c>
      <c r="Q1100">
        <v>1099</v>
      </c>
      <c r="R1100">
        <v>12</v>
      </c>
      <c r="S1100" t="s">
        <v>24</v>
      </c>
      <c r="T1100" t="s">
        <v>45</v>
      </c>
      <c r="U1100">
        <v>1000</v>
      </c>
      <c r="V1100">
        <v>1000</v>
      </c>
    </row>
    <row r="1101" spans="1:22" x14ac:dyDescent="0.3">
      <c r="A1101" t="s">
        <v>1258</v>
      </c>
      <c r="B1101" t="s">
        <v>195</v>
      </c>
      <c r="C1101">
        <v>4.3600000000000003</v>
      </c>
      <c r="D1101">
        <v>14.74</v>
      </c>
      <c r="E1101">
        <v>7.38</v>
      </c>
      <c r="F1101">
        <v>2.08</v>
      </c>
      <c r="G1101">
        <v>61.65413533834586</v>
      </c>
      <c r="H1101">
        <v>44.972546328071381</v>
      </c>
      <c r="I1101">
        <v>43.12544294826364</v>
      </c>
      <c r="J1101">
        <v>47.385312440222407</v>
      </c>
      <c r="K1101">
        <v>24.904214559386961</v>
      </c>
      <c r="L1101">
        <v>10.206204358866703</v>
      </c>
      <c r="M1101">
        <v>82.322335498011938</v>
      </c>
      <c r="N1101">
        <v>50.499293734460927</v>
      </c>
      <c r="O1101">
        <v>10.412619047619048</v>
      </c>
      <c r="P1101">
        <v>-3.0326190476190478</v>
      </c>
      <c r="Q1101">
        <v>1100</v>
      </c>
      <c r="R1101">
        <v>35</v>
      </c>
      <c r="S1101" t="s">
        <v>24</v>
      </c>
      <c r="T1101" t="s">
        <v>196</v>
      </c>
      <c r="U1101">
        <v>5000</v>
      </c>
      <c r="V1101">
        <v>1000</v>
      </c>
    </row>
    <row r="1102" spans="1:22" x14ac:dyDescent="0.3">
      <c r="A1102" t="s">
        <v>1259</v>
      </c>
      <c r="B1102" t="s">
        <v>138</v>
      </c>
      <c r="C1102">
        <v>-0.77</v>
      </c>
      <c r="D1102">
        <v>9.5299999999999994</v>
      </c>
      <c r="E1102">
        <v>6.73</v>
      </c>
      <c r="F1102">
        <v>1.89</v>
      </c>
      <c r="G1102">
        <v>50.633727175080558</v>
      </c>
      <c r="H1102">
        <v>36.03294440631435</v>
      </c>
      <c r="I1102">
        <v>40.82211197732105</v>
      </c>
      <c r="J1102">
        <v>41.347684745570945</v>
      </c>
      <c r="K1102">
        <v>32.18390804597702</v>
      </c>
      <c r="L1102">
        <v>7.4429695717142792</v>
      </c>
      <c r="M1102">
        <v>87.108398542601705</v>
      </c>
      <c r="N1102">
        <v>50.496919019930154</v>
      </c>
      <c r="O1102">
        <v>9.219019607843137</v>
      </c>
      <c r="P1102">
        <v>-2.4890196078431366</v>
      </c>
      <c r="Q1102">
        <v>1101</v>
      </c>
      <c r="R1102">
        <v>35</v>
      </c>
      <c r="S1102" t="s">
        <v>24</v>
      </c>
      <c r="T1102" t="s">
        <v>176</v>
      </c>
      <c r="U1102">
        <v>5000</v>
      </c>
      <c r="V1102">
        <v>1000</v>
      </c>
    </row>
    <row r="1103" spans="1:22" x14ac:dyDescent="0.3">
      <c r="A1103" t="s">
        <v>1260</v>
      </c>
      <c r="B1103" t="s">
        <v>126</v>
      </c>
      <c r="C1103">
        <v>5.97</v>
      </c>
      <c r="D1103">
        <v>13.42</v>
      </c>
      <c r="E1103">
        <v>6.72</v>
      </c>
      <c r="F1103">
        <v>1.87</v>
      </c>
      <c r="G1103">
        <v>65.112781954887211</v>
      </c>
      <c r="H1103">
        <v>42.707618393960203</v>
      </c>
      <c r="I1103">
        <v>40.786676116229621</v>
      </c>
      <c r="J1103">
        <v>46.228179967280312</v>
      </c>
      <c r="K1103">
        <v>32.950191570881216</v>
      </c>
      <c r="L1103">
        <v>13.524304040626483</v>
      </c>
      <c r="M1103">
        <v>76.575218264625875</v>
      </c>
      <c r="N1103">
        <v>50.495442442516932</v>
      </c>
      <c r="O1103">
        <v>11.362272727272726</v>
      </c>
      <c r="P1103">
        <v>-4.6422727272727267</v>
      </c>
      <c r="Q1103">
        <v>1102</v>
      </c>
      <c r="R1103">
        <v>41</v>
      </c>
      <c r="S1103" t="s">
        <v>24</v>
      </c>
      <c r="T1103" t="s">
        <v>1209</v>
      </c>
      <c r="U1103">
        <v>1000</v>
      </c>
      <c r="V1103">
        <v>1000</v>
      </c>
    </row>
    <row r="1104" spans="1:22" x14ac:dyDescent="0.3">
      <c r="A1104" t="s">
        <v>1261</v>
      </c>
      <c r="B1104" t="s">
        <v>410</v>
      </c>
      <c r="C1104">
        <v>5.33</v>
      </c>
      <c r="D1104">
        <v>4.41</v>
      </c>
      <c r="E1104">
        <v>3.79</v>
      </c>
      <c r="F1104">
        <v>1.04</v>
      </c>
      <c r="G1104">
        <v>63.737916219119214</v>
      </c>
      <c r="H1104">
        <v>27.247769389155806</v>
      </c>
      <c r="I1104">
        <v>30.403968816442241</v>
      </c>
      <c r="J1104">
        <v>36.123898468791708</v>
      </c>
      <c r="K1104">
        <v>64.750957854406124</v>
      </c>
      <c r="L1104">
        <v>20.218162049427765</v>
      </c>
      <c r="M1104">
        <v>64.981116094730211</v>
      </c>
      <c r="N1104">
        <v>50.494967721679942</v>
      </c>
      <c r="O1104">
        <v>4.4264935064935065</v>
      </c>
      <c r="P1104">
        <v>-0.63649350649350644</v>
      </c>
      <c r="Q1104">
        <v>1103</v>
      </c>
      <c r="R1104">
        <v>66</v>
      </c>
      <c r="S1104" t="s">
        <v>24</v>
      </c>
      <c r="T1104" t="s">
        <v>411</v>
      </c>
      <c r="U1104">
        <v>1000</v>
      </c>
      <c r="V1104">
        <v>1000</v>
      </c>
    </row>
    <row r="1105" spans="1:22" x14ac:dyDescent="0.3">
      <c r="A1105" t="s">
        <v>1262</v>
      </c>
      <c r="B1105" t="s">
        <v>115</v>
      </c>
      <c r="C1105">
        <v>-0.63</v>
      </c>
      <c r="D1105">
        <v>13.23</v>
      </c>
      <c r="E1105">
        <v>10.57</v>
      </c>
      <c r="F1105">
        <v>2.41</v>
      </c>
      <c r="G1105">
        <v>50.9344790547798</v>
      </c>
      <c r="H1105">
        <v>42.381606039807828</v>
      </c>
      <c r="I1105">
        <v>54.429482636428062</v>
      </c>
      <c r="J1105">
        <v>50.11611894111234</v>
      </c>
      <c r="K1105">
        <v>12.260536398467426</v>
      </c>
      <c r="L1105">
        <v>6.1983602311869479</v>
      </c>
      <c r="M1105">
        <v>89.264125155969836</v>
      </c>
      <c r="N1105">
        <v>50.439224859165485</v>
      </c>
      <c r="O1105">
        <v>9.1675000000000004</v>
      </c>
      <c r="P1105">
        <v>1.4024999999999999</v>
      </c>
      <c r="Q1105">
        <v>1104</v>
      </c>
      <c r="R1105">
        <v>3</v>
      </c>
      <c r="S1105" t="s">
        <v>24</v>
      </c>
      <c r="T1105" t="s">
        <v>1263</v>
      </c>
      <c r="U1105">
        <v>5000</v>
      </c>
      <c r="V1105">
        <v>1000</v>
      </c>
    </row>
    <row r="1106" spans="1:22" x14ac:dyDescent="0.3">
      <c r="A1106" t="s">
        <v>1264</v>
      </c>
      <c r="B1106" t="s">
        <v>77</v>
      </c>
      <c r="C1106">
        <v>7.02</v>
      </c>
      <c r="D1106">
        <v>16.45</v>
      </c>
      <c r="E1106">
        <v>10.84</v>
      </c>
      <c r="F1106">
        <v>2.5299999999999998</v>
      </c>
      <c r="G1106">
        <v>67.368421052631575</v>
      </c>
      <c r="H1106">
        <v>47.906657515442696</v>
      </c>
      <c r="I1106">
        <v>55.38625088589653</v>
      </c>
      <c r="J1106">
        <v>55.538806908107389</v>
      </c>
      <c r="K1106">
        <v>7.6628352490421436</v>
      </c>
      <c r="L1106">
        <v>9.8173057986851884</v>
      </c>
      <c r="M1106">
        <v>82.995927563236691</v>
      </c>
      <c r="N1106">
        <v>50.434094157123404</v>
      </c>
      <c r="O1106">
        <v>9.0435999999999996</v>
      </c>
      <c r="P1106">
        <v>1.7964000000000002</v>
      </c>
      <c r="Q1106">
        <v>1105</v>
      </c>
      <c r="R1106">
        <v>19</v>
      </c>
      <c r="S1106" t="s">
        <v>24</v>
      </c>
      <c r="T1106" t="s">
        <v>107</v>
      </c>
      <c r="U1106">
        <v>5000</v>
      </c>
      <c r="V1106">
        <v>1000</v>
      </c>
    </row>
    <row r="1107" spans="1:22" x14ac:dyDescent="0.3">
      <c r="A1107" t="s">
        <v>1265</v>
      </c>
      <c r="B1107" t="s">
        <v>77</v>
      </c>
      <c r="C1107">
        <v>7.02</v>
      </c>
      <c r="D1107">
        <v>16.45</v>
      </c>
      <c r="E1107">
        <v>10.84</v>
      </c>
      <c r="F1107">
        <v>2.5299999999999998</v>
      </c>
      <c r="G1107">
        <v>67.368421052631575</v>
      </c>
      <c r="H1107">
        <v>47.906657515442696</v>
      </c>
      <c r="I1107">
        <v>55.38625088589653</v>
      </c>
      <c r="J1107">
        <v>55.538806908107389</v>
      </c>
      <c r="K1107">
        <v>7.6628352490421436</v>
      </c>
      <c r="L1107">
        <v>9.8173057986851884</v>
      </c>
      <c r="M1107">
        <v>82.995927563236691</v>
      </c>
      <c r="N1107">
        <v>50.434094157123404</v>
      </c>
      <c r="O1107">
        <v>9.0435999999999996</v>
      </c>
      <c r="P1107">
        <v>1.7964000000000002</v>
      </c>
      <c r="Q1107">
        <v>1105</v>
      </c>
      <c r="R1107">
        <v>19</v>
      </c>
      <c r="S1107" t="s">
        <v>24</v>
      </c>
      <c r="T1107" t="s">
        <v>107</v>
      </c>
      <c r="U1107">
        <v>5000</v>
      </c>
      <c r="V1107">
        <v>1000</v>
      </c>
    </row>
    <row r="1108" spans="1:22" x14ac:dyDescent="0.3">
      <c r="A1108" t="s">
        <v>1266</v>
      </c>
      <c r="B1108" t="s">
        <v>494</v>
      </c>
      <c r="C1108">
        <v>-0.31</v>
      </c>
      <c r="D1108">
        <v>9.16</v>
      </c>
      <c r="E1108">
        <v>7.63</v>
      </c>
      <c r="F1108">
        <v>1.95</v>
      </c>
      <c r="G1108">
        <v>51.621911922663799</v>
      </c>
      <c r="H1108">
        <v>35.398078242965006</v>
      </c>
      <c r="I1108">
        <v>44.011339475549256</v>
      </c>
      <c r="J1108">
        <v>42.949475595196887</v>
      </c>
      <c r="K1108">
        <v>29.885057471264375</v>
      </c>
      <c r="L1108">
        <v>8.1170793320837458</v>
      </c>
      <c r="M1108">
        <v>85.940806187763712</v>
      </c>
      <c r="N1108">
        <v>50.431203712355469</v>
      </c>
      <c r="O1108">
        <v>7.1099999999999994</v>
      </c>
      <c r="P1108">
        <v>0.52000000000000046</v>
      </c>
      <c r="Q1108">
        <v>1107</v>
      </c>
      <c r="R1108">
        <v>3</v>
      </c>
      <c r="S1108" t="s">
        <v>24</v>
      </c>
      <c r="T1108" t="s">
        <v>78</v>
      </c>
      <c r="U1108">
        <v>5000</v>
      </c>
      <c r="V1108">
        <v>1000</v>
      </c>
    </row>
    <row r="1109" spans="1:22" x14ac:dyDescent="0.3">
      <c r="A1109" t="s">
        <v>1267</v>
      </c>
      <c r="B1109" t="s">
        <v>976</v>
      </c>
      <c r="C1109">
        <v>4.8499999999999996</v>
      </c>
      <c r="D1109">
        <v>3.14</v>
      </c>
      <c r="E1109">
        <v>5.31</v>
      </c>
      <c r="F1109">
        <v>1.18</v>
      </c>
      <c r="G1109">
        <v>62.70676691729323</v>
      </c>
      <c r="H1109">
        <v>25.068634179821554</v>
      </c>
      <c r="I1109">
        <v>35.790219702338767</v>
      </c>
      <c r="J1109">
        <v>37.957053488574502</v>
      </c>
      <c r="K1109">
        <v>59.38697318007663</v>
      </c>
      <c r="L1109">
        <v>19.391071596893337</v>
      </c>
      <c r="M1109">
        <v>66.413678780974976</v>
      </c>
      <c r="N1109">
        <v>50.428689734550154</v>
      </c>
      <c r="O1109">
        <v>4.3111111111111109</v>
      </c>
      <c r="P1109">
        <v>0.99888888888888872</v>
      </c>
      <c r="Q1109">
        <v>1108</v>
      </c>
      <c r="R1109">
        <v>15</v>
      </c>
      <c r="S1109" t="s">
        <v>24</v>
      </c>
      <c r="T1109" t="s">
        <v>1119</v>
      </c>
      <c r="U1109">
        <v>1000</v>
      </c>
      <c r="V1109">
        <v>1000</v>
      </c>
    </row>
    <row r="1110" spans="1:22" x14ac:dyDescent="0.3">
      <c r="A1110" t="s">
        <v>1268</v>
      </c>
      <c r="B1110" t="s">
        <v>115</v>
      </c>
      <c r="C1110">
        <v>-0.63</v>
      </c>
      <c r="D1110">
        <v>13.21</v>
      </c>
      <c r="E1110">
        <v>10.56</v>
      </c>
      <c r="F1110">
        <v>2.41</v>
      </c>
      <c r="G1110">
        <v>50.9344790547798</v>
      </c>
      <c r="H1110">
        <v>42.347288949897056</v>
      </c>
      <c r="I1110">
        <v>54.394046775336633</v>
      </c>
      <c r="J1110">
        <v>50.088105883593393</v>
      </c>
      <c r="K1110">
        <v>12.260536398467426</v>
      </c>
      <c r="L1110">
        <v>6.2025910824335426</v>
      </c>
      <c r="M1110">
        <v>89.256797106651462</v>
      </c>
      <c r="N1110">
        <v>50.423386318076417</v>
      </c>
      <c r="O1110">
        <v>9.1675000000000004</v>
      </c>
      <c r="P1110">
        <v>1.3925000000000001</v>
      </c>
      <c r="Q1110">
        <v>1109</v>
      </c>
      <c r="R1110">
        <v>4</v>
      </c>
      <c r="S1110" t="s">
        <v>24</v>
      </c>
      <c r="T1110" t="s">
        <v>1263</v>
      </c>
      <c r="U1110">
        <v>5000</v>
      </c>
      <c r="V1110">
        <v>1000</v>
      </c>
    </row>
    <row r="1111" spans="1:22" x14ac:dyDescent="0.3">
      <c r="A1111" t="s">
        <v>1269</v>
      </c>
      <c r="B1111" t="s">
        <v>155</v>
      </c>
      <c r="C1111">
        <v>4.7300000000000004</v>
      </c>
      <c r="D1111">
        <v>3.2</v>
      </c>
      <c r="E1111">
        <v>5.0599999999999996</v>
      </c>
      <c r="F1111">
        <v>1.1599999999999999</v>
      </c>
      <c r="G1111">
        <v>62.448979591836732</v>
      </c>
      <c r="H1111">
        <v>25.171585449553881</v>
      </c>
      <c r="I1111">
        <v>34.90432317505315</v>
      </c>
      <c r="J1111">
        <v>37.493433140760089</v>
      </c>
      <c r="K1111">
        <v>60.153256704980841</v>
      </c>
      <c r="L1111">
        <v>19.334935543341906</v>
      </c>
      <c r="M1111">
        <v>66.510909277862453</v>
      </c>
      <c r="N1111">
        <v>50.412758066090866</v>
      </c>
      <c r="O1111">
        <v>5.2086538461538465</v>
      </c>
      <c r="P1111">
        <v>-0.14865384615384691</v>
      </c>
      <c r="Q1111">
        <v>1110</v>
      </c>
      <c r="R1111">
        <v>35</v>
      </c>
      <c r="S1111" t="s">
        <v>24</v>
      </c>
      <c r="T1111" t="s">
        <v>45</v>
      </c>
      <c r="U1111">
        <v>1000</v>
      </c>
      <c r="V1111">
        <v>1000</v>
      </c>
    </row>
    <row r="1112" spans="1:22" x14ac:dyDescent="0.3">
      <c r="A1112" t="s">
        <v>1270</v>
      </c>
      <c r="B1112" t="s">
        <v>755</v>
      </c>
      <c r="C1112">
        <v>13.35</v>
      </c>
      <c r="D1112">
        <v>19.93</v>
      </c>
      <c r="E1112">
        <v>12.48</v>
      </c>
      <c r="F1112">
        <v>2.73</v>
      </c>
      <c r="G1112">
        <v>80.966702470461868</v>
      </c>
      <c r="H1112">
        <v>53.877831159917648</v>
      </c>
      <c r="I1112">
        <v>61.197732104890143</v>
      </c>
      <c r="J1112">
        <v>62.955555894512742</v>
      </c>
      <c r="K1112">
        <v>0</v>
      </c>
      <c r="L1112">
        <v>14.013089642891558</v>
      </c>
      <c r="M1112">
        <v>75.7286167674946</v>
      </c>
      <c r="N1112">
        <v>50.409932139130021</v>
      </c>
      <c r="O1112">
        <v>11.035555555555554</v>
      </c>
      <c r="P1112">
        <v>1.4444444444444464</v>
      </c>
      <c r="Q1112">
        <v>1111</v>
      </c>
      <c r="R1112">
        <v>12</v>
      </c>
      <c r="S1112" t="s">
        <v>24</v>
      </c>
      <c r="T1112" t="s">
        <v>756</v>
      </c>
      <c r="U1112">
        <v>5000</v>
      </c>
      <c r="V1112">
        <v>1000</v>
      </c>
    </row>
    <row r="1113" spans="1:22" x14ac:dyDescent="0.3">
      <c r="A1113" t="s">
        <v>1271</v>
      </c>
      <c r="B1113" t="s">
        <v>520</v>
      </c>
      <c r="C1113">
        <v>6.66</v>
      </c>
      <c r="D1113">
        <v>4.96</v>
      </c>
      <c r="E1113">
        <v>6.14</v>
      </c>
      <c r="F1113">
        <v>1.33</v>
      </c>
      <c r="G1113">
        <v>66.595059076262089</v>
      </c>
      <c r="H1113">
        <v>28.191489361702132</v>
      </c>
      <c r="I1113">
        <v>38.731396172926999</v>
      </c>
      <c r="J1113">
        <v>41.142156710226558</v>
      </c>
      <c r="K1113">
        <v>53.639846743295003</v>
      </c>
      <c r="L1113">
        <v>19.842326446265748</v>
      </c>
      <c r="M1113">
        <v>65.632082454700111</v>
      </c>
      <c r="N1113">
        <v>50.389060654612059</v>
      </c>
      <c r="O1113">
        <v>4.625</v>
      </c>
      <c r="P1113">
        <v>1.5149999999999997</v>
      </c>
      <c r="Q1113">
        <v>1112</v>
      </c>
      <c r="R1113">
        <v>24</v>
      </c>
      <c r="S1113" t="s">
        <v>24</v>
      </c>
      <c r="T1113" t="s">
        <v>1272</v>
      </c>
      <c r="U1113">
        <v>5000</v>
      </c>
      <c r="V1113">
        <v>1000</v>
      </c>
    </row>
    <row r="1114" spans="1:22" x14ac:dyDescent="0.3">
      <c r="A1114" t="s">
        <v>1273</v>
      </c>
      <c r="B1114" t="s">
        <v>520</v>
      </c>
      <c r="C1114">
        <v>6.66</v>
      </c>
      <c r="D1114">
        <v>4.96</v>
      </c>
      <c r="E1114">
        <v>6.14</v>
      </c>
      <c r="F1114">
        <v>1.33</v>
      </c>
      <c r="G1114">
        <v>66.595059076262089</v>
      </c>
      <c r="H1114">
        <v>28.191489361702132</v>
      </c>
      <c r="I1114">
        <v>38.731396172926999</v>
      </c>
      <c r="J1114">
        <v>41.142156710226558</v>
      </c>
      <c r="K1114">
        <v>53.639846743295003</v>
      </c>
      <c r="L1114">
        <v>19.842326446265748</v>
      </c>
      <c r="M1114">
        <v>65.632082454700111</v>
      </c>
      <c r="N1114">
        <v>50.389060654612059</v>
      </c>
      <c r="O1114">
        <v>4.625</v>
      </c>
      <c r="P1114">
        <v>1.5149999999999997</v>
      </c>
      <c r="Q1114">
        <v>1112</v>
      </c>
      <c r="R1114">
        <v>24</v>
      </c>
      <c r="S1114" t="s">
        <v>24</v>
      </c>
      <c r="T1114" t="s">
        <v>1272</v>
      </c>
      <c r="U1114">
        <v>5000</v>
      </c>
      <c r="V1114">
        <v>1000</v>
      </c>
    </row>
    <row r="1115" spans="1:22" x14ac:dyDescent="0.3">
      <c r="A1115" t="s">
        <v>1274</v>
      </c>
      <c r="B1115" t="s">
        <v>520</v>
      </c>
      <c r="C1115">
        <v>6.66</v>
      </c>
      <c r="D1115">
        <v>4.96</v>
      </c>
      <c r="E1115">
        <v>6.14</v>
      </c>
      <c r="F1115">
        <v>1.33</v>
      </c>
      <c r="G1115">
        <v>66.595059076262089</v>
      </c>
      <c r="H1115">
        <v>28.191489361702132</v>
      </c>
      <c r="I1115">
        <v>38.731396172926999</v>
      </c>
      <c r="J1115">
        <v>41.142156710226558</v>
      </c>
      <c r="K1115">
        <v>53.639846743295003</v>
      </c>
      <c r="L1115">
        <v>19.842326446265748</v>
      </c>
      <c r="M1115">
        <v>65.632082454700111</v>
      </c>
      <c r="N1115">
        <v>50.389060654612059</v>
      </c>
      <c r="O1115">
        <v>4.625</v>
      </c>
      <c r="P1115">
        <v>1.5149999999999997</v>
      </c>
      <c r="Q1115">
        <v>1112</v>
      </c>
      <c r="R1115">
        <v>24</v>
      </c>
      <c r="S1115" t="s">
        <v>24</v>
      </c>
      <c r="T1115" t="s">
        <v>1272</v>
      </c>
      <c r="U1115">
        <v>5000</v>
      </c>
      <c r="V1115">
        <v>1000</v>
      </c>
    </row>
    <row r="1116" spans="1:22" x14ac:dyDescent="0.3">
      <c r="A1116" t="s">
        <v>1275</v>
      </c>
      <c r="B1116" t="s">
        <v>272</v>
      </c>
      <c r="C1116">
        <v>5.09</v>
      </c>
      <c r="D1116">
        <v>13.66</v>
      </c>
      <c r="E1116">
        <v>11.46</v>
      </c>
      <c r="F1116">
        <v>2.4500000000000002</v>
      </c>
      <c r="G1116">
        <v>63.222341568206232</v>
      </c>
      <c r="H1116">
        <v>43.119423472889508</v>
      </c>
      <c r="I1116">
        <v>57.583274273564847</v>
      </c>
      <c r="J1116">
        <v>54.371932492290526</v>
      </c>
      <c r="K1116">
        <v>10.727969348658984</v>
      </c>
      <c r="L1116">
        <v>10.369260467721436</v>
      </c>
      <c r="M1116">
        <v>82.039914032991049</v>
      </c>
      <c r="N1116">
        <v>50.377937091557769</v>
      </c>
      <c r="O1116">
        <v>10.044583333333334</v>
      </c>
      <c r="P1116">
        <v>1.4154166666666672</v>
      </c>
      <c r="Q1116">
        <v>1115</v>
      </c>
      <c r="R1116">
        <v>33</v>
      </c>
      <c r="S1116" t="s">
        <v>24</v>
      </c>
      <c r="T1116" t="s">
        <v>273</v>
      </c>
      <c r="U1116">
        <v>5000</v>
      </c>
      <c r="V1116">
        <v>1000</v>
      </c>
    </row>
    <row r="1117" spans="1:22" x14ac:dyDescent="0.3">
      <c r="A1117" t="s">
        <v>1276</v>
      </c>
      <c r="B1117" t="s">
        <v>442</v>
      </c>
      <c r="C1117">
        <v>1.97</v>
      </c>
      <c r="D1117">
        <v>9.0399999999999991</v>
      </c>
      <c r="E1117">
        <v>6.31</v>
      </c>
      <c r="F1117">
        <v>1.74</v>
      </c>
      <c r="G1117">
        <v>56.51987110633727</v>
      </c>
      <c r="H1117">
        <v>35.192175703500347</v>
      </c>
      <c r="I1117">
        <v>39.333805811481213</v>
      </c>
      <c r="J1117">
        <v>41.528529838058162</v>
      </c>
      <c r="K1117">
        <v>37.931034482758605</v>
      </c>
      <c r="L1117">
        <v>11.309174236481493</v>
      </c>
      <c r="M1117">
        <v>80.411935630765086</v>
      </c>
      <c r="N1117">
        <v>50.350007447410007</v>
      </c>
      <c r="O1117">
        <v>8.6269999999999989</v>
      </c>
      <c r="P1117">
        <v>-2.3169999999999993</v>
      </c>
      <c r="Q1117">
        <v>1116</v>
      </c>
      <c r="R1117">
        <v>3</v>
      </c>
      <c r="S1117" t="s">
        <v>24</v>
      </c>
      <c r="T1117" t="s">
        <v>1123</v>
      </c>
      <c r="U1117">
        <v>1000</v>
      </c>
      <c r="V1117">
        <v>1000</v>
      </c>
    </row>
    <row r="1118" spans="1:22" x14ac:dyDescent="0.3">
      <c r="A1118" t="s">
        <v>1277</v>
      </c>
      <c r="B1118" t="s">
        <v>126</v>
      </c>
      <c r="C1118">
        <v>7.26</v>
      </c>
      <c r="D1118">
        <v>16.97</v>
      </c>
      <c r="E1118">
        <v>10.8</v>
      </c>
      <c r="F1118">
        <v>2.56</v>
      </c>
      <c r="G1118">
        <v>67.883995703544571</v>
      </c>
      <c r="H1118">
        <v>48.798901853122857</v>
      </c>
      <c r="I1118">
        <v>55.244507441530821</v>
      </c>
      <c r="J1118">
        <v>55.838723417411181</v>
      </c>
      <c r="K1118">
        <v>6.5134099616858121</v>
      </c>
      <c r="L1118">
        <v>9.7086156085398709</v>
      </c>
      <c r="M1118">
        <v>83.184184494852701</v>
      </c>
      <c r="N1118">
        <v>50.343760322840218</v>
      </c>
      <c r="O1118">
        <v>11.362272727272726</v>
      </c>
      <c r="P1118">
        <v>-0.5622727272727257</v>
      </c>
      <c r="Q1118">
        <v>1117</v>
      </c>
      <c r="R1118">
        <v>42</v>
      </c>
      <c r="S1118" t="s">
        <v>24</v>
      </c>
      <c r="T1118" t="s">
        <v>127</v>
      </c>
      <c r="U1118">
        <v>5000</v>
      </c>
      <c r="V1118">
        <v>1000</v>
      </c>
    </row>
    <row r="1119" spans="1:22" x14ac:dyDescent="0.3">
      <c r="A1119" t="s">
        <v>1278</v>
      </c>
      <c r="B1119" t="s">
        <v>126</v>
      </c>
      <c r="C1119">
        <v>7.25</v>
      </c>
      <c r="D1119">
        <v>16.96</v>
      </c>
      <c r="E1119">
        <v>10.79</v>
      </c>
      <c r="F1119">
        <v>2.56</v>
      </c>
      <c r="G1119">
        <v>67.862513426423192</v>
      </c>
      <c r="H1119">
        <v>48.781743308167478</v>
      </c>
      <c r="I1119">
        <v>55.209071580439392</v>
      </c>
      <c r="J1119">
        <v>55.811561467954576</v>
      </c>
      <c r="K1119">
        <v>6.5134099616858121</v>
      </c>
      <c r="L1119">
        <v>9.7082089626508008</v>
      </c>
      <c r="M1119">
        <v>83.184888826193273</v>
      </c>
      <c r="N1119">
        <v>50.330355430947058</v>
      </c>
      <c r="O1119">
        <v>11.362272727272726</v>
      </c>
      <c r="P1119">
        <v>-0.57227272727272727</v>
      </c>
      <c r="Q1119">
        <v>1118</v>
      </c>
      <c r="R1119">
        <v>43</v>
      </c>
      <c r="S1119" t="s">
        <v>24</v>
      </c>
      <c r="T1119" t="s">
        <v>127</v>
      </c>
      <c r="U1119">
        <v>5000</v>
      </c>
      <c r="V1119">
        <v>1000</v>
      </c>
    </row>
    <row r="1120" spans="1:22" x14ac:dyDescent="0.3">
      <c r="A1120" t="s">
        <v>1279</v>
      </c>
      <c r="B1120" t="s">
        <v>424</v>
      </c>
      <c r="C1120">
        <v>5.18</v>
      </c>
      <c r="D1120">
        <v>9.61</v>
      </c>
      <c r="E1120">
        <v>7.63</v>
      </c>
      <c r="F1120">
        <v>1.83</v>
      </c>
      <c r="G1120">
        <v>63.415682062298593</v>
      </c>
      <c r="H1120">
        <v>36.170212765957451</v>
      </c>
      <c r="I1120">
        <v>44.011339475549256</v>
      </c>
      <c r="J1120">
        <v>45.539869980021578</v>
      </c>
      <c r="K1120">
        <v>34.482758620689658</v>
      </c>
      <c r="L1120">
        <v>14.025734540941018</v>
      </c>
      <c r="M1120">
        <v>75.706715161616415</v>
      </c>
      <c r="N1120">
        <v>50.317303435587306</v>
      </c>
      <c r="O1120">
        <v>7.9378947368421047</v>
      </c>
      <c r="P1120">
        <v>-0.30789473684210478</v>
      </c>
      <c r="Q1120">
        <v>1119</v>
      </c>
      <c r="R1120">
        <v>11</v>
      </c>
      <c r="S1120" t="s">
        <v>24</v>
      </c>
      <c r="T1120" t="s">
        <v>112</v>
      </c>
      <c r="U1120">
        <v>1000</v>
      </c>
      <c r="V1120">
        <v>1000</v>
      </c>
    </row>
    <row r="1121" spans="1:22" x14ac:dyDescent="0.3">
      <c r="A1121" t="s">
        <v>1280</v>
      </c>
      <c r="B1121" t="s">
        <v>229</v>
      </c>
      <c r="C1121">
        <v>5.55</v>
      </c>
      <c r="D1121">
        <v>4.1399999999999997</v>
      </c>
      <c r="E1121">
        <v>4.91</v>
      </c>
      <c r="F1121">
        <v>1.18</v>
      </c>
      <c r="G1121">
        <v>64.21052631578948</v>
      </c>
      <c r="H1121">
        <v>26.784488675360329</v>
      </c>
      <c r="I1121">
        <v>34.37278525868178</v>
      </c>
      <c r="J1121">
        <v>38.063844495106892</v>
      </c>
      <c r="K1121">
        <v>59.38697318007663</v>
      </c>
      <c r="L1121">
        <v>19.784595564437996</v>
      </c>
      <c r="M1121">
        <v>65.732075275191534</v>
      </c>
      <c r="N1121">
        <v>50.311684361370489</v>
      </c>
      <c r="O1121">
        <v>5.1221052631578941</v>
      </c>
      <c r="P1121">
        <v>-0.21210526315789391</v>
      </c>
      <c r="Q1121">
        <v>1120</v>
      </c>
      <c r="R1121">
        <v>64</v>
      </c>
      <c r="S1121" t="s">
        <v>24</v>
      </c>
      <c r="T1121" t="s">
        <v>429</v>
      </c>
      <c r="U1121">
        <v>5000</v>
      </c>
      <c r="V1121">
        <v>1000</v>
      </c>
    </row>
    <row r="1122" spans="1:22" x14ac:dyDescent="0.3">
      <c r="A1122" t="s">
        <v>1281</v>
      </c>
      <c r="B1122" t="s">
        <v>272</v>
      </c>
      <c r="C1122">
        <v>-2.83</v>
      </c>
      <c r="D1122">
        <v>11.97</v>
      </c>
      <c r="E1122">
        <v>9.7799999999999994</v>
      </c>
      <c r="F1122">
        <v>2.29</v>
      </c>
      <c r="G1122">
        <v>46.208378088077332</v>
      </c>
      <c r="H1122">
        <v>40.219629375428966</v>
      </c>
      <c r="I1122">
        <v>51.630049610205518</v>
      </c>
      <c r="J1122">
        <v>47.122589235346915</v>
      </c>
      <c r="K1122">
        <v>16.858237547892706</v>
      </c>
      <c r="L1122">
        <v>5.7075581931812343</v>
      </c>
      <c r="M1122">
        <v>90.114219222254079</v>
      </c>
      <c r="N1122">
        <v>50.304408810210148</v>
      </c>
      <c r="O1122">
        <v>10.044583333333334</v>
      </c>
      <c r="P1122">
        <v>-0.26458333333333428</v>
      </c>
      <c r="Q1122">
        <v>1121</v>
      </c>
      <c r="R1122">
        <v>34</v>
      </c>
      <c r="S1122" t="s">
        <v>24</v>
      </c>
      <c r="T1122" t="s">
        <v>273</v>
      </c>
      <c r="U1122">
        <v>1000</v>
      </c>
      <c r="V1122">
        <v>1000</v>
      </c>
    </row>
    <row r="1123" spans="1:22" x14ac:dyDescent="0.3">
      <c r="A1123" t="s">
        <v>1282</v>
      </c>
      <c r="B1123" t="s">
        <v>170</v>
      </c>
      <c r="C1123">
        <v>-0.12</v>
      </c>
      <c r="D1123">
        <v>0.37</v>
      </c>
      <c r="E1123">
        <v>6.13</v>
      </c>
      <c r="F1123">
        <v>1.24</v>
      </c>
      <c r="G1123">
        <v>52.030075187969928</v>
      </c>
      <c r="H1123">
        <v>20.315717227179139</v>
      </c>
      <c r="I1123">
        <v>38.695960311835577</v>
      </c>
      <c r="J1123">
        <v>35.848710361665518</v>
      </c>
      <c r="K1123">
        <v>57.088122605363978</v>
      </c>
      <c r="L1123">
        <v>15.923946622650755</v>
      </c>
      <c r="M1123">
        <v>72.418915392554055</v>
      </c>
      <c r="N1123">
        <v>50.301114680312267</v>
      </c>
      <c r="O1123">
        <v>6.9120588235294118</v>
      </c>
      <c r="P1123">
        <v>-0.78205882352941192</v>
      </c>
      <c r="Q1123">
        <v>1122</v>
      </c>
      <c r="R1123">
        <v>13</v>
      </c>
      <c r="S1123" t="s">
        <v>24</v>
      </c>
      <c r="T1123" t="s">
        <v>768</v>
      </c>
      <c r="U1123">
        <v>1000</v>
      </c>
      <c r="V1123">
        <v>1000</v>
      </c>
    </row>
    <row r="1124" spans="1:22" x14ac:dyDescent="0.3">
      <c r="A1124" t="s">
        <v>1283</v>
      </c>
      <c r="B1124" t="s">
        <v>445</v>
      </c>
      <c r="C1124">
        <v>2.86</v>
      </c>
      <c r="D1124">
        <v>7.66</v>
      </c>
      <c r="E1124">
        <v>8.14</v>
      </c>
      <c r="F1124">
        <v>1.83</v>
      </c>
      <c r="G1124">
        <v>58.431793770139627</v>
      </c>
      <c r="H1124">
        <v>32.824296499656839</v>
      </c>
      <c r="I1124">
        <v>45.818568391211905</v>
      </c>
      <c r="J1124">
        <v>44.442931899530933</v>
      </c>
      <c r="K1124">
        <v>34.482758620689658</v>
      </c>
      <c r="L1124">
        <v>12.804221132820926</v>
      </c>
      <c r="M1124">
        <v>77.822438446607038</v>
      </c>
      <c r="N1124">
        <v>50.297765216589639</v>
      </c>
      <c r="O1124">
        <v>5.7759259259259252</v>
      </c>
      <c r="P1124">
        <v>2.3640740740740753</v>
      </c>
      <c r="Q1124">
        <v>1123</v>
      </c>
      <c r="R1124">
        <v>12</v>
      </c>
      <c r="S1124" t="s">
        <v>24</v>
      </c>
      <c r="T1124" t="s">
        <v>612</v>
      </c>
      <c r="U1124">
        <v>5000</v>
      </c>
      <c r="V1124">
        <v>1000</v>
      </c>
    </row>
    <row r="1125" spans="1:22" x14ac:dyDescent="0.3">
      <c r="A1125" t="s">
        <v>1284</v>
      </c>
      <c r="B1125" t="s">
        <v>229</v>
      </c>
      <c r="C1125">
        <v>5.56</v>
      </c>
      <c r="D1125">
        <v>4.1399999999999997</v>
      </c>
      <c r="E1125">
        <v>4.8899999999999997</v>
      </c>
      <c r="F1125">
        <v>1.18</v>
      </c>
      <c r="G1125">
        <v>64.232008592910844</v>
      </c>
      <c r="H1125">
        <v>26.784488675360329</v>
      </c>
      <c r="I1125">
        <v>34.301913536498937</v>
      </c>
      <c r="J1125">
        <v>38.032705089439737</v>
      </c>
      <c r="K1125">
        <v>59.38697318007663</v>
      </c>
      <c r="L1125">
        <v>19.810094289713597</v>
      </c>
      <c r="M1125">
        <v>65.687910187485954</v>
      </c>
      <c r="N1125">
        <v>50.285073386610513</v>
      </c>
      <c r="O1125">
        <v>5.1221052631578941</v>
      </c>
      <c r="P1125">
        <v>-0.23210526315789437</v>
      </c>
      <c r="Q1125">
        <v>1124</v>
      </c>
      <c r="R1125">
        <v>65</v>
      </c>
      <c r="S1125" t="s">
        <v>24</v>
      </c>
      <c r="T1125" t="s">
        <v>429</v>
      </c>
      <c r="U1125">
        <v>5000</v>
      </c>
      <c r="V1125">
        <v>1000</v>
      </c>
    </row>
    <row r="1126" spans="1:22" x14ac:dyDescent="0.3">
      <c r="A1126" t="s">
        <v>1285</v>
      </c>
      <c r="B1126" t="s">
        <v>229</v>
      </c>
      <c r="C1126">
        <v>5.44</v>
      </c>
      <c r="D1126">
        <v>4.51</v>
      </c>
      <c r="E1126">
        <v>5.01</v>
      </c>
      <c r="F1126">
        <v>1.22</v>
      </c>
      <c r="G1126">
        <v>63.974221267454347</v>
      </c>
      <c r="H1126">
        <v>27.41935483870968</v>
      </c>
      <c r="I1126">
        <v>34.727143869596027</v>
      </c>
      <c r="J1126">
        <v>38.384222639901793</v>
      </c>
      <c r="K1126">
        <v>57.854406130268202</v>
      </c>
      <c r="L1126">
        <v>19.343619001536492</v>
      </c>
      <c r="M1126">
        <v>66.495869087084031</v>
      </c>
      <c r="N1126">
        <v>50.279680124288959</v>
      </c>
      <c r="O1126">
        <v>5.1221052631578941</v>
      </c>
      <c r="P1126">
        <v>-0.11210526315789426</v>
      </c>
      <c r="Q1126">
        <v>1125</v>
      </c>
      <c r="R1126">
        <v>66</v>
      </c>
      <c r="S1126" t="s">
        <v>24</v>
      </c>
      <c r="T1126" t="s">
        <v>230</v>
      </c>
      <c r="U1126">
        <v>1000</v>
      </c>
      <c r="V1126">
        <v>1000</v>
      </c>
    </row>
    <row r="1127" spans="1:22" x14ac:dyDescent="0.3">
      <c r="A1127" t="s">
        <v>1286</v>
      </c>
      <c r="B1127" t="s">
        <v>442</v>
      </c>
      <c r="C1127">
        <v>4.5599999999999996</v>
      </c>
      <c r="D1127">
        <v>16.670000000000002</v>
      </c>
      <c r="E1127">
        <v>9.7799999999999994</v>
      </c>
      <c r="F1127">
        <v>2.52</v>
      </c>
      <c r="G1127">
        <v>62.083780880773354</v>
      </c>
      <c r="H1127">
        <v>48.284145504461229</v>
      </c>
      <c r="I1127">
        <v>51.630049610205518</v>
      </c>
      <c r="J1127">
        <v>52.717024632595795</v>
      </c>
      <c r="K1127">
        <v>8.045977011494255</v>
      </c>
      <c r="L1127">
        <v>7.1984432145806059</v>
      </c>
      <c r="M1127">
        <v>87.531930616946951</v>
      </c>
      <c r="N1127">
        <v>50.2529892234082</v>
      </c>
      <c r="O1127">
        <v>8.6269999999999989</v>
      </c>
      <c r="P1127">
        <v>1.1530000000000005</v>
      </c>
      <c r="Q1127">
        <v>1126</v>
      </c>
      <c r="R1127">
        <v>4</v>
      </c>
      <c r="S1127" t="s">
        <v>24</v>
      </c>
      <c r="T1127" t="s">
        <v>78</v>
      </c>
      <c r="U1127">
        <v>1000</v>
      </c>
      <c r="V1127">
        <v>1000</v>
      </c>
    </row>
    <row r="1128" spans="1:22" x14ac:dyDescent="0.3">
      <c r="A1128" t="s">
        <v>1287</v>
      </c>
      <c r="B1128" t="s">
        <v>148</v>
      </c>
      <c r="C1128">
        <v>6.73</v>
      </c>
      <c r="D1128">
        <v>15.2</v>
      </c>
      <c r="E1128">
        <v>12.29</v>
      </c>
      <c r="F1128">
        <v>2.6</v>
      </c>
      <c r="G1128">
        <v>66.745435016111713</v>
      </c>
      <c r="H1128">
        <v>45.761839396019219</v>
      </c>
      <c r="I1128">
        <v>60.524450744153071</v>
      </c>
      <c r="J1128">
        <v>57.339864194104649</v>
      </c>
      <c r="K1128">
        <v>4.9808429118773923</v>
      </c>
      <c r="L1128">
        <v>10.777651446980244</v>
      </c>
      <c r="M1128">
        <v>81.332560107561989</v>
      </c>
      <c r="N1128">
        <v>50.248282851912165</v>
      </c>
      <c r="O1128">
        <v>10.461</v>
      </c>
      <c r="P1128">
        <v>1.8289999999999988</v>
      </c>
      <c r="Q1128">
        <v>1127</v>
      </c>
      <c r="R1128">
        <v>33</v>
      </c>
      <c r="S1128" t="s">
        <v>24</v>
      </c>
      <c r="T1128" t="s">
        <v>107</v>
      </c>
      <c r="U1128">
        <v>5000</v>
      </c>
      <c r="V1128">
        <v>1000</v>
      </c>
    </row>
    <row r="1129" spans="1:22" x14ac:dyDescent="0.3">
      <c r="A1129" t="s">
        <v>1288</v>
      </c>
      <c r="B1129" t="s">
        <v>921</v>
      </c>
      <c r="C1129">
        <v>5.54</v>
      </c>
      <c r="D1129">
        <v>2.86</v>
      </c>
      <c r="E1129">
        <v>3.73</v>
      </c>
      <c r="F1129">
        <v>0.97</v>
      </c>
      <c r="G1129">
        <v>64.189044038668101</v>
      </c>
      <c r="H1129">
        <v>24.588194921070698</v>
      </c>
      <c r="I1129">
        <v>30.191353649893692</v>
      </c>
      <c r="J1129">
        <v>35.309944109001677</v>
      </c>
      <c r="K1129">
        <v>67.432950191570868</v>
      </c>
      <c r="L1129">
        <v>21.429985185661639</v>
      </c>
      <c r="M1129">
        <v>62.88217685298568</v>
      </c>
      <c r="N1129">
        <v>50.233753815639979</v>
      </c>
      <c r="O1129">
        <v>3.5597297297297299</v>
      </c>
      <c r="P1129">
        <v>0.17027027027027009</v>
      </c>
      <c r="Q1129">
        <v>1128</v>
      </c>
      <c r="R1129">
        <v>8</v>
      </c>
      <c r="S1129" t="s">
        <v>24</v>
      </c>
      <c r="T1129" t="s">
        <v>922</v>
      </c>
      <c r="U1129">
        <v>5000</v>
      </c>
      <c r="V1129">
        <v>1000</v>
      </c>
    </row>
    <row r="1130" spans="1:22" x14ac:dyDescent="0.3">
      <c r="A1130" t="s">
        <v>1289</v>
      </c>
      <c r="B1130" t="s">
        <v>921</v>
      </c>
      <c r="C1130">
        <v>5.54</v>
      </c>
      <c r="D1130">
        <v>2.86</v>
      </c>
      <c r="E1130">
        <v>3.73</v>
      </c>
      <c r="F1130">
        <v>0.97</v>
      </c>
      <c r="G1130">
        <v>64.189044038668101</v>
      </c>
      <c r="H1130">
        <v>24.588194921070698</v>
      </c>
      <c r="I1130">
        <v>30.191353649893692</v>
      </c>
      <c r="J1130">
        <v>35.309944109001677</v>
      </c>
      <c r="K1130">
        <v>67.432950191570868</v>
      </c>
      <c r="L1130">
        <v>21.429985185661639</v>
      </c>
      <c r="M1130">
        <v>62.88217685298568</v>
      </c>
      <c r="N1130">
        <v>50.233753815639979</v>
      </c>
      <c r="O1130">
        <v>3.5597297297297299</v>
      </c>
      <c r="P1130">
        <v>0.17027027027027009</v>
      </c>
      <c r="Q1130">
        <v>1128</v>
      </c>
      <c r="R1130">
        <v>8</v>
      </c>
      <c r="S1130" t="s">
        <v>24</v>
      </c>
      <c r="T1130" t="s">
        <v>922</v>
      </c>
      <c r="U1130">
        <v>5000</v>
      </c>
      <c r="V1130">
        <v>1000</v>
      </c>
    </row>
    <row r="1131" spans="1:22" x14ac:dyDescent="0.3">
      <c r="A1131" t="s">
        <v>1290</v>
      </c>
      <c r="B1131" t="s">
        <v>921</v>
      </c>
      <c r="C1131">
        <v>5.54</v>
      </c>
      <c r="D1131">
        <v>2.86</v>
      </c>
      <c r="E1131">
        <v>3.73</v>
      </c>
      <c r="F1131">
        <v>0.97</v>
      </c>
      <c r="G1131">
        <v>64.189044038668101</v>
      </c>
      <c r="H1131">
        <v>24.588194921070698</v>
      </c>
      <c r="I1131">
        <v>30.191353649893692</v>
      </c>
      <c r="J1131">
        <v>35.309944109001677</v>
      </c>
      <c r="K1131">
        <v>67.432950191570868</v>
      </c>
      <c r="L1131">
        <v>21.429985185661639</v>
      </c>
      <c r="M1131">
        <v>62.88217685298568</v>
      </c>
      <c r="N1131">
        <v>50.233753815639979</v>
      </c>
      <c r="O1131">
        <v>3.5597297297297299</v>
      </c>
      <c r="P1131">
        <v>0.17027027027027009</v>
      </c>
      <c r="Q1131">
        <v>1128</v>
      </c>
      <c r="R1131">
        <v>8</v>
      </c>
      <c r="S1131" t="s">
        <v>24</v>
      </c>
      <c r="T1131" t="s">
        <v>922</v>
      </c>
      <c r="U1131">
        <v>5000</v>
      </c>
      <c r="V1131">
        <v>1000</v>
      </c>
    </row>
    <row r="1132" spans="1:22" x14ac:dyDescent="0.3">
      <c r="A1132" t="s">
        <v>1291</v>
      </c>
      <c r="B1132" t="s">
        <v>921</v>
      </c>
      <c r="C1132">
        <v>5.53</v>
      </c>
      <c r="D1132">
        <v>2.85</v>
      </c>
      <c r="E1132">
        <v>3.73</v>
      </c>
      <c r="F1132">
        <v>0.97</v>
      </c>
      <c r="G1132">
        <v>64.167561761546722</v>
      </c>
      <c r="H1132">
        <v>24.571036376115309</v>
      </c>
      <c r="I1132">
        <v>30.191353649893692</v>
      </c>
      <c r="J1132">
        <v>35.300500090090779</v>
      </c>
      <c r="K1132">
        <v>67.432950191570868</v>
      </c>
      <c r="L1132">
        <v>21.42372324668537</v>
      </c>
      <c r="M1132">
        <v>62.893022849446474</v>
      </c>
      <c r="N1132">
        <v>50.23174330529973</v>
      </c>
      <c r="O1132">
        <v>3.5597297297297299</v>
      </c>
      <c r="P1132">
        <v>0.17027027027027009</v>
      </c>
      <c r="Q1132">
        <v>1131</v>
      </c>
      <c r="R1132">
        <v>11</v>
      </c>
      <c r="S1132" t="s">
        <v>24</v>
      </c>
      <c r="T1132" t="s">
        <v>922</v>
      </c>
      <c r="U1132">
        <v>5000</v>
      </c>
      <c r="V1132">
        <v>1000</v>
      </c>
    </row>
    <row r="1133" spans="1:22" x14ac:dyDescent="0.3">
      <c r="A1133" t="s">
        <v>1292</v>
      </c>
      <c r="B1133" t="s">
        <v>202</v>
      </c>
      <c r="C1133">
        <v>1.54</v>
      </c>
      <c r="D1133">
        <v>11.86</v>
      </c>
      <c r="E1133">
        <v>6.78</v>
      </c>
      <c r="F1133">
        <v>1.98</v>
      </c>
      <c r="G1133">
        <v>55.596133190118145</v>
      </c>
      <c r="H1133">
        <v>40.030885380919699</v>
      </c>
      <c r="I1133">
        <v>40.999291282778174</v>
      </c>
      <c r="J1133">
        <v>43.628137893688624</v>
      </c>
      <c r="K1133">
        <v>28.735632183908045</v>
      </c>
      <c r="L1133">
        <v>8.7204982944438427</v>
      </c>
      <c r="M1133">
        <v>84.895653886705531</v>
      </c>
      <c r="N1133">
        <v>50.221890464497704</v>
      </c>
      <c r="O1133">
        <v>10.023387096774194</v>
      </c>
      <c r="P1133">
        <v>-3.2433870967741933</v>
      </c>
      <c r="Q1133">
        <v>1132</v>
      </c>
      <c r="R1133">
        <v>46</v>
      </c>
      <c r="S1133" t="s">
        <v>24</v>
      </c>
      <c r="T1133" t="s">
        <v>78</v>
      </c>
      <c r="U1133">
        <v>1000</v>
      </c>
      <c r="V1133">
        <v>1000</v>
      </c>
    </row>
    <row r="1134" spans="1:22" x14ac:dyDescent="0.3">
      <c r="A1134" t="s">
        <v>1293</v>
      </c>
      <c r="B1134" t="s">
        <v>155</v>
      </c>
      <c r="C1134">
        <v>4.22</v>
      </c>
      <c r="D1134">
        <v>3.09</v>
      </c>
      <c r="E1134">
        <v>4.62</v>
      </c>
      <c r="F1134">
        <v>1.1399999999999999</v>
      </c>
      <c r="G1134">
        <v>61.353383458646618</v>
      </c>
      <c r="H1134">
        <v>24.982841455044618</v>
      </c>
      <c r="I1134">
        <v>33.345145287030476</v>
      </c>
      <c r="J1134">
        <v>36.43810177175795</v>
      </c>
      <c r="K1134">
        <v>60.919540229885058</v>
      </c>
      <c r="L1134">
        <v>19.04908508954432</v>
      </c>
      <c r="M1134">
        <v>67.006016787206505</v>
      </c>
      <c r="N1134">
        <v>50.200440140151862</v>
      </c>
      <c r="O1134">
        <v>5.2086538461538465</v>
      </c>
      <c r="P1134">
        <v>-0.58865384615384642</v>
      </c>
      <c r="Q1134">
        <v>1133</v>
      </c>
      <c r="R1134">
        <v>36</v>
      </c>
      <c r="S1134" t="s">
        <v>24</v>
      </c>
      <c r="T1134" t="s">
        <v>45</v>
      </c>
      <c r="U1134">
        <v>5000</v>
      </c>
      <c r="V1134">
        <v>1000</v>
      </c>
    </row>
    <row r="1135" spans="1:22" x14ac:dyDescent="0.3">
      <c r="A1135" t="s">
        <v>1294</v>
      </c>
      <c r="B1135" t="s">
        <v>445</v>
      </c>
      <c r="C1135">
        <v>2.77</v>
      </c>
      <c r="D1135">
        <v>6.01</v>
      </c>
      <c r="E1135">
        <v>3.58</v>
      </c>
      <c r="F1135">
        <v>1.21</v>
      </c>
      <c r="G1135">
        <v>58.238453276047252</v>
      </c>
      <c r="H1135">
        <v>29.993136582017847</v>
      </c>
      <c r="I1135">
        <v>29.659815733522322</v>
      </c>
      <c r="J1135">
        <v>35.475539496575969</v>
      </c>
      <c r="K1135">
        <v>58.237547892720308</v>
      </c>
      <c r="L1135">
        <v>16.404509246551051</v>
      </c>
      <c r="M1135">
        <v>71.586556511740127</v>
      </c>
      <c r="N1135">
        <v>50.193795849403095</v>
      </c>
      <c r="O1135">
        <v>5.7759259259259252</v>
      </c>
      <c r="P1135">
        <v>-2.1959259259259252</v>
      </c>
      <c r="Q1135">
        <v>1134</v>
      </c>
      <c r="R1135">
        <v>13</v>
      </c>
      <c r="S1135" t="s">
        <v>24</v>
      </c>
      <c r="T1135" t="s">
        <v>612</v>
      </c>
      <c r="U1135">
        <v>1000</v>
      </c>
      <c r="V1135">
        <v>1000</v>
      </c>
    </row>
    <row r="1136" spans="1:22" x14ac:dyDescent="0.3">
      <c r="A1136" t="s">
        <v>1295</v>
      </c>
      <c r="B1136" t="s">
        <v>155</v>
      </c>
      <c r="C1136">
        <v>4.63</v>
      </c>
      <c r="D1136">
        <v>2.99</v>
      </c>
      <c r="E1136">
        <v>4.92</v>
      </c>
      <c r="F1136">
        <v>1.1599999999999999</v>
      </c>
      <c r="G1136">
        <v>62.234156820622985</v>
      </c>
      <c r="H1136">
        <v>24.811256005490741</v>
      </c>
      <c r="I1136">
        <v>34.408221119773209</v>
      </c>
      <c r="J1136">
        <v>37.094318725658425</v>
      </c>
      <c r="K1136">
        <v>60.153256704980841</v>
      </c>
      <c r="L1136">
        <v>19.437326387013751</v>
      </c>
      <c r="M1136">
        <v>66.333563134392989</v>
      </c>
      <c r="N1136">
        <v>50.168864322672668</v>
      </c>
      <c r="O1136">
        <v>5.2086538461538465</v>
      </c>
      <c r="P1136">
        <v>-0.28865384615384659</v>
      </c>
      <c r="Q1136">
        <v>1135</v>
      </c>
      <c r="R1136">
        <v>37</v>
      </c>
      <c r="S1136" t="s">
        <v>24</v>
      </c>
      <c r="T1136" t="s">
        <v>577</v>
      </c>
      <c r="U1136">
        <v>5000</v>
      </c>
      <c r="V1136">
        <v>1000</v>
      </c>
    </row>
    <row r="1137" spans="1:22" x14ac:dyDescent="0.3">
      <c r="A1137" t="s">
        <v>1296</v>
      </c>
      <c r="B1137" t="s">
        <v>445</v>
      </c>
      <c r="C1137">
        <v>4.71</v>
      </c>
      <c r="D1137">
        <v>8.09</v>
      </c>
      <c r="E1137">
        <v>7.37</v>
      </c>
      <c r="F1137">
        <v>1.74</v>
      </c>
      <c r="G1137">
        <v>62.406015037593974</v>
      </c>
      <c r="H1137">
        <v>33.562113932738505</v>
      </c>
      <c r="I1137">
        <v>43.090007087172218</v>
      </c>
      <c r="J1137">
        <v>44.09484073092645</v>
      </c>
      <c r="K1137">
        <v>37.931034482758605</v>
      </c>
      <c r="L1137">
        <v>14.696142022368454</v>
      </c>
      <c r="M1137">
        <v>74.545535342009799</v>
      </c>
      <c r="N1137">
        <v>50.166562821655326</v>
      </c>
      <c r="O1137">
        <v>5.7759259259259252</v>
      </c>
      <c r="P1137">
        <v>1.5940740740740749</v>
      </c>
      <c r="Q1137">
        <v>1136</v>
      </c>
      <c r="R1137">
        <v>14</v>
      </c>
      <c r="S1137" t="s">
        <v>24</v>
      </c>
      <c r="T1137" t="s">
        <v>443</v>
      </c>
      <c r="U1137">
        <v>5000</v>
      </c>
      <c r="V1137">
        <v>1000</v>
      </c>
    </row>
    <row r="1138" spans="1:22" x14ac:dyDescent="0.3">
      <c r="A1138" t="s">
        <v>1297</v>
      </c>
      <c r="B1138" t="s">
        <v>155</v>
      </c>
      <c r="C1138">
        <v>4.18</v>
      </c>
      <c r="D1138">
        <v>3.03</v>
      </c>
      <c r="E1138">
        <v>4.59</v>
      </c>
      <c r="F1138">
        <v>1.1399999999999999</v>
      </c>
      <c r="G1138">
        <v>61.26745435016111</v>
      </c>
      <c r="H1138">
        <v>24.879890185312288</v>
      </c>
      <c r="I1138">
        <v>33.238837703756197</v>
      </c>
      <c r="J1138">
        <v>36.336876777504003</v>
      </c>
      <c r="K1138">
        <v>60.919540229885058</v>
      </c>
      <c r="L1138">
        <v>19.05925051245115</v>
      </c>
      <c r="M1138">
        <v>66.988409758251436</v>
      </c>
      <c r="N1138">
        <v>50.145425885786125</v>
      </c>
      <c r="O1138">
        <v>5.2086538461538465</v>
      </c>
      <c r="P1138">
        <v>-0.61865384615384666</v>
      </c>
      <c r="Q1138">
        <v>1137</v>
      </c>
      <c r="R1138">
        <v>38</v>
      </c>
      <c r="S1138" t="s">
        <v>24</v>
      </c>
      <c r="T1138" t="s">
        <v>45</v>
      </c>
      <c r="U1138">
        <v>5000</v>
      </c>
      <c r="V1138">
        <v>1000</v>
      </c>
    </row>
    <row r="1139" spans="1:22" x14ac:dyDescent="0.3">
      <c r="A1139" t="s">
        <v>1298</v>
      </c>
      <c r="B1139" t="s">
        <v>445</v>
      </c>
      <c r="C1139">
        <v>5.52</v>
      </c>
      <c r="D1139">
        <v>9.3800000000000008</v>
      </c>
      <c r="E1139">
        <v>7.68</v>
      </c>
      <c r="F1139">
        <v>1.83</v>
      </c>
      <c r="G1139">
        <v>64.146079484425343</v>
      </c>
      <c r="H1139">
        <v>35.775566231983532</v>
      </c>
      <c r="I1139">
        <v>44.188518781006373</v>
      </c>
      <c r="J1139">
        <v>45.656145156983314</v>
      </c>
      <c r="K1139">
        <v>34.482758620689658</v>
      </c>
      <c r="L1139">
        <v>14.571479117496041</v>
      </c>
      <c r="M1139">
        <v>74.761457827067943</v>
      </c>
      <c r="N1139">
        <v>50.139126690431056</v>
      </c>
      <c r="O1139">
        <v>5.7759259259259252</v>
      </c>
      <c r="P1139">
        <v>1.9040740740740745</v>
      </c>
      <c r="Q1139">
        <v>1138</v>
      </c>
      <c r="R1139">
        <v>15</v>
      </c>
      <c r="S1139" t="s">
        <v>24</v>
      </c>
      <c r="T1139" t="s">
        <v>443</v>
      </c>
      <c r="U1139">
        <v>1000</v>
      </c>
      <c r="V1139">
        <v>1000</v>
      </c>
    </row>
    <row r="1140" spans="1:22" x14ac:dyDescent="0.3">
      <c r="A1140" t="s">
        <v>1299</v>
      </c>
      <c r="B1140" t="s">
        <v>844</v>
      </c>
      <c r="C1140">
        <v>4.45</v>
      </c>
      <c r="D1140">
        <v>3.17</v>
      </c>
      <c r="E1140">
        <v>4.0199999999999996</v>
      </c>
      <c r="F1140">
        <v>1.07</v>
      </c>
      <c r="G1140">
        <v>61.847475832438235</v>
      </c>
      <c r="H1140">
        <v>25.120109814687719</v>
      </c>
      <c r="I1140">
        <v>31.218993621545</v>
      </c>
      <c r="J1140">
        <v>35.515024921666459</v>
      </c>
      <c r="K1140">
        <v>63.601532567049816</v>
      </c>
      <c r="L1140">
        <v>19.68163154159382</v>
      </c>
      <c r="M1140">
        <v>65.910414194109336</v>
      </c>
      <c r="N1140">
        <v>50.135499151123021</v>
      </c>
      <c r="O1140">
        <v>4.4820000000000002</v>
      </c>
      <c r="P1140">
        <v>-0.46200000000000063</v>
      </c>
      <c r="Q1140">
        <v>1139</v>
      </c>
      <c r="R1140">
        <v>37</v>
      </c>
      <c r="S1140" t="s">
        <v>24</v>
      </c>
      <c r="T1140" t="s">
        <v>845</v>
      </c>
      <c r="U1140">
        <v>5000</v>
      </c>
      <c r="V1140">
        <v>1000</v>
      </c>
    </row>
    <row r="1141" spans="1:22" x14ac:dyDescent="0.3">
      <c r="A1141" t="s">
        <v>1300</v>
      </c>
      <c r="B1141" t="s">
        <v>844</v>
      </c>
      <c r="C1141">
        <v>4.45</v>
      </c>
      <c r="D1141">
        <v>3.17</v>
      </c>
      <c r="E1141">
        <v>4.0199999999999996</v>
      </c>
      <c r="F1141">
        <v>1.07</v>
      </c>
      <c r="G1141">
        <v>61.847475832438235</v>
      </c>
      <c r="H1141">
        <v>25.120109814687719</v>
      </c>
      <c r="I1141">
        <v>31.218993621545</v>
      </c>
      <c r="J1141">
        <v>35.515024921666459</v>
      </c>
      <c r="K1141">
        <v>63.601532567049816</v>
      </c>
      <c r="L1141">
        <v>19.68163154159382</v>
      </c>
      <c r="M1141">
        <v>65.910414194109336</v>
      </c>
      <c r="N1141">
        <v>50.135499151123021</v>
      </c>
      <c r="O1141">
        <v>4.4820000000000002</v>
      </c>
      <c r="P1141">
        <v>-0.46200000000000063</v>
      </c>
      <c r="Q1141">
        <v>1139</v>
      </c>
      <c r="R1141">
        <v>37</v>
      </c>
      <c r="S1141" t="s">
        <v>24</v>
      </c>
      <c r="T1141" t="s">
        <v>845</v>
      </c>
      <c r="U1141">
        <v>5000</v>
      </c>
      <c r="V1141">
        <v>1000</v>
      </c>
    </row>
    <row r="1142" spans="1:22" x14ac:dyDescent="0.3">
      <c r="A1142" t="s">
        <v>1301</v>
      </c>
      <c r="B1142" t="s">
        <v>229</v>
      </c>
      <c r="C1142">
        <v>5.44</v>
      </c>
      <c r="D1142">
        <v>4.4800000000000004</v>
      </c>
      <c r="E1142">
        <v>4.8899999999999997</v>
      </c>
      <c r="F1142">
        <v>1.22</v>
      </c>
      <c r="G1142">
        <v>63.974221267454347</v>
      </c>
      <c r="H1142">
        <v>27.367879203843522</v>
      </c>
      <c r="I1142">
        <v>34.301913536498937</v>
      </c>
      <c r="J1142">
        <v>38.156164782893399</v>
      </c>
      <c r="K1142">
        <v>57.854406130268202</v>
      </c>
      <c r="L1142">
        <v>19.4445834680897</v>
      </c>
      <c r="M1142">
        <v>66.32099350125479</v>
      </c>
      <c r="N1142">
        <v>50.121932299327455</v>
      </c>
      <c r="O1142">
        <v>5.1221052631578941</v>
      </c>
      <c r="P1142">
        <v>-0.23210526315789437</v>
      </c>
      <c r="Q1142">
        <v>1141</v>
      </c>
      <c r="R1142">
        <v>67</v>
      </c>
      <c r="S1142" t="s">
        <v>24</v>
      </c>
      <c r="T1142" t="s">
        <v>230</v>
      </c>
      <c r="U1142">
        <v>1000</v>
      </c>
      <c r="V1142">
        <v>1000</v>
      </c>
    </row>
    <row r="1143" spans="1:22" x14ac:dyDescent="0.3">
      <c r="A1143" t="s">
        <v>1302</v>
      </c>
      <c r="B1143" t="s">
        <v>229</v>
      </c>
      <c r="C1143">
        <v>5.44</v>
      </c>
      <c r="D1143">
        <v>4.5</v>
      </c>
      <c r="E1143">
        <v>4.88</v>
      </c>
      <c r="F1143">
        <v>1.22</v>
      </c>
      <c r="G1143">
        <v>63.974221267454347</v>
      </c>
      <c r="H1143">
        <v>27.402196293754294</v>
      </c>
      <c r="I1143">
        <v>34.266477675407508</v>
      </c>
      <c r="J1143">
        <v>38.148741979320917</v>
      </c>
      <c r="K1143">
        <v>57.854406130268202</v>
      </c>
      <c r="L1143">
        <v>19.438713087094403</v>
      </c>
      <c r="M1143">
        <v>66.331161299398431</v>
      </c>
      <c r="N1143">
        <v>50.120762847077117</v>
      </c>
      <c r="O1143">
        <v>5.1221052631578941</v>
      </c>
      <c r="P1143">
        <v>-0.24210526315789416</v>
      </c>
      <c r="Q1143">
        <v>1142</v>
      </c>
      <c r="R1143">
        <v>68</v>
      </c>
      <c r="S1143" t="s">
        <v>24</v>
      </c>
      <c r="T1143" t="s">
        <v>429</v>
      </c>
      <c r="U1143">
        <v>1000</v>
      </c>
      <c r="V1143">
        <v>1000</v>
      </c>
    </row>
    <row r="1144" spans="1:22" x14ac:dyDescent="0.3">
      <c r="A1144" t="s">
        <v>1303</v>
      </c>
      <c r="B1144" t="s">
        <v>155</v>
      </c>
      <c r="C1144">
        <v>4.1900000000000004</v>
      </c>
      <c r="D1144">
        <v>3.05</v>
      </c>
      <c r="E1144">
        <v>4.5599999999999996</v>
      </c>
      <c r="F1144">
        <v>1.1399999999999999</v>
      </c>
      <c r="G1144">
        <v>61.288936627282489</v>
      </c>
      <c r="H1144">
        <v>24.914207275223067</v>
      </c>
      <c r="I1144">
        <v>33.132530120481924</v>
      </c>
      <c r="J1144">
        <v>36.298314568264374</v>
      </c>
      <c r="K1144">
        <v>60.919540229885058</v>
      </c>
      <c r="L1144">
        <v>19.076359685924871</v>
      </c>
      <c r="M1144">
        <v>66.958775800519447</v>
      </c>
      <c r="N1144">
        <v>50.118736291733313</v>
      </c>
      <c r="O1144">
        <v>5.2086538461538465</v>
      </c>
      <c r="P1144">
        <v>-0.64865384615384691</v>
      </c>
      <c r="Q1144">
        <v>1143</v>
      </c>
      <c r="R1144">
        <v>39</v>
      </c>
      <c r="S1144" t="s">
        <v>24</v>
      </c>
      <c r="T1144" t="s">
        <v>45</v>
      </c>
      <c r="U1144">
        <v>5000</v>
      </c>
      <c r="V1144">
        <v>1000</v>
      </c>
    </row>
    <row r="1145" spans="1:22" x14ac:dyDescent="0.3">
      <c r="A1145" t="s">
        <v>1304</v>
      </c>
      <c r="B1145" t="s">
        <v>185</v>
      </c>
      <c r="C1145">
        <v>9.48</v>
      </c>
      <c r="D1145">
        <v>20.41</v>
      </c>
      <c r="E1145">
        <v>9.73</v>
      </c>
      <c r="F1145">
        <v>2.5499999999999998</v>
      </c>
      <c r="G1145">
        <v>72.65306122448979</v>
      </c>
      <c r="H1145">
        <v>54.701441317776258</v>
      </c>
      <c r="I1145">
        <v>51.452870304748409</v>
      </c>
      <c r="J1145">
        <v>56.667479792605036</v>
      </c>
      <c r="K1145">
        <v>6.8965517241379448</v>
      </c>
      <c r="L1145">
        <v>11.41827457729701</v>
      </c>
      <c r="M1145">
        <v>80.222968297349524</v>
      </c>
      <c r="N1145">
        <v>50.113619901674383</v>
      </c>
      <c r="O1145">
        <v>9.4014285714285712</v>
      </c>
      <c r="P1145">
        <v>0.32857142857142918</v>
      </c>
      <c r="Q1145">
        <v>1144</v>
      </c>
      <c r="R1145">
        <v>20</v>
      </c>
      <c r="S1145" t="s">
        <v>24</v>
      </c>
      <c r="T1145" t="s">
        <v>666</v>
      </c>
      <c r="U1145">
        <v>5000</v>
      </c>
      <c r="V1145">
        <v>1000</v>
      </c>
    </row>
    <row r="1146" spans="1:22" x14ac:dyDescent="0.3">
      <c r="A1146" t="s">
        <v>1305</v>
      </c>
      <c r="B1146" t="s">
        <v>86</v>
      </c>
      <c r="C1146">
        <v>2.16</v>
      </c>
      <c r="D1146">
        <v>16.89</v>
      </c>
      <c r="E1146">
        <v>9.07</v>
      </c>
      <c r="F1146">
        <v>2.54</v>
      </c>
      <c r="G1146">
        <v>56.928034371643385</v>
      </c>
      <c r="H1146">
        <v>48.661633493479762</v>
      </c>
      <c r="I1146">
        <v>49.114103472714383</v>
      </c>
      <c r="J1146">
        <v>50.541148658729796</v>
      </c>
      <c r="K1146">
        <v>7.2796934865900331</v>
      </c>
      <c r="L1146">
        <v>4.6475016344600011</v>
      </c>
      <c r="M1146">
        <v>91.950291040855873</v>
      </c>
      <c r="N1146">
        <v>50.078070461226375</v>
      </c>
      <c r="O1146">
        <v>8.6526315789473696</v>
      </c>
      <c r="P1146">
        <v>0.41736842105263072</v>
      </c>
      <c r="Q1146">
        <v>1145</v>
      </c>
      <c r="R1146">
        <v>8</v>
      </c>
      <c r="S1146" t="s">
        <v>24</v>
      </c>
      <c r="T1146" t="s">
        <v>78</v>
      </c>
      <c r="U1146">
        <v>5000</v>
      </c>
      <c r="V1146">
        <v>1000</v>
      </c>
    </row>
    <row r="1147" spans="1:22" x14ac:dyDescent="0.3">
      <c r="A1147" t="s">
        <v>1306</v>
      </c>
      <c r="B1147" t="s">
        <v>921</v>
      </c>
      <c r="C1147">
        <v>5.55</v>
      </c>
      <c r="D1147">
        <v>2.86</v>
      </c>
      <c r="E1147">
        <v>3.6</v>
      </c>
      <c r="F1147">
        <v>0.97</v>
      </c>
      <c r="G1147">
        <v>64.21052631578948</v>
      </c>
      <c r="H1147">
        <v>24.588194921070698</v>
      </c>
      <c r="I1147">
        <v>29.730687455705173</v>
      </c>
      <c r="J1147">
        <v>35.083907467331699</v>
      </c>
      <c r="K1147">
        <v>67.432950191570868</v>
      </c>
      <c r="L1147">
        <v>21.545431311684421</v>
      </c>
      <c r="M1147">
        <v>62.682218297177222</v>
      </c>
      <c r="N1147">
        <v>50.07074585585287</v>
      </c>
      <c r="O1147">
        <v>3.5597297297297299</v>
      </c>
      <c r="P1147">
        <v>4.0270270270270192E-2</v>
      </c>
      <c r="Q1147">
        <v>1146</v>
      </c>
      <c r="R1147">
        <v>12</v>
      </c>
      <c r="S1147" t="s">
        <v>24</v>
      </c>
      <c r="T1147" t="s">
        <v>922</v>
      </c>
      <c r="U1147">
        <v>5000</v>
      </c>
      <c r="V1147">
        <v>1000</v>
      </c>
    </row>
    <row r="1148" spans="1:22" x14ac:dyDescent="0.3">
      <c r="A1148" t="s">
        <v>1307</v>
      </c>
      <c r="B1148" t="s">
        <v>155</v>
      </c>
      <c r="C1148">
        <v>4.55</v>
      </c>
      <c r="D1148">
        <v>3.32</v>
      </c>
      <c r="E1148">
        <v>4.55</v>
      </c>
      <c r="F1148">
        <v>1.1499999999999999</v>
      </c>
      <c r="G1148">
        <v>62.062298603651975</v>
      </c>
      <c r="H1148">
        <v>25.377487989018533</v>
      </c>
      <c r="I1148">
        <v>33.097094259390502</v>
      </c>
      <c r="J1148">
        <v>36.57425324713121</v>
      </c>
      <c r="K1148">
        <v>60.536398467432953</v>
      </c>
      <c r="L1148">
        <v>19.340590793742198</v>
      </c>
      <c r="M1148">
        <v>66.501114096839629</v>
      </c>
      <c r="N1148">
        <v>50.046504764633752</v>
      </c>
      <c r="O1148">
        <v>5.2086538461538465</v>
      </c>
      <c r="P1148">
        <v>-0.6586538461538467</v>
      </c>
      <c r="Q1148">
        <v>1147</v>
      </c>
      <c r="R1148">
        <v>40</v>
      </c>
      <c r="S1148" t="s">
        <v>24</v>
      </c>
      <c r="T1148" t="s">
        <v>45</v>
      </c>
      <c r="U1148">
        <v>5000</v>
      </c>
      <c r="V1148">
        <v>1000</v>
      </c>
    </row>
    <row r="1149" spans="1:22" x14ac:dyDescent="0.3">
      <c r="A1149" t="s">
        <v>1308</v>
      </c>
      <c r="B1149" t="s">
        <v>155</v>
      </c>
      <c r="C1149">
        <v>4.55</v>
      </c>
      <c r="D1149">
        <v>3.32</v>
      </c>
      <c r="E1149">
        <v>4.55</v>
      </c>
      <c r="F1149">
        <v>1.1499999999999999</v>
      </c>
      <c r="G1149">
        <v>62.062298603651975</v>
      </c>
      <c r="H1149">
        <v>25.377487989018533</v>
      </c>
      <c r="I1149">
        <v>33.097094259390502</v>
      </c>
      <c r="J1149">
        <v>36.57425324713121</v>
      </c>
      <c r="K1149">
        <v>60.536398467432953</v>
      </c>
      <c r="L1149">
        <v>19.340590793742198</v>
      </c>
      <c r="M1149">
        <v>66.501114096839629</v>
      </c>
      <c r="N1149">
        <v>50.046504764633752</v>
      </c>
      <c r="O1149">
        <v>5.2086538461538465</v>
      </c>
      <c r="P1149">
        <v>-0.6586538461538467</v>
      </c>
      <c r="Q1149">
        <v>1147</v>
      </c>
      <c r="R1149">
        <v>40</v>
      </c>
      <c r="S1149" t="s">
        <v>24</v>
      </c>
      <c r="T1149" t="s">
        <v>45</v>
      </c>
      <c r="U1149">
        <v>5000</v>
      </c>
      <c r="V1149">
        <v>1000</v>
      </c>
    </row>
    <row r="1150" spans="1:22" x14ac:dyDescent="0.3">
      <c r="A1150" t="s">
        <v>1309</v>
      </c>
      <c r="B1150" t="s">
        <v>170</v>
      </c>
      <c r="C1150">
        <v>-12.94</v>
      </c>
      <c r="D1150">
        <v>6.08</v>
      </c>
      <c r="E1150">
        <v>12.08</v>
      </c>
      <c r="F1150">
        <v>1.55</v>
      </c>
      <c r="G1150">
        <v>24.489795918367346</v>
      </c>
      <c r="H1150">
        <v>30.113246396705563</v>
      </c>
      <c r="I1150">
        <v>59.780297661233163</v>
      </c>
      <c r="J1150">
        <v>43.822081933301718</v>
      </c>
      <c r="K1150">
        <v>45.21072796934866</v>
      </c>
      <c r="L1150">
        <v>18.961261558229918</v>
      </c>
      <c r="M1150">
        <v>67.158131605543161</v>
      </c>
      <c r="N1150">
        <v>50.003255860373812</v>
      </c>
      <c r="O1150">
        <v>6.9120588235294118</v>
      </c>
      <c r="P1150">
        <v>5.1679411764705883</v>
      </c>
      <c r="Q1150">
        <v>1149</v>
      </c>
      <c r="R1150">
        <v>14</v>
      </c>
      <c r="S1150" t="s">
        <v>24</v>
      </c>
      <c r="T1150" t="s">
        <v>1310</v>
      </c>
      <c r="U1150">
        <v>5000</v>
      </c>
      <c r="V1150">
        <v>1000</v>
      </c>
    </row>
    <row r="1151" spans="1:22" x14ac:dyDescent="0.3">
      <c r="A1151" t="s">
        <v>1311</v>
      </c>
      <c r="B1151" t="s">
        <v>170</v>
      </c>
      <c r="C1151">
        <v>-12.94</v>
      </c>
      <c r="D1151">
        <v>6.08</v>
      </c>
      <c r="E1151">
        <v>12.08</v>
      </c>
      <c r="F1151">
        <v>1.55</v>
      </c>
      <c r="G1151">
        <v>24.489795918367346</v>
      </c>
      <c r="H1151">
        <v>30.113246396705563</v>
      </c>
      <c r="I1151">
        <v>59.780297661233163</v>
      </c>
      <c r="J1151">
        <v>43.822081933301718</v>
      </c>
      <c r="K1151">
        <v>45.21072796934866</v>
      </c>
      <c r="L1151">
        <v>18.961261558229918</v>
      </c>
      <c r="M1151">
        <v>67.158131605543161</v>
      </c>
      <c r="N1151">
        <v>50.003255860373812</v>
      </c>
      <c r="O1151">
        <v>6.9120588235294118</v>
      </c>
      <c r="P1151">
        <v>5.1679411764705883</v>
      </c>
      <c r="Q1151">
        <v>1149</v>
      </c>
      <c r="R1151">
        <v>14</v>
      </c>
      <c r="S1151" t="s">
        <v>24</v>
      </c>
      <c r="T1151" t="s">
        <v>1310</v>
      </c>
      <c r="U1151">
        <v>5000</v>
      </c>
      <c r="V1151">
        <v>1000</v>
      </c>
    </row>
    <row r="1152" spans="1:22" x14ac:dyDescent="0.3">
      <c r="A1152" t="s">
        <v>1312</v>
      </c>
      <c r="B1152" t="s">
        <v>77</v>
      </c>
      <c r="C1152">
        <v>10.5</v>
      </c>
      <c r="D1152">
        <v>23.07</v>
      </c>
      <c r="E1152">
        <v>10.01</v>
      </c>
      <c r="F1152">
        <v>2.68</v>
      </c>
      <c r="G1152">
        <v>74.844253490870031</v>
      </c>
      <c r="H1152">
        <v>59.265614275909407</v>
      </c>
      <c r="I1152">
        <v>52.445074415308291</v>
      </c>
      <c r="J1152">
        <v>58.971072188600971</v>
      </c>
      <c r="K1152">
        <v>1.9157088122605304</v>
      </c>
      <c r="L1152">
        <v>11.48141242065511</v>
      </c>
      <c r="M1152">
        <v>80.113610344772979</v>
      </c>
      <c r="N1152">
        <v>49.992865883558864</v>
      </c>
      <c r="O1152">
        <v>9.0435999999999996</v>
      </c>
      <c r="P1152">
        <v>0.96640000000000015</v>
      </c>
      <c r="Q1152">
        <v>1151</v>
      </c>
      <c r="R1152">
        <v>21</v>
      </c>
      <c r="S1152" t="s">
        <v>24</v>
      </c>
      <c r="T1152" t="s">
        <v>758</v>
      </c>
      <c r="U1152">
        <v>5000</v>
      </c>
      <c r="V1152">
        <v>1000</v>
      </c>
    </row>
    <row r="1153" spans="1:22" x14ac:dyDescent="0.3">
      <c r="A1153" t="s">
        <v>1313</v>
      </c>
      <c r="B1153" t="s">
        <v>494</v>
      </c>
      <c r="C1153">
        <v>8.35</v>
      </c>
      <c r="D1153">
        <v>14.85</v>
      </c>
      <c r="E1153">
        <v>10.74</v>
      </c>
      <c r="F1153">
        <v>2.4300000000000002</v>
      </c>
      <c r="G1153">
        <v>70.225563909774436</v>
      </c>
      <c r="H1153">
        <v>45.161290322580648</v>
      </c>
      <c r="I1153">
        <v>55.031892274982283</v>
      </c>
      <c r="J1153">
        <v>55.109446016220225</v>
      </c>
      <c r="K1153">
        <v>11.494252873563205</v>
      </c>
      <c r="L1153">
        <v>12.625993367535765</v>
      </c>
      <c r="M1153">
        <v>78.131137991400394</v>
      </c>
      <c r="N1153">
        <v>49.961070724351018</v>
      </c>
      <c r="O1153">
        <v>7.1099999999999994</v>
      </c>
      <c r="P1153">
        <v>3.6300000000000008</v>
      </c>
      <c r="Q1153">
        <v>1152</v>
      </c>
      <c r="R1153">
        <v>4</v>
      </c>
      <c r="S1153" t="s">
        <v>24</v>
      </c>
      <c r="T1153" t="s">
        <v>176</v>
      </c>
      <c r="U1153">
        <v>1000</v>
      </c>
      <c r="V1153">
        <v>1000</v>
      </c>
    </row>
    <row r="1154" spans="1:22" x14ac:dyDescent="0.3">
      <c r="A1154" t="s">
        <v>1314</v>
      </c>
      <c r="B1154" t="s">
        <v>148</v>
      </c>
      <c r="C1154">
        <v>6.73</v>
      </c>
      <c r="D1154">
        <v>15.2</v>
      </c>
      <c r="E1154">
        <v>11.85</v>
      </c>
      <c r="F1154">
        <v>2.6</v>
      </c>
      <c r="G1154">
        <v>66.745435016111713</v>
      </c>
      <c r="H1154">
        <v>45.761839396019219</v>
      </c>
      <c r="I1154">
        <v>58.965272856130404</v>
      </c>
      <c r="J1154">
        <v>56.560275250093312</v>
      </c>
      <c r="K1154">
        <v>4.9808429118773923</v>
      </c>
      <c r="L1154">
        <v>10.607959774926512</v>
      </c>
      <c r="M1154">
        <v>81.626474705180371</v>
      </c>
      <c r="N1154">
        <v>49.931967029311096</v>
      </c>
      <c r="O1154">
        <v>10.461</v>
      </c>
      <c r="P1154">
        <v>1.3889999999999993</v>
      </c>
      <c r="Q1154">
        <v>1153</v>
      </c>
      <c r="R1154">
        <v>34</v>
      </c>
      <c r="S1154" t="s">
        <v>24</v>
      </c>
      <c r="T1154" t="s">
        <v>107</v>
      </c>
      <c r="U1154">
        <v>5000</v>
      </c>
      <c r="V1154">
        <v>1000</v>
      </c>
    </row>
    <row r="1155" spans="1:22" x14ac:dyDescent="0.3">
      <c r="A1155" t="s">
        <v>1315</v>
      </c>
      <c r="B1155" t="s">
        <v>138</v>
      </c>
      <c r="C1155">
        <v>2.85</v>
      </c>
      <c r="D1155">
        <v>12.06</v>
      </c>
      <c r="E1155">
        <v>7.36</v>
      </c>
      <c r="F1155">
        <v>2.06</v>
      </c>
      <c r="G1155">
        <v>58.410311493018256</v>
      </c>
      <c r="H1155">
        <v>40.37405628002746</v>
      </c>
      <c r="I1155">
        <v>43.054571226080789</v>
      </c>
      <c r="J1155">
        <v>45.321564795652279</v>
      </c>
      <c r="K1155">
        <v>25.670498084291182</v>
      </c>
      <c r="L1155">
        <v>9.7321667819470168</v>
      </c>
      <c r="M1155">
        <v>83.143392665933675</v>
      </c>
      <c r="N1155">
        <v>49.864255085382354</v>
      </c>
      <c r="O1155">
        <v>9.219019607843137</v>
      </c>
      <c r="P1155">
        <v>-1.8590196078431367</v>
      </c>
      <c r="Q1155">
        <v>1154</v>
      </c>
      <c r="R1155">
        <v>36</v>
      </c>
      <c r="S1155" t="s">
        <v>24</v>
      </c>
      <c r="T1155" t="s">
        <v>134</v>
      </c>
      <c r="U1155">
        <v>1000</v>
      </c>
      <c r="V1155">
        <v>1000</v>
      </c>
    </row>
    <row r="1156" spans="1:22" x14ac:dyDescent="0.3">
      <c r="A1156" t="s">
        <v>1316</v>
      </c>
      <c r="B1156" t="s">
        <v>976</v>
      </c>
      <c r="C1156">
        <v>3.51</v>
      </c>
      <c r="D1156">
        <v>2.57</v>
      </c>
      <c r="E1156">
        <v>3.41</v>
      </c>
      <c r="F1156">
        <v>1.02</v>
      </c>
      <c r="G1156">
        <v>59.828141783028997</v>
      </c>
      <c r="H1156">
        <v>24.09059711736445</v>
      </c>
      <c r="I1156">
        <v>29.057406094968108</v>
      </c>
      <c r="J1156">
        <v>33.721510539299189</v>
      </c>
      <c r="K1156">
        <v>65.517241379310349</v>
      </c>
      <c r="L1156">
        <v>19.359233218866894</v>
      </c>
      <c r="M1156">
        <v>66.468824469347368</v>
      </c>
      <c r="N1156">
        <v>49.857271731814023</v>
      </c>
      <c r="O1156">
        <v>4.3111111111111109</v>
      </c>
      <c r="P1156">
        <v>-0.90111111111111075</v>
      </c>
      <c r="Q1156">
        <v>1155</v>
      </c>
      <c r="R1156">
        <v>16</v>
      </c>
      <c r="S1156" t="s">
        <v>24</v>
      </c>
      <c r="T1156" t="s">
        <v>977</v>
      </c>
      <c r="U1156">
        <v>10000</v>
      </c>
      <c r="V1156">
        <v>1000</v>
      </c>
    </row>
    <row r="1157" spans="1:22" x14ac:dyDescent="0.3">
      <c r="A1157" t="s">
        <v>1317</v>
      </c>
      <c r="B1157" t="s">
        <v>195</v>
      </c>
      <c r="C1157">
        <v>4.3600000000000003</v>
      </c>
      <c r="D1157">
        <v>14.74</v>
      </c>
      <c r="E1157">
        <v>6.92</v>
      </c>
      <c r="F1157">
        <v>2.08</v>
      </c>
      <c r="G1157">
        <v>61.65413533834586</v>
      </c>
      <c r="H1157">
        <v>44.972546328071381</v>
      </c>
      <c r="I1157">
        <v>41.495393338058115</v>
      </c>
      <c r="J1157">
        <v>46.570287635119641</v>
      </c>
      <c r="K1157">
        <v>24.904214559386961</v>
      </c>
      <c r="L1157">
        <v>10.776060534489043</v>
      </c>
      <c r="M1157">
        <v>81.335315648827148</v>
      </c>
      <c r="N1157">
        <v>49.84502636961335</v>
      </c>
      <c r="O1157">
        <v>10.412619047619048</v>
      </c>
      <c r="P1157">
        <v>-3.4926190476190477</v>
      </c>
      <c r="Q1157">
        <v>1156</v>
      </c>
      <c r="R1157">
        <v>36</v>
      </c>
      <c r="S1157" t="s">
        <v>24</v>
      </c>
      <c r="T1157" t="s">
        <v>196</v>
      </c>
      <c r="U1157">
        <v>5000</v>
      </c>
      <c r="V1157">
        <v>1000</v>
      </c>
    </row>
    <row r="1158" spans="1:22" x14ac:dyDescent="0.3">
      <c r="A1158" t="s">
        <v>1318</v>
      </c>
      <c r="B1158" t="s">
        <v>272</v>
      </c>
      <c r="C1158">
        <v>5.08</v>
      </c>
      <c r="D1158">
        <v>13.26</v>
      </c>
      <c r="E1158">
        <v>11.07</v>
      </c>
      <c r="F1158">
        <v>2.4500000000000002</v>
      </c>
      <c r="G1158">
        <v>63.200859291084853</v>
      </c>
      <c r="H1158">
        <v>42.433081674673986</v>
      </c>
      <c r="I1158">
        <v>56.201275690999289</v>
      </c>
      <c r="J1158">
        <v>53.470734206118806</v>
      </c>
      <c r="K1158">
        <v>10.727969348658984</v>
      </c>
      <c r="L1158">
        <v>10.566124519507763</v>
      </c>
      <c r="M1158">
        <v>81.698935493113254</v>
      </c>
      <c r="N1158">
        <v>49.84209331350246</v>
      </c>
      <c r="O1158">
        <v>10.044583333333334</v>
      </c>
      <c r="P1158">
        <v>1.0254166666666666</v>
      </c>
      <c r="Q1158">
        <v>1157</v>
      </c>
      <c r="R1158">
        <v>35</v>
      </c>
      <c r="S1158" t="s">
        <v>24</v>
      </c>
      <c r="T1158" t="s">
        <v>273</v>
      </c>
      <c r="U1158">
        <v>5000</v>
      </c>
      <c r="V1158">
        <v>1000</v>
      </c>
    </row>
    <row r="1159" spans="1:22" x14ac:dyDescent="0.3">
      <c r="A1159" t="s">
        <v>1319</v>
      </c>
      <c r="B1159" t="s">
        <v>328</v>
      </c>
      <c r="C1159">
        <v>8.6</v>
      </c>
      <c r="D1159">
        <v>19.989999999999998</v>
      </c>
      <c r="E1159">
        <v>7.84</v>
      </c>
      <c r="F1159">
        <v>2.2999999999999998</v>
      </c>
      <c r="G1159">
        <v>70.762620837808797</v>
      </c>
      <c r="H1159">
        <v>53.980782429649963</v>
      </c>
      <c r="I1159">
        <v>44.755492558469165</v>
      </c>
      <c r="J1159">
        <v>52.724505175691334</v>
      </c>
      <c r="K1159">
        <v>16.475095785440619</v>
      </c>
      <c r="L1159">
        <v>13.185261942176785</v>
      </c>
      <c r="M1159">
        <v>77.162456405045518</v>
      </c>
      <c r="N1159">
        <v>49.7716406354672</v>
      </c>
      <c r="O1159">
        <v>10.248999999999999</v>
      </c>
      <c r="P1159">
        <v>-2.4089999999999989</v>
      </c>
      <c r="Q1159">
        <v>1158</v>
      </c>
      <c r="R1159">
        <v>8</v>
      </c>
      <c r="S1159" t="s">
        <v>24</v>
      </c>
      <c r="T1159" t="s">
        <v>78</v>
      </c>
      <c r="U1159">
        <v>5000</v>
      </c>
      <c r="V1159">
        <v>1000</v>
      </c>
    </row>
    <row r="1160" spans="1:22" x14ac:dyDescent="0.3">
      <c r="A1160" t="s">
        <v>1320</v>
      </c>
      <c r="B1160" t="s">
        <v>410</v>
      </c>
      <c r="C1160">
        <v>5.33</v>
      </c>
      <c r="D1160">
        <v>4.38</v>
      </c>
      <c r="E1160">
        <v>4.0599999999999996</v>
      </c>
      <c r="F1160">
        <v>1.1499999999999999</v>
      </c>
      <c r="G1160">
        <v>63.737916219119214</v>
      </c>
      <c r="H1160">
        <v>27.196293754289641</v>
      </c>
      <c r="I1160">
        <v>31.360737065910698</v>
      </c>
      <c r="J1160">
        <v>36.586839903066085</v>
      </c>
      <c r="K1160">
        <v>60.536398467432953</v>
      </c>
      <c r="L1160">
        <v>20.003810013664911</v>
      </c>
      <c r="M1160">
        <v>65.352384711377297</v>
      </c>
      <c r="N1160">
        <v>49.765615746235611</v>
      </c>
      <c r="O1160">
        <v>4.4264935064935065</v>
      </c>
      <c r="P1160">
        <v>-0.36649350649350687</v>
      </c>
      <c r="Q1160">
        <v>1159</v>
      </c>
      <c r="R1160">
        <v>67</v>
      </c>
      <c r="S1160" t="s">
        <v>24</v>
      </c>
      <c r="T1160" t="s">
        <v>411</v>
      </c>
      <c r="U1160">
        <v>5000</v>
      </c>
      <c r="V1160">
        <v>1000</v>
      </c>
    </row>
    <row r="1161" spans="1:22" x14ac:dyDescent="0.3">
      <c r="A1161" t="s">
        <v>1321</v>
      </c>
      <c r="B1161" t="s">
        <v>884</v>
      </c>
      <c r="C1161">
        <v>-3.45</v>
      </c>
      <c r="D1161">
        <v>22.15</v>
      </c>
      <c r="E1161">
        <v>12.3</v>
      </c>
      <c r="F1161">
        <v>2.72</v>
      </c>
      <c r="G1161">
        <v>44.876476906552085</v>
      </c>
      <c r="H1161">
        <v>57.68702814001373</v>
      </c>
      <c r="I1161">
        <v>60.559886605244508</v>
      </c>
      <c r="J1161">
        <v>56.561347125936791</v>
      </c>
      <c r="K1161">
        <v>0.38314176245208831</v>
      </c>
      <c r="L1161">
        <v>8.3499788267539259</v>
      </c>
      <c r="M1161">
        <v>85.537412429937831</v>
      </c>
      <c r="N1161">
        <v>49.760812111065874</v>
      </c>
      <c r="O1161">
        <v>9.6316666666666659</v>
      </c>
      <c r="P1161">
        <v>2.6683333333333348</v>
      </c>
      <c r="Q1161">
        <v>1160</v>
      </c>
      <c r="R1161">
        <v>3</v>
      </c>
      <c r="S1161" t="s">
        <v>24</v>
      </c>
      <c r="T1161" t="s">
        <v>1322</v>
      </c>
      <c r="U1161">
        <v>5000</v>
      </c>
      <c r="V1161">
        <v>1000</v>
      </c>
    </row>
    <row r="1162" spans="1:22" x14ac:dyDescent="0.3">
      <c r="A1162" t="s">
        <v>1323</v>
      </c>
      <c r="B1162" t="s">
        <v>395</v>
      </c>
      <c r="C1162">
        <v>7.47</v>
      </c>
      <c r="D1162">
        <v>4.6500000000000004</v>
      </c>
      <c r="E1162">
        <v>5.53</v>
      </c>
      <c r="F1162">
        <v>1.28</v>
      </c>
      <c r="G1162">
        <v>68.335123523093444</v>
      </c>
      <c r="H1162">
        <v>27.659574468085111</v>
      </c>
      <c r="I1162">
        <v>36.569808646350104</v>
      </c>
      <c r="J1162">
        <v>40.249801368219281</v>
      </c>
      <c r="K1162">
        <v>55.555555555555557</v>
      </c>
      <c r="L1162">
        <v>21.381174715375838</v>
      </c>
      <c r="M1162">
        <v>62.966719067462016</v>
      </c>
      <c r="N1162">
        <v>49.755469339864035</v>
      </c>
      <c r="O1162">
        <v>5.2778260869565221</v>
      </c>
      <c r="P1162">
        <v>0.25217391304347814</v>
      </c>
      <c r="Q1162">
        <v>1161</v>
      </c>
      <c r="R1162">
        <v>21</v>
      </c>
      <c r="S1162" t="s">
        <v>24</v>
      </c>
      <c r="T1162" t="s">
        <v>230</v>
      </c>
      <c r="U1162">
        <v>1000</v>
      </c>
      <c r="V1162">
        <v>1000</v>
      </c>
    </row>
    <row r="1163" spans="1:22" x14ac:dyDescent="0.3">
      <c r="A1163" t="s">
        <v>1324</v>
      </c>
      <c r="B1163" t="s">
        <v>520</v>
      </c>
      <c r="C1163">
        <v>3.83</v>
      </c>
      <c r="D1163">
        <v>1.97</v>
      </c>
      <c r="E1163">
        <v>4.49</v>
      </c>
      <c r="F1163">
        <v>1.1200000000000001</v>
      </c>
      <c r="G1163">
        <v>60.515574650912995</v>
      </c>
      <c r="H1163">
        <v>23.061084420041183</v>
      </c>
      <c r="I1163">
        <v>32.884479092841957</v>
      </c>
      <c r="J1163">
        <v>35.463679802615928</v>
      </c>
      <c r="K1163">
        <v>61.685823754789261</v>
      </c>
      <c r="L1163">
        <v>19.419986968290065</v>
      </c>
      <c r="M1163">
        <v>66.363595888596123</v>
      </c>
      <c r="N1163">
        <v>49.744194812154305</v>
      </c>
      <c r="O1163">
        <v>4.625</v>
      </c>
      <c r="P1163">
        <v>-0.13499999999999979</v>
      </c>
      <c r="Q1163">
        <v>1162</v>
      </c>
      <c r="R1163">
        <v>27</v>
      </c>
      <c r="S1163" t="s">
        <v>24</v>
      </c>
      <c r="T1163" t="s">
        <v>521</v>
      </c>
      <c r="U1163">
        <v>1000</v>
      </c>
      <c r="V1163">
        <v>1000</v>
      </c>
    </row>
    <row r="1164" spans="1:22" x14ac:dyDescent="0.3">
      <c r="A1164" t="s">
        <v>1325</v>
      </c>
      <c r="B1164" t="s">
        <v>410</v>
      </c>
      <c r="C1164">
        <v>5.32</v>
      </c>
      <c r="D1164">
        <v>4.37</v>
      </c>
      <c r="E1164">
        <v>4.04</v>
      </c>
      <c r="F1164">
        <v>1.1499999999999999</v>
      </c>
      <c r="G1164">
        <v>63.716433941997849</v>
      </c>
      <c r="H1164">
        <v>27.179135209334255</v>
      </c>
      <c r="I1164">
        <v>31.28986534372785</v>
      </c>
      <c r="J1164">
        <v>36.541960023063773</v>
      </c>
      <c r="K1164">
        <v>60.536398467432953</v>
      </c>
      <c r="L1164">
        <v>20.013972835563418</v>
      </c>
      <c r="M1164">
        <v>65.334782187500807</v>
      </c>
      <c r="N1164">
        <v>49.738775175265332</v>
      </c>
      <c r="O1164">
        <v>4.4264935064935065</v>
      </c>
      <c r="P1164">
        <v>-0.38649350649350644</v>
      </c>
      <c r="Q1164">
        <v>1163</v>
      </c>
      <c r="R1164">
        <v>68</v>
      </c>
      <c r="S1164" t="s">
        <v>24</v>
      </c>
      <c r="T1164" t="s">
        <v>411</v>
      </c>
      <c r="U1164">
        <v>5000</v>
      </c>
      <c r="V1164">
        <v>1000</v>
      </c>
    </row>
    <row r="1165" spans="1:22" x14ac:dyDescent="0.3">
      <c r="A1165" t="s">
        <v>1326</v>
      </c>
      <c r="B1165" t="s">
        <v>229</v>
      </c>
      <c r="C1165">
        <v>5.18</v>
      </c>
      <c r="D1165">
        <v>4.05</v>
      </c>
      <c r="E1165">
        <v>4.29</v>
      </c>
      <c r="F1165">
        <v>1.17</v>
      </c>
      <c r="G1165">
        <v>63.415682062298593</v>
      </c>
      <c r="H1165">
        <v>26.630061770761841</v>
      </c>
      <c r="I1165">
        <v>32.175761871013464</v>
      </c>
      <c r="J1165">
        <v>36.760035879195001</v>
      </c>
      <c r="K1165">
        <v>59.770114942528728</v>
      </c>
      <c r="L1165">
        <v>19.832083700378515</v>
      </c>
      <c r="M1165">
        <v>65.649823410985817</v>
      </c>
      <c r="N1165">
        <v>49.735002527976135</v>
      </c>
      <c r="O1165">
        <v>5.1221052631578941</v>
      </c>
      <c r="P1165">
        <v>-0.83210526315789402</v>
      </c>
      <c r="Q1165">
        <v>1164</v>
      </c>
      <c r="R1165">
        <v>69</v>
      </c>
      <c r="S1165" t="s">
        <v>24</v>
      </c>
      <c r="T1165" t="s">
        <v>230</v>
      </c>
      <c r="U1165">
        <v>1000</v>
      </c>
      <c r="V1165">
        <v>1000</v>
      </c>
    </row>
    <row r="1166" spans="1:22" x14ac:dyDescent="0.3">
      <c r="A1166" t="s">
        <v>1327</v>
      </c>
      <c r="B1166" t="s">
        <v>395</v>
      </c>
      <c r="C1166">
        <v>7.47</v>
      </c>
      <c r="D1166">
        <v>4.6500000000000004</v>
      </c>
      <c r="E1166">
        <v>5.51</v>
      </c>
      <c r="F1166">
        <v>1.28</v>
      </c>
      <c r="G1166">
        <v>68.335123523093444</v>
      </c>
      <c r="H1166">
        <v>27.659574468085111</v>
      </c>
      <c r="I1166">
        <v>36.498936924167261</v>
      </c>
      <c r="J1166">
        <v>40.214365507127852</v>
      </c>
      <c r="K1166">
        <v>55.555555555555557</v>
      </c>
      <c r="L1166">
        <v>21.393836326997047</v>
      </c>
      <c r="M1166">
        <v>62.944788512828381</v>
      </c>
      <c r="N1166">
        <v>49.732268770659914</v>
      </c>
      <c r="O1166">
        <v>5.2778260869565221</v>
      </c>
      <c r="P1166">
        <v>0.23217391304347768</v>
      </c>
      <c r="Q1166">
        <v>1165</v>
      </c>
      <c r="R1166">
        <v>22</v>
      </c>
      <c r="S1166" t="s">
        <v>24</v>
      </c>
      <c r="T1166" t="s">
        <v>230</v>
      </c>
      <c r="U1166">
        <v>1000</v>
      </c>
      <c r="V1166">
        <v>1000</v>
      </c>
    </row>
    <row r="1167" spans="1:22" x14ac:dyDescent="0.3">
      <c r="A1167" t="s">
        <v>1328</v>
      </c>
      <c r="B1167" t="s">
        <v>884</v>
      </c>
      <c r="C1167">
        <v>-3.5</v>
      </c>
      <c r="D1167">
        <v>22.21</v>
      </c>
      <c r="E1167">
        <v>12.23</v>
      </c>
      <c r="F1167">
        <v>2.72</v>
      </c>
      <c r="G1167">
        <v>44.769065520945219</v>
      </c>
      <c r="H1167">
        <v>57.78997940974606</v>
      </c>
      <c r="I1167">
        <v>60.311835577604533</v>
      </c>
      <c r="J1167">
        <v>56.446724715915124</v>
      </c>
      <c r="K1167">
        <v>0.38314176245208831</v>
      </c>
      <c r="L1167">
        <v>8.3414792659447574</v>
      </c>
      <c r="M1167">
        <v>85.552134101101331</v>
      </c>
      <c r="N1167">
        <v>49.707181323845916</v>
      </c>
      <c r="O1167">
        <v>9.6316666666666659</v>
      </c>
      <c r="P1167">
        <v>2.5983333333333345</v>
      </c>
      <c r="Q1167">
        <v>1166</v>
      </c>
      <c r="R1167">
        <v>4</v>
      </c>
      <c r="S1167" t="s">
        <v>24</v>
      </c>
      <c r="T1167" t="s">
        <v>1322</v>
      </c>
      <c r="U1167">
        <v>5000</v>
      </c>
      <c r="V1167">
        <v>1000</v>
      </c>
    </row>
    <row r="1168" spans="1:22" x14ac:dyDescent="0.3">
      <c r="A1168" t="s">
        <v>1329</v>
      </c>
      <c r="B1168" t="s">
        <v>445</v>
      </c>
      <c r="C1168">
        <v>3.7</v>
      </c>
      <c r="D1168">
        <v>8.8699999999999992</v>
      </c>
      <c r="E1168">
        <v>6.71</v>
      </c>
      <c r="F1168">
        <v>1.79</v>
      </c>
      <c r="G1168">
        <v>60.236305048335126</v>
      </c>
      <c r="H1168">
        <v>34.90048043925875</v>
      </c>
      <c r="I1168">
        <v>40.7512402551382</v>
      </c>
      <c r="J1168">
        <v>42.893025269013748</v>
      </c>
      <c r="K1168">
        <v>36.015325670498079</v>
      </c>
      <c r="L1168">
        <v>13.265262587174016</v>
      </c>
      <c r="M1168">
        <v>77.023891223272031</v>
      </c>
      <c r="N1168">
        <v>49.706316857949403</v>
      </c>
      <c r="O1168">
        <v>5.7759259259259252</v>
      </c>
      <c r="P1168">
        <v>0.93407407407407472</v>
      </c>
      <c r="Q1168">
        <v>1167</v>
      </c>
      <c r="R1168">
        <v>16</v>
      </c>
      <c r="S1168" t="s">
        <v>24</v>
      </c>
      <c r="T1168" t="s">
        <v>443</v>
      </c>
      <c r="U1168">
        <v>5000</v>
      </c>
      <c r="V1168">
        <v>1000</v>
      </c>
    </row>
    <row r="1169" spans="1:22" x14ac:dyDescent="0.3">
      <c r="A1169" t="s">
        <v>1330</v>
      </c>
      <c r="B1169" t="s">
        <v>1331</v>
      </c>
      <c r="C1169">
        <v>6.23</v>
      </c>
      <c r="D1169">
        <v>4.41</v>
      </c>
      <c r="E1169">
        <v>8.2100000000000009</v>
      </c>
      <c r="F1169">
        <v>1.6</v>
      </c>
      <c r="G1169">
        <v>65.671321160042964</v>
      </c>
      <c r="H1169">
        <v>27.247769389155806</v>
      </c>
      <c r="I1169">
        <v>46.066619418851879</v>
      </c>
      <c r="J1169">
        <v>44.341904758181272</v>
      </c>
      <c r="K1169">
        <v>43.295019157088113</v>
      </c>
      <c r="L1169">
        <v>19.213115214575428</v>
      </c>
      <c r="M1169">
        <v>66.72190827668075</v>
      </c>
      <c r="N1169">
        <v>49.675184237532854</v>
      </c>
      <c r="O1169">
        <v>4.7778125000000005</v>
      </c>
      <c r="P1169">
        <v>3.4321875000000004</v>
      </c>
      <c r="Q1169">
        <v>1168</v>
      </c>
      <c r="R1169">
        <v>1</v>
      </c>
      <c r="S1169" t="s">
        <v>24</v>
      </c>
      <c r="T1169" t="s">
        <v>1332</v>
      </c>
      <c r="U1169">
        <v>5000</v>
      </c>
      <c r="V1169">
        <v>1000</v>
      </c>
    </row>
    <row r="1170" spans="1:22" x14ac:dyDescent="0.3">
      <c r="A1170" t="s">
        <v>1333</v>
      </c>
      <c r="B1170" t="s">
        <v>1331</v>
      </c>
      <c r="C1170">
        <v>6.24</v>
      </c>
      <c r="D1170">
        <v>4.41</v>
      </c>
      <c r="E1170">
        <v>8.2100000000000009</v>
      </c>
      <c r="F1170">
        <v>1.6</v>
      </c>
      <c r="G1170">
        <v>65.692803437164343</v>
      </c>
      <c r="H1170">
        <v>27.247769389155806</v>
      </c>
      <c r="I1170">
        <v>46.066619418851879</v>
      </c>
      <c r="J1170">
        <v>44.346201213605553</v>
      </c>
      <c r="K1170">
        <v>43.295019157088113</v>
      </c>
      <c r="L1170">
        <v>19.223929786047869</v>
      </c>
      <c r="M1170">
        <v>66.703176889428391</v>
      </c>
      <c r="N1170">
        <v>49.672649618431905</v>
      </c>
      <c r="O1170">
        <v>4.7778125000000005</v>
      </c>
      <c r="P1170">
        <v>3.4321875000000004</v>
      </c>
      <c r="Q1170">
        <v>1169</v>
      </c>
      <c r="R1170">
        <v>2</v>
      </c>
      <c r="S1170" t="s">
        <v>24</v>
      </c>
      <c r="T1170" t="s">
        <v>1332</v>
      </c>
      <c r="U1170">
        <v>5000</v>
      </c>
      <c r="V1170">
        <v>1000</v>
      </c>
    </row>
    <row r="1171" spans="1:22" x14ac:dyDescent="0.3">
      <c r="A1171" t="s">
        <v>1334</v>
      </c>
      <c r="B1171" t="s">
        <v>229</v>
      </c>
      <c r="C1171">
        <v>5.18</v>
      </c>
      <c r="D1171">
        <v>4.0599999999999996</v>
      </c>
      <c r="E1171">
        <v>4.22</v>
      </c>
      <c r="F1171">
        <v>1.17</v>
      </c>
      <c r="G1171">
        <v>63.415682062298593</v>
      </c>
      <c r="H1171">
        <v>26.647220315717231</v>
      </c>
      <c r="I1171">
        <v>31.92771084337349</v>
      </c>
      <c r="J1171">
        <v>36.641157928861631</v>
      </c>
      <c r="K1171">
        <v>59.770114942528728</v>
      </c>
      <c r="L1171">
        <v>19.88003894574631</v>
      </c>
      <c r="M1171">
        <v>65.566762489519363</v>
      </c>
      <c r="N1171">
        <v>49.654798322442836</v>
      </c>
      <c r="O1171">
        <v>5.1221052631578941</v>
      </c>
      <c r="P1171">
        <v>-0.9021052631578943</v>
      </c>
      <c r="Q1171">
        <v>1170</v>
      </c>
      <c r="R1171">
        <v>70</v>
      </c>
      <c r="S1171" t="s">
        <v>24</v>
      </c>
      <c r="T1171" t="s">
        <v>230</v>
      </c>
      <c r="U1171">
        <v>1000</v>
      </c>
      <c r="V1171">
        <v>1000</v>
      </c>
    </row>
    <row r="1172" spans="1:22" x14ac:dyDescent="0.3">
      <c r="A1172" t="s">
        <v>1335</v>
      </c>
      <c r="B1172" t="s">
        <v>976</v>
      </c>
      <c r="C1172">
        <v>4.92</v>
      </c>
      <c r="D1172">
        <v>2.9</v>
      </c>
      <c r="E1172">
        <v>6.15</v>
      </c>
      <c r="F1172">
        <v>1.34</v>
      </c>
      <c r="G1172">
        <v>62.857142857142854</v>
      </c>
      <c r="H1172">
        <v>24.656829100892246</v>
      </c>
      <c r="I1172">
        <v>38.766832034018428</v>
      </c>
      <c r="J1172">
        <v>39.351893318705464</v>
      </c>
      <c r="K1172">
        <v>53.256704980842919</v>
      </c>
      <c r="L1172">
        <v>19.316224740718035</v>
      </c>
      <c r="M1172">
        <v>66.543317338657403</v>
      </c>
      <c r="N1172">
        <v>49.625952239227814</v>
      </c>
      <c r="O1172">
        <v>4.3111111111111109</v>
      </c>
      <c r="P1172">
        <v>1.8388888888888895</v>
      </c>
      <c r="Q1172">
        <v>1171</v>
      </c>
      <c r="R1172">
        <v>17</v>
      </c>
      <c r="S1172" t="s">
        <v>24</v>
      </c>
      <c r="T1172" t="s">
        <v>977</v>
      </c>
      <c r="U1172">
        <v>5000</v>
      </c>
      <c r="V1172">
        <v>1000</v>
      </c>
    </row>
    <row r="1173" spans="1:22" x14ac:dyDescent="0.3">
      <c r="A1173" t="s">
        <v>1336</v>
      </c>
      <c r="B1173" t="s">
        <v>410</v>
      </c>
      <c r="C1173">
        <v>5.38</v>
      </c>
      <c r="D1173">
        <v>4.43</v>
      </c>
      <c r="E1173">
        <v>3.94</v>
      </c>
      <c r="F1173">
        <v>1.1499999999999999</v>
      </c>
      <c r="G1173">
        <v>63.845327604726101</v>
      </c>
      <c r="H1173">
        <v>27.282086479066582</v>
      </c>
      <c r="I1173">
        <v>30.935506732813607</v>
      </c>
      <c r="J1173">
        <v>36.421444831071994</v>
      </c>
      <c r="K1173">
        <v>60.536398467432953</v>
      </c>
      <c r="L1173">
        <v>20.13816604934097</v>
      </c>
      <c r="M1173">
        <v>65.119673231282832</v>
      </c>
      <c r="N1173">
        <v>49.624740340214942</v>
      </c>
      <c r="O1173">
        <v>4.4264935064935065</v>
      </c>
      <c r="P1173">
        <v>-0.48649350649350653</v>
      </c>
      <c r="Q1173">
        <v>1172</v>
      </c>
      <c r="R1173">
        <v>69</v>
      </c>
      <c r="S1173" t="s">
        <v>24</v>
      </c>
      <c r="T1173" t="s">
        <v>411</v>
      </c>
      <c r="U1173">
        <v>5000</v>
      </c>
      <c r="V1173">
        <v>1000</v>
      </c>
    </row>
    <row r="1174" spans="1:22" x14ac:dyDescent="0.3">
      <c r="A1174" t="s">
        <v>1337</v>
      </c>
      <c r="B1174" t="s">
        <v>976</v>
      </c>
      <c r="C1174">
        <v>4.93</v>
      </c>
      <c r="D1174">
        <v>2.9</v>
      </c>
      <c r="E1174">
        <v>6.15</v>
      </c>
      <c r="F1174">
        <v>1.34</v>
      </c>
      <c r="G1174">
        <v>62.878625134264233</v>
      </c>
      <c r="H1174">
        <v>24.656829100892246</v>
      </c>
      <c r="I1174">
        <v>38.766832034018428</v>
      </c>
      <c r="J1174">
        <v>39.356189774129732</v>
      </c>
      <c r="K1174">
        <v>53.256704980842919</v>
      </c>
      <c r="L1174">
        <v>19.327771216993185</v>
      </c>
      <c r="M1174">
        <v>66.523318255100449</v>
      </c>
      <c r="N1174">
        <v>49.623100696050713</v>
      </c>
      <c r="O1174">
        <v>4.3111111111111109</v>
      </c>
      <c r="P1174">
        <v>1.8388888888888895</v>
      </c>
      <c r="Q1174">
        <v>1173</v>
      </c>
      <c r="R1174">
        <v>18</v>
      </c>
      <c r="S1174" t="s">
        <v>24</v>
      </c>
      <c r="T1174" t="s">
        <v>977</v>
      </c>
      <c r="U1174">
        <v>5000</v>
      </c>
      <c r="V1174">
        <v>1000</v>
      </c>
    </row>
    <row r="1175" spans="1:22" x14ac:dyDescent="0.3">
      <c r="A1175" t="s">
        <v>1338</v>
      </c>
      <c r="B1175" t="s">
        <v>395</v>
      </c>
      <c r="C1175">
        <v>7.34</v>
      </c>
      <c r="D1175">
        <v>4.58</v>
      </c>
      <c r="E1175">
        <v>5.41</v>
      </c>
      <c r="F1175">
        <v>1.28</v>
      </c>
      <c r="G1175">
        <v>68.055853920515574</v>
      </c>
      <c r="H1175">
        <v>27.539464653397395</v>
      </c>
      <c r="I1175">
        <v>36.144578313253007</v>
      </c>
      <c r="J1175">
        <v>39.945299336748839</v>
      </c>
      <c r="K1175">
        <v>55.555555555555557</v>
      </c>
      <c r="L1175">
        <v>21.346175657583075</v>
      </c>
      <c r="M1175">
        <v>63.027339213776123</v>
      </c>
      <c r="N1175">
        <v>49.618373360707338</v>
      </c>
      <c r="O1175">
        <v>5.2778260869565221</v>
      </c>
      <c r="P1175">
        <v>0.13217391304347803</v>
      </c>
      <c r="Q1175">
        <v>1174</v>
      </c>
      <c r="R1175">
        <v>23</v>
      </c>
      <c r="S1175" t="s">
        <v>24</v>
      </c>
      <c r="T1175" t="s">
        <v>230</v>
      </c>
      <c r="U1175">
        <v>1000</v>
      </c>
      <c r="V1175">
        <v>1000</v>
      </c>
    </row>
    <row r="1176" spans="1:22" x14ac:dyDescent="0.3">
      <c r="A1176" t="s">
        <v>1339</v>
      </c>
      <c r="B1176" t="s">
        <v>229</v>
      </c>
      <c r="C1176">
        <v>5.18</v>
      </c>
      <c r="D1176">
        <v>4.05</v>
      </c>
      <c r="E1176">
        <v>4.1900000000000004</v>
      </c>
      <c r="F1176">
        <v>1.17</v>
      </c>
      <c r="G1176">
        <v>63.415682062298593</v>
      </c>
      <c r="H1176">
        <v>26.630061770761841</v>
      </c>
      <c r="I1176">
        <v>31.821403260099224</v>
      </c>
      <c r="J1176">
        <v>36.582856573737885</v>
      </c>
      <c r="K1176">
        <v>59.770114942528728</v>
      </c>
      <c r="L1176">
        <v>19.909505015289977</v>
      </c>
      <c r="M1176">
        <v>65.515725759970394</v>
      </c>
      <c r="N1176">
        <v>49.612888462493721</v>
      </c>
      <c r="O1176">
        <v>5.1221052631578941</v>
      </c>
      <c r="P1176">
        <v>-0.93210526315789366</v>
      </c>
      <c r="Q1176">
        <v>1175</v>
      </c>
      <c r="R1176">
        <v>71</v>
      </c>
      <c r="S1176" t="s">
        <v>24</v>
      </c>
      <c r="T1176" t="s">
        <v>230</v>
      </c>
      <c r="U1176">
        <v>1000</v>
      </c>
      <c r="V1176">
        <v>1000</v>
      </c>
    </row>
    <row r="1177" spans="1:22" x14ac:dyDescent="0.3">
      <c r="A1177" t="s">
        <v>1340</v>
      </c>
      <c r="B1177" t="s">
        <v>1331</v>
      </c>
      <c r="C1177">
        <v>6.24</v>
      </c>
      <c r="D1177">
        <v>4.41</v>
      </c>
      <c r="E1177">
        <v>8.14</v>
      </c>
      <c r="F1177">
        <v>1.6</v>
      </c>
      <c r="G1177">
        <v>65.692803437164343</v>
      </c>
      <c r="H1177">
        <v>27.247769389155806</v>
      </c>
      <c r="I1177">
        <v>45.818568391211905</v>
      </c>
      <c r="J1177">
        <v>44.222175699785566</v>
      </c>
      <c r="K1177">
        <v>43.295019157088113</v>
      </c>
      <c r="L1177">
        <v>19.226199300213011</v>
      </c>
      <c r="M1177">
        <v>66.699245975585868</v>
      </c>
      <c r="N1177">
        <v>49.609654133061284</v>
      </c>
      <c r="O1177">
        <v>4.7778125000000005</v>
      </c>
      <c r="P1177">
        <v>3.3621875000000001</v>
      </c>
      <c r="Q1177">
        <v>1176</v>
      </c>
      <c r="R1177">
        <v>3</v>
      </c>
      <c r="S1177" t="s">
        <v>24</v>
      </c>
      <c r="T1177" t="s">
        <v>1332</v>
      </c>
      <c r="U1177">
        <v>5000</v>
      </c>
      <c r="V1177">
        <v>1000</v>
      </c>
    </row>
    <row r="1178" spans="1:22" x14ac:dyDescent="0.3">
      <c r="A1178" t="s">
        <v>1341</v>
      </c>
      <c r="B1178" t="s">
        <v>195</v>
      </c>
      <c r="C1178">
        <v>0.74</v>
      </c>
      <c r="D1178">
        <v>9.48</v>
      </c>
      <c r="E1178">
        <v>7.64</v>
      </c>
      <c r="F1178">
        <v>2.0299999999999998</v>
      </c>
      <c r="G1178">
        <v>53.877551020408163</v>
      </c>
      <c r="H1178">
        <v>35.947151681537413</v>
      </c>
      <c r="I1178">
        <v>44.046775336640678</v>
      </c>
      <c r="J1178">
        <v>43.583043376863195</v>
      </c>
      <c r="K1178">
        <v>26.819923371647512</v>
      </c>
      <c r="L1178">
        <v>8.9791172018767984</v>
      </c>
      <c r="M1178">
        <v>84.447712799233699</v>
      </c>
      <c r="N1178">
        <v>49.608430731151898</v>
      </c>
      <c r="O1178">
        <v>10.412619047619048</v>
      </c>
      <c r="P1178">
        <v>-2.772619047619048</v>
      </c>
      <c r="Q1178">
        <v>1177</v>
      </c>
      <c r="R1178">
        <v>37</v>
      </c>
      <c r="S1178" t="s">
        <v>24</v>
      </c>
      <c r="T1178" t="s">
        <v>141</v>
      </c>
      <c r="U1178">
        <v>5000</v>
      </c>
      <c r="V1178">
        <v>1000</v>
      </c>
    </row>
    <row r="1179" spans="1:22" x14ac:dyDescent="0.3">
      <c r="A1179" t="s">
        <v>1342</v>
      </c>
      <c r="B1179" t="s">
        <v>229</v>
      </c>
      <c r="C1179">
        <v>5.17</v>
      </c>
      <c r="D1179">
        <v>4.04</v>
      </c>
      <c r="E1179">
        <v>4.18</v>
      </c>
      <c r="F1179">
        <v>1.17</v>
      </c>
      <c r="G1179">
        <v>63.394199785177229</v>
      </c>
      <c r="H1179">
        <v>26.612903225806456</v>
      </c>
      <c r="I1179">
        <v>31.785967399007792</v>
      </c>
      <c r="J1179">
        <v>36.55569462428128</v>
      </c>
      <c r="K1179">
        <v>59.770114942528728</v>
      </c>
      <c r="L1179">
        <v>19.91107197895403</v>
      </c>
      <c r="M1179">
        <v>65.513011699290615</v>
      </c>
      <c r="N1179">
        <v>49.598628972595478</v>
      </c>
      <c r="O1179">
        <v>5.1221052631578941</v>
      </c>
      <c r="P1179">
        <v>-0.94210526315789433</v>
      </c>
      <c r="Q1179">
        <v>1178</v>
      </c>
      <c r="R1179">
        <v>72</v>
      </c>
      <c r="S1179" t="s">
        <v>24</v>
      </c>
      <c r="T1179" t="s">
        <v>230</v>
      </c>
      <c r="U1179">
        <v>1000</v>
      </c>
      <c r="V1179">
        <v>1000</v>
      </c>
    </row>
    <row r="1180" spans="1:22" x14ac:dyDescent="0.3">
      <c r="A1180" t="s">
        <v>1343</v>
      </c>
      <c r="B1180" t="s">
        <v>921</v>
      </c>
      <c r="C1180">
        <v>5.53</v>
      </c>
      <c r="D1180">
        <v>4.42</v>
      </c>
      <c r="E1180">
        <v>6.08</v>
      </c>
      <c r="F1180">
        <v>1.41</v>
      </c>
      <c r="G1180">
        <v>64.167561761546722</v>
      </c>
      <c r="H1180">
        <v>27.264927934111192</v>
      </c>
      <c r="I1180">
        <v>38.518781006378454</v>
      </c>
      <c r="J1180">
        <v>40.272381235731928</v>
      </c>
      <c r="K1180">
        <v>50.574712643678168</v>
      </c>
      <c r="L1180">
        <v>18.913458817293126</v>
      </c>
      <c r="M1180">
        <v>67.240928381586741</v>
      </c>
      <c r="N1180">
        <v>49.590100874182191</v>
      </c>
      <c r="O1180">
        <v>3.5597297297297299</v>
      </c>
      <c r="P1180">
        <v>2.5202702702702702</v>
      </c>
      <c r="Q1180">
        <v>1179</v>
      </c>
      <c r="R1180">
        <v>13</v>
      </c>
      <c r="S1180" t="s">
        <v>24</v>
      </c>
      <c r="T1180" t="s">
        <v>922</v>
      </c>
      <c r="U1180">
        <v>5000</v>
      </c>
      <c r="V1180">
        <v>1000</v>
      </c>
    </row>
    <row r="1181" spans="1:22" x14ac:dyDescent="0.3">
      <c r="A1181" t="s">
        <v>1344</v>
      </c>
      <c r="B1181" t="s">
        <v>921</v>
      </c>
      <c r="C1181">
        <v>5.53</v>
      </c>
      <c r="D1181">
        <v>4.42</v>
      </c>
      <c r="E1181">
        <v>6.08</v>
      </c>
      <c r="F1181">
        <v>1.41</v>
      </c>
      <c r="G1181">
        <v>64.167561761546722</v>
      </c>
      <c r="H1181">
        <v>27.264927934111192</v>
      </c>
      <c r="I1181">
        <v>38.518781006378454</v>
      </c>
      <c r="J1181">
        <v>40.272381235731928</v>
      </c>
      <c r="K1181">
        <v>50.574712643678168</v>
      </c>
      <c r="L1181">
        <v>18.913458817293126</v>
      </c>
      <c r="M1181">
        <v>67.240928381586741</v>
      </c>
      <c r="N1181">
        <v>49.590100874182191</v>
      </c>
      <c r="O1181">
        <v>3.5597297297297299</v>
      </c>
      <c r="P1181">
        <v>2.5202702702702702</v>
      </c>
      <c r="Q1181">
        <v>1179</v>
      </c>
      <c r="R1181">
        <v>13</v>
      </c>
      <c r="S1181" t="s">
        <v>24</v>
      </c>
      <c r="T1181" t="s">
        <v>922</v>
      </c>
      <c r="U1181">
        <v>5000</v>
      </c>
      <c r="V1181">
        <v>1000</v>
      </c>
    </row>
    <row r="1182" spans="1:22" x14ac:dyDescent="0.3">
      <c r="A1182" t="s">
        <v>1345</v>
      </c>
      <c r="B1182" t="s">
        <v>410</v>
      </c>
      <c r="C1182">
        <v>5.38</v>
      </c>
      <c r="D1182">
        <v>4.47</v>
      </c>
      <c r="E1182">
        <v>4.16</v>
      </c>
      <c r="F1182">
        <v>1.19</v>
      </c>
      <c r="G1182">
        <v>63.845327604726101</v>
      </c>
      <c r="H1182">
        <v>27.350720658888129</v>
      </c>
      <c r="I1182">
        <v>31.715095676824944</v>
      </c>
      <c r="J1182">
        <v>36.831829557024129</v>
      </c>
      <c r="K1182">
        <v>59.003831417624518</v>
      </c>
      <c r="L1182">
        <v>19.930110842512956</v>
      </c>
      <c r="M1182">
        <v>65.480035420288203</v>
      </c>
      <c r="N1182">
        <v>49.536881487990243</v>
      </c>
      <c r="O1182">
        <v>4.4264935064935065</v>
      </c>
      <c r="P1182">
        <v>-0.26649350649350634</v>
      </c>
      <c r="Q1182">
        <v>1181</v>
      </c>
      <c r="R1182">
        <v>70</v>
      </c>
      <c r="S1182" t="s">
        <v>24</v>
      </c>
      <c r="T1182" t="s">
        <v>499</v>
      </c>
      <c r="U1182">
        <v>5000</v>
      </c>
      <c r="V1182">
        <v>1000</v>
      </c>
    </row>
    <row r="1183" spans="1:22" x14ac:dyDescent="0.3">
      <c r="A1183" t="s">
        <v>1346</v>
      </c>
      <c r="B1183" t="s">
        <v>410</v>
      </c>
      <c r="C1183">
        <v>5.38</v>
      </c>
      <c r="D1183">
        <v>4.47</v>
      </c>
      <c r="E1183">
        <v>4.16</v>
      </c>
      <c r="F1183">
        <v>1.19</v>
      </c>
      <c r="G1183">
        <v>63.845327604726101</v>
      </c>
      <c r="H1183">
        <v>27.350720658888129</v>
      </c>
      <c r="I1183">
        <v>31.715095676824944</v>
      </c>
      <c r="J1183">
        <v>36.831829557024129</v>
      </c>
      <c r="K1183">
        <v>59.003831417624518</v>
      </c>
      <c r="L1183">
        <v>19.930110842512956</v>
      </c>
      <c r="M1183">
        <v>65.480035420288203</v>
      </c>
      <c r="N1183">
        <v>49.536881487990243</v>
      </c>
      <c r="O1183">
        <v>4.4264935064935065</v>
      </c>
      <c r="P1183">
        <v>-0.26649350649350634</v>
      </c>
      <c r="Q1183">
        <v>1181</v>
      </c>
      <c r="R1183">
        <v>70</v>
      </c>
      <c r="S1183" t="s">
        <v>24</v>
      </c>
      <c r="T1183" t="s">
        <v>499</v>
      </c>
      <c r="U1183">
        <v>5000</v>
      </c>
      <c r="V1183">
        <v>1000</v>
      </c>
    </row>
    <row r="1184" spans="1:22" x14ac:dyDescent="0.3">
      <c r="A1184" t="s">
        <v>1347</v>
      </c>
      <c r="B1184" t="s">
        <v>410</v>
      </c>
      <c r="C1184">
        <v>5.38</v>
      </c>
      <c r="D1184">
        <v>4.47</v>
      </c>
      <c r="E1184">
        <v>4.1100000000000003</v>
      </c>
      <c r="F1184">
        <v>1.19</v>
      </c>
      <c r="G1184">
        <v>63.845327604726101</v>
      </c>
      <c r="H1184">
        <v>27.350720658888129</v>
      </c>
      <c r="I1184">
        <v>31.537916371367825</v>
      </c>
      <c r="J1184">
        <v>36.743239904295571</v>
      </c>
      <c r="K1184">
        <v>59.003831417624518</v>
      </c>
      <c r="L1184">
        <v>19.971470337572118</v>
      </c>
      <c r="M1184">
        <v>65.408398673470344</v>
      </c>
      <c r="N1184">
        <v>49.474677474921499</v>
      </c>
      <c r="O1184">
        <v>4.4264935064935065</v>
      </c>
      <c r="P1184">
        <v>-0.31649350649350616</v>
      </c>
      <c r="Q1184">
        <v>1183</v>
      </c>
      <c r="R1184">
        <v>72</v>
      </c>
      <c r="S1184" t="s">
        <v>24</v>
      </c>
      <c r="T1184" t="s">
        <v>499</v>
      </c>
      <c r="U1184">
        <v>5000</v>
      </c>
      <c r="V1184">
        <v>1000</v>
      </c>
    </row>
    <row r="1185" spans="1:22" x14ac:dyDescent="0.3">
      <c r="A1185" t="s">
        <v>1348</v>
      </c>
      <c r="B1185" t="s">
        <v>410</v>
      </c>
      <c r="C1185">
        <v>5.38</v>
      </c>
      <c r="D1185">
        <v>4.47</v>
      </c>
      <c r="E1185">
        <v>4.09</v>
      </c>
      <c r="F1185">
        <v>1.19</v>
      </c>
      <c r="G1185">
        <v>63.845327604726101</v>
      </c>
      <c r="H1185">
        <v>27.350720658888129</v>
      </c>
      <c r="I1185">
        <v>31.46704464918497</v>
      </c>
      <c r="J1185">
        <v>36.707804043204142</v>
      </c>
      <c r="K1185">
        <v>59.003831417624518</v>
      </c>
      <c r="L1185">
        <v>19.988136758559996</v>
      </c>
      <c r="M1185">
        <v>65.379531585538999</v>
      </c>
      <c r="N1185">
        <v>49.449742772392952</v>
      </c>
      <c r="O1185">
        <v>4.4264935064935065</v>
      </c>
      <c r="P1185">
        <v>-0.33649350649350662</v>
      </c>
      <c r="Q1185">
        <v>1184</v>
      </c>
      <c r="R1185">
        <v>73</v>
      </c>
      <c r="S1185" t="s">
        <v>24</v>
      </c>
      <c r="T1185" t="s">
        <v>499</v>
      </c>
      <c r="U1185">
        <v>5000</v>
      </c>
      <c r="V1185">
        <v>1000</v>
      </c>
    </row>
    <row r="1186" spans="1:22" x14ac:dyDescent="0.3">
      <c r="A1186" t="s">
        <v>1349</v>
      </c>
      <c r="B1186" t="s">
        <v>410</v>
      </c>
      <c r="C1186">
        <v>5.38</v>
      </c>
      <c r="D1186">
        <v>4.47</v>
      </c>
      <c r="E1186">
        <v>4.09</v>
      </c>
      <c r="F1186">
        <v>1.19</v>
      </c>
      <c r="G1186">
        <v>63.845327604726101</v>
      </c>
      <c r="H1186">
        <v>27.350720658888129</v>
      </c>
      <c r="I1186">
        <v>31.46704464918497</v>
      </c>
      <c r="J1186">
        <v>36.707804043204142</v>
      </c>
      <c r="K1186">
        <v>59.003831417624518</v>
      </c>
      <c r="L1186">
        <v>19.988136758559996</v>
      </c>
      <c r="M1186">
        <v>65.379531585538999</v>
      </c>
      <c r="N1186">
        <v>49.449742772392952</v>
      </c>
      <c r="O1186">
        <v>4.4264935064935065</v>
      </c>
      <c r="P1186">
        <v>-0.33649350649350662</v>
      </c>
      <c r="Q1186">
        <v>1184</v>
      </c>
      <c r="R1186">
        <v>73</v>
      </c>
      <c r="S1186" t="s">
        <v>24</v>
      </c>
      <c r="T1186" t="s">
        <v>499</v>
      </c>
      <c r="U1186">
        <v>5000</v>
      </c>
      <c r="V1186">
        <v>1000</v>
      </c>
    </row>
    <row r="1187" spans="1:22" x14ac:dyDescent="0.3">
      <c r="A1187" t="s">
        <v>1350</v>
      </c>
      <c r="B1187" t="s">
        <v>755</v>
      </c>
      <c r="C1187">
        <v>21.76</v>
      </c>
      <c r="D1187">
        <v>15.95</v>
      </c>
      <c r="E1187">
        <v>12.53</v>
      </c>
      <c r="F1187">
        <v>2.34</v>
      </c>
      <c r="G1187">
        <v>99.033297529538132</v>
      </c>
      <c r="H1187">
        <v>47.048730267673307</v>
      </c>
      <c r="I1187">
        <v>61.374911410347266</v>
      </c>
      <c r="J1187">
        <v>64.608734291383257</v>
      </c>
      <c r="K1187">
        <v>14.942528735632177</v>
      </c>
      <c r="L1187">
        <v>26.850787526123334</v>
      </c>
      <c r="M1187">
        <v>53.493071781517742</v>
      </c>
      <c r="N1187">
        <v>49.413267274979106</v>
      </c>
      <c r="O1187">
        <v>11.035555555555554</v>
      </c>
      <c r="P1187">
        <v>1.4944444444444454</v>
      </c>
      <c r="Q1187">
        <v>1186</v>
      </c>
      <c r="R1187">
        <v>13</v>
      </c>
      <c r="S1187" t="s">
        <v>24</v>
      </c>
      <c r="T1187" t="s">
        <v>1351</v>
      </c>
      <c r="U1187">
        <v>5000</v>
      </c>
      <c r="V1187">
        <v>1000</v>
      </c>
    </row>
    <row r="1188" spans="1:22" x14ac:dyDescent="0.3">
      <c r="A1188" t="s">
        <v>1352</v>
      </c>
      <c r="B1188" t="s">
        <v>1019</v>
      </c>
      <c r="C1188">
        <v>8.9499999999999993</v>
      </c>
      <c r="D1188">
        <v>11.57</v>
      </c>
      <c r="E1188">
        <v>8.49</v>
      </c>
      <c r="F1188">
        <v>2.02</v>
      </c>
      <c r="G1188">
        <v>71.514500537056918</v>
      </c>
      <c r="H1188">
        <v>39.533287577213457</v>
      </c>
      <c r="I1188">
        <v>47.058823529411761</v>
      </c>
      <c r="J1188">
        <v>49.692298145281299</v>
      </c>
      <c r="K1188">
        <v>27.203065134099624</v>
      </c>
      <c r="L1188">
        <v>16.720804464563262</v>
      </c>
      <c r="M1188">
        <v>71.038717123951912</v>
      </c>
      <c r="N1188">
        <v>49.406594637153532</v>
      </c>
      <c r="O1188">
        <v>8.7813636363636363</v>
      </c>
      <c r="P1188">
        <v>-0.29136363636363605</v>
      </c>
      <c r="Q1188">
        <v>1187</v>
      </c>
      <c r="R1188">
        <v>5</v>
      </c>
      <c r="S1188" t="s">
        <v>24</v>
      </c>
      <c r="T1188" t="s">
        <v>1020</v>
      </c>
      <c r="U1188">
        <v>5000</v>
      </c>
      <c r="V1188">
        <v>1000</v>
      </c>
    </row>
    <row r="1189" spans="1:22" x14ac:dyDescent="0.3">
      <c r="A1189" t="s">
        <v>1353</v>
      </c>
      <c r="B1189" t="s">
        <v>445</v>
      </c>
      <c r="C1189">
        <v>3.72</v>
      </c>
      <c r="D1189">
        <v>5.04</v>
      </c>
      <c r="E1189">
        <v>4.83</v>
      </c>
      <c r="F1189">
        <v>1.38</v>
      </c>
      <c r="G1189">
        <v>60.27926960257787</v>
      </c>
      <c r="H1189">
        <v>28.328757721345234</v>
      </c>
      <c r="I1189">
        <v>34.089298369950392</v>
      </c>
      <c r="J1189">
        <v>37.599130421894344</v>
      </c>
      <c r="K1189">
        <v>51.724137931034477</v>
      </c>
      <c r="L1189">
        <v>17.029061586999223</v>
      </c>
      <c r="M1189">
        <v>70.504800126097848</v>
      </c>
      <c r="N1189">
        <v>49.356799725230253</v>
      </c>
      <c r="O1189">
        <v>5.7759259259259252</v>
      </c>
      <c r="P1189">
        <v>-0.94592592592592517</v>
      </c>
      <c r="Q1189">
        <v>1188</v>
      </c>
      <c r="R1189">
        <v>17</v>
      </c>
      <c r="S1189" t="s">
        <v>24</v>
      </c>
      <c r="T1189" t="s">
        <v>612</v>
      </c>
      <c r="U1189">
        <v>10000</v>
      </c>
      <c r="V1189">
        <v>1000</v>
      </c>
    </row>
    <row r="1190" spans="1:22" x14ac:dyDescent="0.3">
      <c r="A1190" t="s">
        <v>1354</v>
      </c>
      <c r="B1190" t="s">
        <v>445</v>
      </c>
      <c r="C1190">
        <v>2.96</v>
      </c>
      <c r="D1190">
        <v>8.98</v>
      </c>
      <c r="E1190">
        <v>6.7</v>
      </c>
      <c r="F1190">
        <v>1.86</v>
      </c>
      <c r="G1190">
        <v>58.646616541353382</v>
      </c>
      <c r="H1190">
        <v>35.089224433768017</v>
      </c>
      <c r="I1190">
        <v>40.715804394046771</v>
      </c>
      <c r="J1190">
        <v>42.613992835424469</v>
      </c>
      <c r="K1190">
        <v>33.333333333333329</v>
      </c>
      <c r="L1190">
        <v>12.302595588072286</v>
      </c>
      <c r="M1190">
        <v>78.691279376486094</v>
      </c>
      <c r="N1190">
        <v>49.31314959516709</v>
      </c>
      <c r="O1190">
        <v>5.7759259259259252</v>
      </c>
      <c r="P1190">
        <v>0.92407407407407494</v>
      </c>
      <c r="Q1190">
        <v>1189</v>
      </c>
      <c r="R1190">
        <v>18</v>
      </c>
      <c r="S1190" t="s">
        <v>24</v>
      </c>
      <c r="T1190" t="s">
        <v>612</v>
      </c>
      <c r="U1190">
        <v>1000</v>
      </c>
      <c r="V1190">
        <v>1000</v>
      </c>
    </row>
    <row r="1191" spans="1:22" x14ac:dyDescent="0.3">
      <c r="A1191" t="s">
        <v>1355</v>
      </c>
      <c r="B1191" t="s">
        <v>445</v>
      </c>
      <c r="C1191">
        <v>2.96</v>
      </c>
      <c r="D1191">
        <v>8.98</v>
      </c>
      <c r="E1191">
        <v>6.7</v>
      </c>
      <c r="F1191">
        <v>1.86</v>
      </c>
      <c r="G1191">
        <v>58.646616541353382</v>
      </c>
      <c r="H1191">
        <v>35.089224433768017</v>
      </c>
      <c r="I1191">
        <v>40.715804394046771</v>
      </c>
      <c r="J1191">
        <v>42.613992835424469</v>
      </c>
      <c r="K1191">
        <v>33.333333333333329</v>
      </c>
      <c r="L1191">
        <v>12.302595588072286</v>
      </c>
      <c r="M1191">
        <v>78.691279376486094</v>
      </c>
      <c r="N1191">
        <v>49.31314959516709</v>
      </c>
      <c r="O1191">
        <v>5.7759259259259252</v>
      </c>
      <c r="P1191">
        <v>0.92407407407407494</v>
      </c>
      <c r="Q1191">
        <v>1189</v>
      </c>
      <c r="R1191">
        <v>18</v>
      </c>
      <c r="S1191" t="s">
        <v>24</v>
      </c>
      <c r="T1191" t="s">
        <v>612</v>
      </c>
      <c r="U1191">
        <v>1000</v>
      </c>
      <c r="V1191">
        <v>1000</v>
      </c>
    </row>
    <row r="1192" spans="1:22" x14ac:dyDescent="0.3">
      <c r="A1192" t="s">
        <v>1356</v>
      </c>
      <c r="B1192" t="s">
        <v>138</v>
      </c>
      <c r="C1192">
        <v>6.5</v>
      </c>
      <c r="D1192">
        <v>14.17</v>
      </c>
      <c r="E1192">
        <v>11</v>
      </c>
      <c r="F1192">
        <v>2.5299999999999998</v>
      </c>
      <c r="G1192">
        <v>66.251342642320083</v>
      </c>
      <c r="H1192">
        <v>43.994509265614276</v>
      </c>
      <c r="I1192">
        <v>55.953224663359322</v>
      </c>
      <c r="J1192">
        <v>54.425233639827965</v>
      </c>
      <c r="K1192">
        <v>7.6628352490421436</v>
      </c>
      <c r="L1192">
        <v>11.138736761345553</v>
      </c>
      <c r="M1192">
        <v>80.707141997214293</v>
      </c>
      <c r="N1192">
        <v>49.305111131478093</v>
      </c>
      <c r="O1192">
        <v>9.219019607843137</v>
      </c>
      <c r="P1192">
        <v>1.780980392156863</v>
      </c>
      <c r="Q1192">
        <v>1191</v>
      </c>
      <c r="R1192">
        <v>37</v>
      </c>
      <c r="S1192" t="s">
        <v>24</v>
      </c>
      <c r="T1192" t="s">
        <v>134</v>
      </c>
      <c r="U1192">
        <v>5000</v>
      </c>
      <c r="V1192">
        <v>1000</v>
      </c>
    </row>
    <row r="1193" spans="1:22" x14ac:dyDescent="0.3">
      <c r="A1193" t="s">
        <v>1357</v>
      </c>
      <c r="B1193" t="s">
        <v>976</v>
      </c>
      <c r="C1193">
        <v>3.65</v>
      </c>
      <c r="D1193">
        <v>2.64</v>
      </c>
      <c r="E1193">
        <v>2.97</v>
      </c>
      <c r="F1193">
        <v>1.02</v>
      </c>
      <c r="G1193">
        <v>60.128893662728245</v>
      </c>
      <c r="H1193">
        <v>24.210706932052169</v>
      </c>
      <c r="I1193">
        <v>27.498228206945431</v>
      </c>
      <c r="J1193">
        <v>33.038104915634015</v>
      </c>
      <c r="K1193">
        <v>65.517241379310349</v>
      </c>
      <c r="L1193">
        <v>19.856502974423805</v>
      </c>
      <c r="M1193">
        <v>65.60752798765543</v>
      </c>
      <c r="N1193">
        <v>49.300244799558456</v>
      </c>
      <c r="O1193">
        <v>4.3111111111111109</v>
      </c>
      <c r="P1193">
        <v>-1.3411111111111107</v>
      </c>
      <c r="Q1193">
        <v>1192</v>
      </c>
      <c r="R1193">
        <v>19</v>
      </c>
      <c r="S1193" t="s">
        <v>24</v>
      </c>
      <c r="T1193" t="s">
        <v>977</v>
      </c>
      <c r="U1193">
        <v>25000</v>
      </c>
      <c r="V1193">
        <v>1000</v>
      </c>
    </row>
    <row r="1194" spans="1:22" x14ac:dyDescent="0.3">
      <c r="A1194" t="s">
        <v>1358</v>
      </c>
      <c r="B1194" t="s">
        <v>976</v>
      </c>
      <c r="C1194">
        <v>4.92</v>
      </c>
      <c r="D1194">
        <v>2.9</v>
      </c>
      <c r="E1194">
        <v>5.79</v>
      </c>
      <c r="F1194">
        <v>1.34</v>
      </c>
      <c r="G1194">
        <v>62.857142857142854</v>
      </c>
      <c r="H1194">
        <v>24.656829100892246</v>
      </c>
      <c r="I1194">
        <v>37.491141034727136</v>
      </c>
      <c r="J1194">
        <v>38.714047819059815</v>
      </c>
      <c r="K1194">
        <v>53.256704980842919</v>
      </c>
      <c r="L1194">
        <v>19.439725573962217</v>
      </c>
      <c r="M1194">
        <v>66.329407620701389</v>
      </c>
      <c r="N1194">
        <v>49.25355205991599</v>
      </c>
      <c r="O1194">
        <v>4.3111111111111109</v>
      </c>
      <c r="P1194">
        <v>1.4788888888888891</v>
      </c>
      <c r="Q1194">
        <v>1193</v>
      </c>
      <c r="R1194">
        <v>20</v>
      </c>
      <c r="S1194" t="s">
        <v>24</v>
      </c>
      <c r="T1194" t="s">
        <v>977</v>
      </c>
      <c r="U1194">
        <v>5000</v>
      </c>
      <c r="V1194">
        <v>1000</v>
      </c>
    </row>
    <row r="1195" spans="1:22" x14ac:dyDescent="0.3">
      <c r="A1195" t="s">
        <v>1359</v>
      </c>
      <c r="B1195" t="s">
        <v>755</v>
      </c>
      <c r="C1195">
        <v>21.77</v>
      </c>
      <c r="D1195">
        <v>15.96</v>
      </c>
      <c r="E1195">
        <v>12.3</v>
      </c>
      <c r="F1195">
        <v>2.34</v>
      </c>
      <c r="G1195">
        <v>99.054779806659511</v>
      </c>
      <c r="H1195">
        <v>47.0658888126287</v>
      </c>
      <c r="I1195">
        <v>60.559886605244508</v>
      </c>
      <c r="J1195">
        <v>64.210665907742765</v>
      </c>
      <c r="K1195">
        <v>14.942528735632177</v>
      </c>
      <c r="L1195">
        <v>26.977736394431751</v>
      </c>
      <c r="M1195">
        <v>53.273189891644193</v>
      </c>
      <c r="N1195">
        <v>49.159262610690476</v>
      </c>
      <c r="O1195">
        <v>11.035555555555554</v>
      </c>
      <c r="P1195">
        <v>1.2644444444444467</v>
      </c>
      <c r="Q1195">
        <v>1194</v>
      </c>
      <c r="R1195">
        <v>14</v>
      </c>
      <c r="S1195" t="s">
        <v>24</v>
      </c>
      <c r="T1195" t="s">
        <v>1351</v>
      </c>
      <c r="U1195">
        <v>5000</v>
      </c>
      <c r="V1195">
        <v>1000</v>
      </c>
    </row>
    <row r="1196" spans="1:22" x14ac:dyDescent="0.3">
      <c r="A1196" t="s">
        <v>1360</v>
      </c>
      <c r="B1196" t="s">
        <v>965</v>
      </c>
      <c r="C1196">
        <v>3.71</v>
      </c>
      <c r="D1196">
        <v>1.1299999999999999</v>
      </c>
      <c r="E1196">
        <v>3.57</v>
      </c>
      <c r="F1196">
        <v>1.03</v>
      </c>
      <c r="G1196">
        <v>60.257787325456491</v>
      </c>
      <c r="H1196">
        <v>21.619766643788608</v>
      </c>
      <c r="I1196">
        <v>29.624379872430893</v>
      </c>
      <c r="J1196">
        <v>33.349677394443333</v>
      </c>
      <c r="K1196">
        <v>65.134099616858236</v>
      </c>
      <c r="L1196">
        <v>20.393528905514099</v>
      </c>
      <c r="M1196">
        <v>64.677371790025063</v>
      </c>
      <c r="N1196">
        <v>49.127706548942491</v>
      </c>
      <c r="O1196">
        <v>4.3271875</v>
      </c>
      <c r="P1196">
        <v>-0.75718750000000012</v>
      </c>
      <c r="Q1196">
        <v>1195</v>
      </c>
      <c r="R1196">
        <v>11</v>
      </c>
      <c r="S1196" t="s">
        <v>24</v>
      </c>
      <c r="T1196" t="s">
        <v>966</v>
      </c>
      <c r="U1196">
        <v>5000</v>
      </c>
      <c r="V1196">
        <v>1000</v>
      </c>
    </row>
    <row r="1197" spans="1:22" x14ac:dyDescent="0.3">
      <c r="A1197" t="s">
        <v>1361</v>
      </c>
      <c r="B1197" t="s">
        <v>965</v>
      </c>
      <c r="C1197">
        <v>3.71</v>
      </c>
      <c r="D1197">
        <v>1.1299999999999999</v>
      </c>
      <c r="E1197">
        <v>3.57</v>
      </c>
      <c r="F1197">
        <v>1.03</v>
      </c>
      <c r="G1197">
        <v>60.257787325456491</v>
      </c>
      <c r="H1197">
        <v>21.619766643788608</v>
      </c>
      <c r="I1197">
        <v>29.624379872430893</v>
      </c>
      <c r="J1197">
        <v>33.349677394443333</v>
      </c>
      <c r="K1197">
        <v>65.134099616858236</v>
      </c>
      <c r="L1197">
        <v>20.393528905514099</v>
      </c>
      <c r="M1197">
        <v>64.677371790025063</v>
      </c>
      <c r="N1197">
        <v>49.127706548942491</v>
      </c>
      <c r="O1197">
        <v>4.3271875</v>
      </c>
      <c r="P1197">
        <v>-0.75718750000000012</v>
      </c>
      <c r="Q1197">
        <v>1195</v>
      </c>
      <c r="R1197">
        <v>11</v>
      </c>
      <c r="S1197" t="s">
        <v>24</v>
      </c>
      <c r="T1197" t="s">
        <v>966</v>
      </c>
      <c r="U1197">
        <v>5000</v>
      </c>
      <c r="V1197">
        <v>1000</v>
      </c>
    </row>
    <row r="1198" spans="1:22" x14ac:dyDescent="0.3">
      <c r="A1198" t="s">
        <v>1362</v>
      </c>
      <c r="B1198" t="s">
        <v>1019</v>
      </c>
      <c r="C1198">
        <v>6.15</v>
      </c>
      <c r="D1198">
        <v>8.81</v>
      </c>
      <c r="E1198">
        <v>8.2200000000000006</v>
      </c>
      <c r="F1198">
        <v>1.95</v>
      </c>
      <c r="G1198">
        <v>65.499462943071961</v>
      </c>
      <c r="H1198">
        <v>34.797529169526427</v>
      </c>
      <c r="I1198">
        <v>46.102055279943301</v>
      </c>
      <c r="J1198">
        <v>46.590178979443969</v>
      </c>
      <c r="K1198">
        <v>29.885057471264375</v>
      </c>
      <c r="L1198">
        <v>15.527719686987071</v>
      </c>
      <c r="M1198">
        <v>73.105200576450898</v>
      </c>
      <c r="N1198">
        <v>49.042654001650803</v>
      </c>
      <c r="O1198">
        <v>8.7813636363636363</v>
      </c>
      <c r="P1198">
        <v>-0.56136363636363562</v>
      </c>
      <c r="Q1198">
        <v>1197</v>
      </c>
      <c r="R1198">
        <v>6</v>
      </c>
      <c r="S1198" t="s">
        <v>24</v>
      </c>
      <c r="T1198" t="s">
        <v>1020</v>
      </c>
      <c r="U1198">
        <v>5000</v>
      </c>
      <c r="V1198">
        <v>1000</v>
      </c>
    </row>
    <row r="1199" spans="1:22" x14ac:dyDescent="0.3">
      <c r="A1199" t="s">
        <v>1363</v>
      </c>
      <c r="B1199" t="s">
        <v>155</v>
      </c>
      <c r="C1199">
        <v>4.26</v>
      </c>
      <c r="D1199">
        <v>2.5499999999999998</v>
      </c>
      <c r="E1199">
        <v>4.32</v>
      </c>
      <c r="F1199">
        <v>1.2</v>
      </c>
      <c r="G1199">
        <v>61.439312567132106</v>
      </c>
      <c r="H1199">
        <v>24.056280027453674</v>
      </c>
      <c r="I1199">
        <v>32.282069454287736</v>
      </c>
      <c r="J1199">
        <v>35.645781248806394</v>
      </c>
      <c r="K1199">
        <v>58.62068965517242</v>
      </c>
      <c r="L1199">
        <v>19.643911522822123</v>
      </c>
      <c r="M1199">
        <v>65.975747183084366</v>
      </c>
      <c r="N1199">
        <v>48.971999833967395</v>
      </c>
      <c r="O1199">
        <v>5.2086538461538465</v>
      </c>
      <c r="P1199">
        <v>-0.88865384615384624</v>
      </c>
      <c r="Q1199">
        <v>1198</v>
      </c>
      <c r="R1199">
        <v>42</v>
      </c>
      <c r="S1199" t="s">
        <v>24</v>
      </c>
      <c r="T1199" t="s">
        <v>577</v>
      </c>
      <c r="U1199">
        <v>1000</v>
      </c>
      <c r="V1199">
        <v>1000</v>
      </c>
    </row>
    <row r="1200" spans="1:22" x14ac:dyDescent="0.3">
      <c r="A1200" t="s">
        <v>1364</v>
      </c>
      <c r="B1200" t="s">
        <v>445</v>
      </c>
      <c r="C1200">
        <v>3.7</v>
      </c>
      <c r="D1200">
        <v>8.8699999999999992</v>
      </c>
      <c r="E1200">
        <v>6.07</v>
      </c>
      <c r="F1200">
        <v>1.79</v>
      </c>
      <c r="G1200">
        <v>60.236305048335126</v>
      </c>
      <c r="H1200">
        <v>34.90048043925875</v>
      </c>
      <c r="I1200">
        <v>38.483345145287032</v>
      </c>
      <c r="J1200">
        <v>41.759077714088164</v>
      </c>
      <c r="K1200">
        <v>36.015325670498079</v>
      </c>
      <c r="L1200">
        <v>13.710897081440983</v>
      </c>
      <c r="M1200">
        <v>76.25202963759638</v>
      </c>
      <c r="N1200">
        <v>48.946377684067699</v>
      </c>
      <c r="O1200">
        <v>5.7759259259259252</v>
      </c>
      <c r="P1200">
        <v>0.29407407407407504</v>
      </c>
      <c r="Q1200">
        <v>1199</v>
      </c>
      <c r="R1200">
        <v>20</v>
      </c>
      <c r="S1200" t="s">
        <v>24</v>
      </c>
      <c r="T1200" t="s">
        <v>443</v>
      </c>
      <c r="U1200">
        <v>5000</v>
      </c>
      <c r="V1200">
        <v>1000</v>
      </c>
    </row>
    <row r="1201" spans="1:22" x14ac:dyDescent="0.3">
      <c r="A1201" t="s">
        <v>1365</v>
      </c>
      <c r="B1201" t="s">
        <v>155</v>
      </c>
      <c r="C1201">
        <v>4.26</v>
      </c>
      <c r="D1201">
        <v>2.5499999999999998</v>
      </c>
      <c r="E1201">
        <v>4.29</v>
      </c>
      <c r="F1201">
        <v>1.2</v>
      </c>
      <c r="G1201">
        <v>61.439312567132106</v>
      </c>
      <c r="H1201">
        <v>24.056280027453674</v>
      </c>
      <c r="I1201">
        <v>32.175761871013464</v>
      </c>
      <c r="J1201">
        <v>35.592627457169257</v>
      </c>
      <c r="K1201">
        <v>58.62068965517242</v>
      </c>
      <c r="L1201">
        <v>19.662877487857077</v>
      </c>
      <c r="M1201">
        <v>65.942897168029248</v>
      </c>
      <c r="N1201">
        <v>48.937210434385044</v>
      </c>
      <c r="O1201">
        <v>5.2086538461538465</v>
      </c>
      <c r="P1201">
        <v>-0.91865384615384649</v>
      </c>
      <c r="Q1201">
        <v>1200</v>
      </c>
      <c r="R1201">
        <v>43</v>
      </c>
      <c r="S1201" t="s">
        <v>24</v>
      </c>
      <c r="T1201" t="s">
        <v>577</v>
      </c>
      <c r="U1201">
        <v>1000</v>
      </c>
      <c r="V1201">
        <v>1000</v>
      </c>
    </row>
    <row r="1202" spans="1:22" x14ac:dyDescent="0.3">
      <c r="A1202" t="s">
        <v>1366</v>
      </c>
      <c r="B1202" t="s">
        <v>1331</v>
      </c>
      <c r="C1202">
        <v>5.0999999999999996</v>
      </c>
      <c r="D1202">
        <v>4.59</v>
      </c>
      <c r="E1202">
        <v>6.49</v>
      </c>
      <c r="F1202">
        <v>1.55</v>
      </c>
      <c r="G1202">
        <v>63.243823845327597</v>
      </c>
      <c r="H1202">
        <v>27.556623198352781</v>
      </c>
      <c r="I1202">
        <v>39.971651311126855</v>
      </c>
      <c r="J1202">
        <v>40.901577384134782</v>
      </c>
      <c r="K1202">
        <v>45.21072796934866</v>
      </c>
      <c r="L1202">
        <v>18.116765842353583</v>
      </c>
      <c r="M1202">
        <v>68.620841092215215</v>
      </c>
      <c r="N1202">
        <v>48.908680957458358</v>
      </c>
      <c r="O1202">
        <v>4.7778125000000005</v>
      </c>
      <c r="P1202">
        <v>1.7121874999999998</v>
      </c>
      <c r="Q1202">
        <v>1201</v>
      </c>
      <c r="R1202">
        <v>4</v>
      </c>
      <c r="S1202" t="s">
        <v>24</v>
      </c>
      <c r="T1202" t="s">
        <v>1332</v>
      </c>
      <c r="U1202">
        <v>1000</v>
      </c>
      <c r="V1202">
        <v>1000</v>
      </c>
    </row>
    <row r="1203" spans="1:22" x14ac:dyDescent="0.3">
      <c r="A1203" t="s">
        <v>1367</v>
      </c>
      <c r="B1203" t="s">
        <v>1019</v>
      </c>
      <c r="C1203">
        <v>8.9499999999999993</v>
      </c>
      <c r="D1203">
        <v>11.58</v>
      </c>
      <c r="E1203">
        <v>8.0500000000000007</v>
      </c>
      <c r="F1203">
        <v>2.02</v>
      </c>
      <c r="G1203">
        <v>71.514500537056918</v>
      </c>
      <c r="H1203">
        <v>39.55044612216885</v>
      </c>
      <c r="I1203">
        <v>45.499645641389087</v>
      </c>
      <c r="J1203">
        <v>48.917856764756579</v>
      </c>
      <c r="K1203">
        <v>27.203065134099624</v>
      </c>
      <c r="L1203">
        <v>16.99934520699777</v>
      </c>
      <c r="M1203">
        <v>70.556270406077388</v>
      </c>
      <c r="N1203">
        <v>48.898762267422541</v>
      </c>
      <c r="O1203">
        <v>8.7813636363636363</v>
      </c>
      <c r="P1203">
        <v>-0.73136363636363555</v>
      </c>
      <c r="Q1203">
        <v>1202</v>
      </c>
      <c r="R1203">
        <v>7</v>
      </c>
      <c r="S1203" t="s">
        <v>24</v>
      </c>
      <c r="T1203" t="s">
        <v>1020</v>
      </c>
      <c r="U1203">
        <v>5000</v>
      </c>
      <c r="V1203">
        <v>1000</v>
      </c>
    </row>
    <row r="1204" spans="1:22" x14ac:dyDescent="0.3">
      <c r="A1204" t="s">
        <v>1368</v>
      </c>
      <c r="B1204" t="s">
        <v>921</v>
      </c>
      <c r="C1204">
        <v>5.0199999999999996</v>
      </c>
      <c r="D1204">
        <v>3.01</v>
      </c>
      <c r="E1204">
        <v>5.32</v>
      </c>
      <c r="F1204">
        <v>1.33</v>
      </c>
      <c r="G1204">
        <v>63.071965628356594</v>
      </c>
      <c r="H1204">
        <v>24.845573095401512</v>
      </c>
      <c r="I1204">
        <v>35.825655563430189</v>
      </c>
      <c r="J1204">
        <v>37.980892836006866</v>
      </c>
      <c r="K1204">
        <v>53.639846743295003</v>
      </c>
      <c r="L1204">
        <v>19.681551045087819</v>
      </c>
      <c r="M1204">
        <v>65.91055361814756</v>
      </c>
      <c r="N1204">
        <v>48.878046508364072</v>
      </c>
      <c r="O1204">
        <v>3.5597297297297299</v>
      </c>
      <c r="P1204">
        <v>1.7602702702702704</v>
      </c>
      <c r="Q1204">
        <v>1203</v>
      </c>
      <c r="R1204">
        <v>15</v>
      </c>
      <c r="S1204" t="s">
        <v>24</v>
      </c>
      <c r="T1204" t="s">
        <v>221</v>
      </c>
      <c r="U1204">
        <v>1000</v>
      </c>
      <c r="V1204">
        <v>1000</v>
      </c>
    </row>
    <row r="1205" spans="1:22" x14ac:dyDescent="0.3">
      <c r="A1205" t="s">
        <v>1369</v>
      </c>
      <c r="B1205" t="s">
        <v>1331</v>
      </c>
      <c r="C1205">
        <v>5.0999999999999996</v>
      </c>
      <c r="D1205">
        <v>4.59</v>
      </c>
      <c r="E1205">
        <v>6.46</v>
      </c>
      <c r="F1205">
        <v>1.55</v>
      </c>
      <c r="G1205">
        <v>63.243823845327597</v>
      </c>
      <c r="H1205">
        <v>27.556623198352781</v>
      </c>
      <c r="I1205">
        <v>39.86534372785259</v>
      </c>
      <c r="J1205">
        <v>40.848423592497653</v>
      </c>
      <c r="K1205">
        <v>45.21072796934866</v>
      </c>
      <c r="L1205">
        <v>18.127484766204898</v>
      </c>
      <c r="M1205">
        <v>68.602275371502287</v>
      </c>
      <c r="N1205">
        <v>48.877462631461562</v>
      </c>
      <c r="O1205">
        <v>4.7778125000000005</v>
      </c>
      <c r="P1205">
        <v>1.6821874999999995</v>
      </c>
      <c r="Q1205">
        <v>1204</v>
      </c>
      <c r="R1205">
        <v>5</v>
      </c>
      <c r="S1205" t="s">
        <v>24</v>
      </c>
      <c r="T1205" t="s">
        <v>1332</v>
      </c>
      <c r="U1205">
        <v>1000</v>
      </c>
      <c r="V1205">
        <v>1000</v>
      </c>
    </row>
    <row r="1206" spans="1:22" x14ac:dyDescent="0.3">
      <c r="A1206" t="s">
        <v>1370</v>
      </c>
      <c r="B1206" t="s">
        <v>445</v>
      </c>
      <c r="C1206">
        <v>3.04</v>
      </c>
      <c r="D1206">
        <v>4.45</v>
      </c>
      <c r="E1206">
        <v>4.51</v>
      </c>
      <c r="F1206">
        <v>1.38</v>
      </c>
      <c r="G1206">
        <v>58.818474758324378</v>
      </c>
      <c r="H1206">
        <v>27.316403568977353</v>
      </c>
      <c r="I1206">
        <v>32.955350815024801</v>
      </c>
      <c r="J1206">
        <v>36.436291429870479</v>
      </c>
      <c r="K1206">
        <v>51.724137931034477</v>
      </c>
      <c r="L1206">
        <v>16.798211191318703</v>
      </c>
      <c r="M1206">
        <v>70.904644740363892</v>
      </c>
      <c r="N1206">
        <v>48.875341382784832</v>
      </c>
      <c r="O1206">
        <v>5.7759259259259252</v>
      </c>
      <c r="P1206">
        <v>-1.2659259259259255</v>
      </c>
      <c r="Q1206">
        <v>1205</v>
      </c>
      <c r="R1206">
        <v>21</v>
      </c>
      <c r="S1206" t="s">
        <v>24</v>
      </c>
      <c r="T1206" t="s">
        <v>612</v>
      </c>
      <c r="U1206">
        <v>10000</v>
      </c>
      <c r="V1206">
        <v>1000</v>
      </c>
    </row>
    <row r="1207" spans="1:22" x14ac:dyDescent="0.3">
      <c r="A1207" t="s">
        <v>1371</v>
      </c>
      <c r="B1207" t="s">
        <v>520</v>
      </c>
      <c r="C1207">
        <v>3.85</v>
      </c>
      <c r="D1207">
        <v>1.4</v>
      </c>
      <c r="E1207">
        <v>4</v>
      </c>
      <c r="F1207">
        <v>1.1200000000000001</v>
      </c>
      <c r="G1207">
        <v>60.558539205155746</v>
      </c>
      <c r="H1207">
        <v>22.083047357584078</v>
      </c>
      <c r="I1207">
        <v>31.148121899362152</v>
      </c>
      <c r="J1207">
        <v>34.310682997987449</v>
      </c>
      <c r="K1207">
        <v>61.685823754789261</v>
      </c>
      <c r="L1207">
        <v>20.114305421189957</v>
      </c>
      <c r="M1207">
        <v>65.161001051540893</v>
      </c>
      <c r="N1207">
        <v>48.867047700576265</v>
      </c>
      <c r="O1207">
        <v>4.625</v>
      </c>
      <c r="P1207">
        <v>-0.625</v>
      </c>
      <c r="Q1207">
        <v>1206</v>
      </c>
      <c r="R1207">
        <v>28</v>
      </c>
      <c r="S1207" t="s">
        <v>24</v>
      </c>
      <c r="T1207" t="s">
        <v>521</v>
      </c>
      <c r="U1207">
        <v>5000</v>
      </c>
      <c r="V1207">
        <v>1000</v>
      </c>
    </row>
    <row r="1208" spans="1:22" x14ac:dyDescent="0.3">
      <c r="A1208" t="s">
        <v>1372</v>
      </c>
      <c r="B1208" t="s">
        <v>520</v>
      </c>
      <c r="C1208">
        <v>3.85</v>
      </c>
      <c r="D1208">
        <v>1.4</v>
      </c>
      <c r="E1208">
        <v>4</v>
      </c>
      <c r="F1208">
        <v>1.1200000000000001</v>
      </c>
      <c r="G1208">
        <v>60.558539205155746</v>
      </c>
      <c r="H1208">
        <v>22.083047357584078</v>
      </c>
      <c r="I1208">
        <v>31.148121899362152</v>
      </c>
      <c r="J1208">
        <v>34.310682997987449</v>
      </c>
      <c r="K1208">
        <v>61.685823754789261</v>
      </c>
      <c r="L1208">
        <v>20.114305421189957</v>
      </c>
      <c r="M1208">
        <v>65.161001051540893</v>
      </c>
      <c r="N1208">
        <v>48.867047700576265</v>
      </c>
      <c r="O1208">
        <v>4.625</v>
      </c>
      <c r="P1208">
        <v>-0.625</v>
      </c>
      <c r="Q1208">
        <v>1206</v>
      </c>
      <c r="R1208">
        <v>28</v>
      </c>
      <c r="S1208" t="s">
        <v>24</v>
      </c>
      <c r="T1208" t="s">
        <v>521</v>
      </c>
      <c r="U1208">
        <v>5000</v>
      </c>
      <c r="V1208">
        <v>1000</v>
      </c>
    </row>
    <row r="1209" spans="1:22" x14ac:dyDescent="0.3">
      <c r="A1209" t="s">
        <v>1373</v>
      </c>
      <c r="B1209" t="s">
        <v>202</v>
      </c>
      <c r="C1209">
        <v>-2.14</v>
      </c>
      <c r="D1209">
        <v>10.49</v>
      </c>
      <c r="E1209">
        <v>9.1300000000000008</v>
      </c>
      <c r="F1209">
        <v>2.33</v>
      </c>
      <c r="G1209">
        <v>47.690655209452196</v>
      </c>
      <c r="H1209">
        <v>37.68016472203157</v>
      </c>
      <c r="I1209">
        <v>49.326718639262936</v>
      </c>
      <c r="J1209">
        <v>45.505539778131379</v>
      </c>
      <c r="K1209">
        <v>15.325670498084287</v>
      </c>
      <c r="L1209">
        <v>6.3051413081188512</v>
      </c>
      <c r="M1209">
        <v>89.079174905436858</v>
      </c>
      <c r="N1209">
        <v>48.853981239945981</v>
      </c>
      <c r="O1209">
        <v>10.023387096774194</v>
      </c>
      <c r="P1209">
        <v>-0.89338709677419281</v>
      </c>
      <c r="Q1209">
        <v>1208</v>
      </c>
      <c r="R1209">
        <v>47</v>
      </c>
      <c r="S1209" t="s">
        <v>24</v>
      </c>
      <c r="T1209" t="s">
        <v>78</v>
      </c>
      <c r="U1209">
        <v>1000</v>
      </c>
      <c r="V1209">
        <v>1000</v>
      </c>
    </row>
    <row r="1210" spans="1:22" x14ac:dyDescent="0.3">
      <c r="A1210" t="s">
        <v>1374</v>
      </c>
      <c r="B1210" t="s">
        <v>155</v>
      </c>
      <c r="C1210">
        <v>4.2699999999999996</v>
      </c>
      <c r="D1210">
        <v>2.5499999999999998</v>
      </c>
      <c r="E1210">
        <v>4.2</v>
      </c>
      <c r="F1210">
        <v>1.2</v>
      </c>
      <c r="G1210">
        <v>61.460794844253485</v>
      </c>
      <c r="H1210">
        <v>24.056280027453674</v>
      </c>
      <c r="I1210">
        <v>31.856839121190646</v>
      </c>
      <c r="J1210">
        <v>35.437462537682123</v>
      </c>
      <c r="K1210">
        <v>58.62068965517242</v>
      </c>
      <c r="L1210">
        <v>19.732970064117499</v>
      </c>
      <c r="M1210">
        <v>65.821493264712814</v>
      </c>
      <c r="N1210">
        <v>48.829276998812368</v>
      </c>
      <c r="O1210">
        <v>5.2086538461538465</v>
      </c>
      <c r="P1210">
        <v>-1.0086538461538463</v>
      </c>
      <c r="Q1210">
        <v>1209</v>
      </c>
      <c r="R1210">
        <v>44</v>
      </c>
      <c r="S1210" t="s">
        <v>24</v>
      </c>
      <c r="T1210" t="s">
        <v>577</v>
      </c>
      <c r="U1210">
        <v>1000</v>
      </c>
      <c r="V1210">
        <v>1000</v>
      </c>
    </row>
    <row r="1211" spans="1:22" x14ac:dyDescent="0.3">
      <c r="A1211" t="s">
        <v>1375</v>
      </c>
      <c r="B1211" t="s">
        <v>328</v>
      </c>
      <c r="C1211">
        <v>9.82</v>
      </c>
      <c r="D1211">
        <v>17.93</v>
      </c>
      <c r="E1211">
        <v>8.69</v>
      </c>
      <c r="F1211">
        <v>2.41</v>
      </c>
      <c r="G1211">
        <v>73.383458646616546</v>
      </c>
      <c r="H1211">
        <v>50.446122168840077</v>
      </c>
      <c r="I1211">
        <v>47.767540751240247</v>
      </c>
      <c r="J1211">
        <v>53.694298755595455</v>
      </c>
      <c r="K1211">
        <v>12.260536398467426</v>
      </c>
      <c r="L1211">
        <v>14.079958882090208</v>
      </c>
      <c r="M1211">
        <v>75.612795847739065</v>
      </c>
      <c r="N1211">
        <v>48.815482439349353</v>
      </c>
      <c r="O1211">
        <v>10.248999999999999</v>
      </c>
      <c r="P1211">
        <v>-1.5589999999999993</v>
      </c>
      <c r="Q1211">
        <v>1210</v>
      </c>
      <c r="R1211">
        <v>9</v>
      </c>
      <c r="S1211" t="s">
        <v>24</v>
      </c>
      <c r="T1211" t="s">
        <v>78</v>
      </c>
      <c r="U1211">
        <v>1000</v>
      </c>
      <c r="V1211">
        <v>1000</v>
      </c>
    </row>
    <row r="1212" spans="1:22" x14ac:dyDescent="0.3">
      <c r="A1212" t="s">
        <v>1376</v>
      </c>
      <c r="B1212" t="s">
        <v>921</v>
      </c>
      <c r="C1212">
        <v>5.0199999999999996</v>
      </c>
      <c r="D1212">
        <v>3.01</v>
      </c>
      <c r="E1212">
        <v>5.26</v>
      </c>
      <c r="F1212">
        <v>1.33</v>
      </c>
      <c r="G1212">
        <v>63.071965628356594</v>
      </c>
      <c r="H1212">
        <v>24.845573095401512</v>
      </c>
      <c r="I1212">
        <v>35.613040396881637</v>
      </c>
      <c r="J1212">
        <v>37.874585252732587</v>
      </c>
      <c r="K1212">
        <v>53.639846743295003</v>
      </c>
      <c r="L1212">
        <v>19.71119822604966</v>
      </c>
      <c r="M1212">
        <v>65.859203194420459</v>
      </c>
      <c r="N1212">
        <v>48.812055110795157</v>
      </c>
      <c r="O1212">
        <v>3.5597297297297299</v>
      </c>
      <c r="P1212">
        <v>1.7002702702702699</v>
      </c>
      <c r="Q1212">
        <v>1211</v>
      </c>
      <c r="R1212">
        <v>16</v>
      </c>
      <c r="S1212" t="s">
        <v>24</v>
      </c>
      <c r="T1212" t="s">
        <v>221</v>
      </c>
      <c r="U1212">
        <v>1000</v>
      </c>
      <c r="V1212">
        <v>1000</v>
      </c>
    </row>
    <row r="1213" spans="1:22" x14ac:dyDescent="0.3">
      <c r="A1213" t="s">
        <v>1377</v>
      </c>
      <c r="B1213" t="s">
        <v>166</v>
      </c>
      <c r="C1213">
        <v>-8.6999999999999993</v>
      </c>
      <c r="D1213">
        <v>19.03</v>
      </c>
      <c r="E1213">
        <v>16.829999999999998</v>
      </c>
      <c r="F1213">
        <v>2.44</v>
      </c>
      <c r="G1213">
        <v>33.598281417830286</v>
      </c>
      <c r="H1213">
        <v>52.333562113932743</v>
      </c>
      <c r="I1213">
        <v>76.612331679659789</v>
      </c>
      <c r="J1213">
        <v>60.725890757575769</v>
      </c>
      <c r="K1213">
        <v>11.111111111111116</v>
      </c>
      <c r="L1213">
        <v>21.566478287358439</v>
      </c>
      <c r="M1213">
        <v>62.645763865964156</v>
      </c>
      <c r="N1213">
        <v>48.802164123056698</v>
      </c>
      <c r="O1213">
        <v>20.878999999999998</v>
      </c>
      <c r="P1213">
        <v>-4.0489999999999995</v>
      </c>
      <c r="Q1213">
        <v>1212</v>
      </c>
      <c r="R1213">
        <v>9</v>
      </c>
      <c r="S1213" t="s">
        <v>24</v>
      </c>
      <c r="T1213" t="s">
        <v>167</v>
      </c>
      <c r="U1213">
        <v>5000</v>
      </c>
      <c r="V1213">
        <v>1000</v>
      </c>
    </row>
    <row r="1214" spans="1:22" x14ac:dyDescent="0.3">
      <c r="A1214" t="s">
        <v>1378</v>
      </c>
      <c r="B1214" t="s">
        <v>844</v>
      </c>
      <c r="C1214">
        <v>3.13</v>
      </c>
      <c r="D1214">
        <v>2.67</v>
      </c>
      <c r="E1214">
        <v>3.9</v>
      </c>
      <c r="F1214">
        <v>1.21</v>
      </c>
      <c r="G1214">
        <v>59.011815252416753</v>
      </c>
      <c r="H1214">
        <v>24.262182566918327</v>
      </c>
      <c r="I1214">
        <v>30.793763288447906</v>
      </c>
      <c r="J1214">
        <v>34.477899464782801</v>
      </c>
      <c r="K1214">
        <v>58.237547892720308</v>
      </c>
      <c r="L1214">
        <v>18.468247413421789</v>
      </c>
      <c r="M1214">
        <v>68.012057153200956</v>
      </c>
      <c r="N1214">
        <v>48.801350993871722</v>
      </c>
      <c r="O1214">
        <v>4.4820000000000002</v>
      </c>
      <c r="P1214">
        <v>-0.58200000000000029</v>
      </c>
      <c r="Q1214">
        <v>1213</v>
      </c>
      <c r="R1214">
        <v>39</v>
      </c>
      <c r="S1214" t="s">
        <v>24</v>
      </c>
      <c r="T1214" t="s">
        <v>845</v>
      </c>
      <c r="U1214">
        <v>1000</v>
      </c>
      <c r="V1214">
        <v>1000</v>
      </c>
    </row>
    <row r="1215" spans="1:22" x14ac:dyDescent="0.3">
      <c r="A1215" t="s">
        <v>1379</v>
      </c>
      <c r="B1215" t="s">
        <v>520</v>
      </c>
      <c r="C1215">
        <v>3.83</v>
      </c>
      <c r="D1215">
        <v>1.97</v>
      </c>
      <c r="E1215">
        <v>3.67</v>
      </c>
      <c r="F1215">
        <v>1.1200000000000001</v>
      </c>
      <c r="G1215">
        <v>60.515574650912995</v>
      </c>
      <c r="H1215">
        <v>23.061084420041183</v>
      </c>
      <c r="I1215">
        <v>29.978738483345147</v>
      </c>
      <c r="J1215">
        <v>34.010809497867527</v>
      </c>
      <c r="K1215">
        <v>61.685823754789261</v>
      </c>
      <c r="L1215">
        <v>19.929840019925305</v>
      </c>
      <c r="M1215">
        <v>65.480504498769847</v>
      </c>
      <c r="N1215">
        <v>48.796986812323539</v>
      </c>
      <c r="O1215">
        <v>4.625</v>
      </c>
      <c r="P1215">
        <v>-0.95500000000000007</v>
      </c>
      <c r="Q1215">
        <v>1214</v>
      </c>
      <c r="R1215">
        <v>30</v>
      </c>
      <c r="S1215" t="s">
        <v>24</v>
      </c>
      <c r="T1215" t="s">
        <v>521</v>
      </c>
      <c r="U1215">
        <v>1000</v>
      </c>
      <c r="V1215">
        <v>1000</v>
      </c>
    </row>
    <row r="1216" spans="1:22" x14ac:dyDescent="0.3">
      <c r="A1216" t="s">
        <v>1380</v>
      </c>
      <c r="B1216" t="s">
        <v>170</v>
      </c>
      <c r="C1216">
        <v>-0.38</v>
      </c>
      <c r="D1216">
        <v>7.13</v>
      </c>
      <c r="E1216">
        <v>7.94</v>
      </c>
      <c r="F1216">
        <v>2.0099999999999998</v>
      </c>
      <c r="G1216">
        <v>51.471535982814174</v>
      </c>
      <c r="H1216">
        <v>31.914893617021278</v>
      </c>
      <c r="I1216">
        <v>45.109851169383411</v>
      </c>
      <c r="J1216">
        <v>42.423700866360925</v>
      </c>
      <c r="K1216">
        <v>27.586206896551737</v>
      </c>
      <c r="L1216">
        <v>9.9753044990917417</v>
      </c>
      <c r="M1216">
        <v>82.722265786602691</v>
      </c>
      <c r="N1216">
        <v>48.788968603969067</v>
      </c>
      <c r="O1216">
        <v>6.9120588235294118</v>
      </c>
      <c r="P1216">
        <v>1.0279411764705886</v>
      </c>
      <c r="Q1216">
        <v>1215</v>
      </c>
      <c r="R1216">
        <v>16</v>
      </c>
      <c r="S1216" t="s">
        <v>24</v>
      </c>
      <c r="T1216" t="s">
        <v>45</v>
      </c>
      <c r="U1216">
        <v>1000</v>
      </c>
      <c r="V1216">
        <v>1000</v>
      </c>
    </row>
    <row r="1217" spans="1:22" x14ac:dyDescent="0.3">
      <c r="A1217" t="s">
        <v>1381</v>
      </c>
      <c r="B1217" t="s">
        <v>170</v>
      </c>
      <c r="C1217">
        <v>-0.38</v>
      </c>
      <c r="D1217">
        <v>7.13</v>
      </c>
      <c r="E1217">
        <v>7.94</v>
      </c>
      <c r="F1217">
        <v>2.0099999999999998</v>
      </c>
      <c r="G1217">
        <v>51.471535982814174</v>
      </c>
      <c r="H1217">
        <v>31.914893617021278</v>
      </c>
      <c r="I1217">
        <v>45.109851169383411</v>
      </c>
      <c r="J1217">
        <v>42.423700866360925</v>
      </c>
      <c r="K1217">
        <v>27.586206896551737</v>
      </c>
      <c r="L1217">
        <v>9.9753044990917417</v>
      </c>
      <c r="M1217">
        <v>82.722265786602691</v>
      </c>
      <c r="N1217">
        <v>48.788968603969067</v>
      </c>
      <c r="O1217">
        <v>6.9120588235294118</v>
      </c>
      <c r="P1217">
        <v>1.0279411764705886</v>
      </c>
      <c r="Q1217">
        <v>1215</v>
      </c>
      <c r="R1217">
        <v>16</v>
      </c>
      <c r="S1217" t="s">
        <v>24</v>
      </c>
      <c r="T1217" t="s">
        <v>45</v>
      </c>
      <c r="U1217">
        <v>1000</v>
      </c>
      <c r="V1217">
        <v>1000</v>
      </c>
    </row>
    <row r="1218" spans="1:22" x14ac:dyDescent="0.3">
      <c r="A1218" t="s">
        <v>1382</v>
      </c>
      <c r="B1218" t="s">
        <v>166</v>
      </c>
      <c r="C1218">
        <v>-8.6999999999999993</v>
      </c>
      <c r="D1218">
        <v>19.04</v>
      </c>
      <c r="E1218">
        <v>16.399999999999999</v>
      </c>
      <c r="F1218">
        <v>2.44</v>
      </c>
      <c r="G1218">
        <v>33.598281417830286</v>
      </c>
      <c r="H1218">
        <v>52.350720658888129</v>
      </c>
      <c r="I1218">
        <v>75.088589652728558</v>
      </c>
      <c r="J1218">
        <v>59.969167307596777</v>
      </c>
      <c r="K1218">
        <v>11.111111111111116</v>
      </c>
      <c r="L1218">
        <v>20.777031955573296</v>
      </c>
      <c r="M1218">
        <v>64.013125022464891</v>
      </c>
      <c r="N1218">
        <v>48.76564268719239</v>
      </c>
      <c r="O1218">
        <v>20.878999999999998</v>
      </c>
      <c r="P1218">
        <v>-4.4789999999999992</v>
      </c>
      <c r="Q1218">
        <v>1217</v>
      </c>
      <c r="R1218">
        <v>10</v>
      </c>
      <c r="S1218" t="s">
        <v>24</v>
      </c>
      <c r="T1218" t="s">
        <v>167</v>
      </c>
      <c r="U1218">
        <v>5000</v>
      </c>
      <c r="V1218">
        <v>1000</v>
      </c>
    </row>
    <row r="1219" spans="1:22" x14ac:dyDescent="0.3">
      <c r="A1219" t="s">
        <v>1383</v>
      </c>
      <c r="B1219" t="s">
        <v>202</v>
      </c>
      <c r="C1219">
        <v>1.97</v>
      </c>
      <c r="D1219">
        <v>12.65</v>
      </c>
      <c r="E1219">
        <v>8.49</v>
      </c>
      <c r="F1219">
        <v>2.37</v>
      </c>
      <c r="G1219">
        <v>56.51987110633727</v>
      </c>
      <c r="H1219">
        <v>41.386410432395337</v>
      </c>
      <c r="I1219">
        <v>47.058823529411761</v>
      </c>
      <c r="J1219">
        <v>47.249309115691936</v>
      </c>
      <c r="K1219">
        <v>13.793103448275845</v>
      </c>
      <c r="L1219">
        <v>7.6453615956103143</v>
      </c>
      <c r="M1219">
        <v>86.757845274167067</v>
      </c>
      <c r="N1219">
        <v>48.762391738456699</v>
      </c>
      <c r="O1219">
        <v>10.023387096774194</v>
      </c>
      <c r="P1219">
        <v>-1.5333870967741934</v>
      </c>
      <c r="Q1219">
        <v>1218</v>
      </c>
      <c r="R1219">
        <v>48</v>
      </c>
      <c r="S1219" t="s">
        <v>24</v>
      </c>
      <c r="T1219" t="s">
        <v>78</v>
      </c>
      <c r="U1219">
        <v>1000</v>
      </c>
      <c r="V1219">
        <v>1000</v>
      </c>
    </row>
    <row r="1220" spans="1:22" x14ac:dyDescent="0.3">
      <c r="A1220" t="s">
        <v>1384</v>
      </c>
      <c r="B1220" t="s">
        <v>199</v>
      </c>
      <c r="C1220">
        <v>3.56</v>
      </c>
      <c r="D1220">
        <v>14.63</v>
      </c>
      <c r="E1220">
        <v>9.27</v>
      </c>
      <c r="F1220">
        <v>2.5299999999999998</v>
      </c>
      <c r="G1220">
        <v>59.93555316863587</v>
      </c>
      <c r="H1220">
        <v>44.783802333562122</v>
      </c>
      <c r="I1220">
        <v>49.822820694542877</v>
      </c>
      <c r="J1220">
        <v>50.333661681067255</v>
      </c>
      <c r="K1220">
        <v>7.6628352490421436</v>
      </c>
      <c r="L1220">
        <v>7.7161585596184041</v>
      </c>
      <c r="M1220">
        <v>86.635221335483436</v>
      </c>
      <c r="N1220">
        <v>48.741344986665027</v>
      </c>
      <c r="O1220">
        <v>9.83</v>
      </c>
      <c r="P1220">
        <v>-0.5600000000000005</v>
      </c>
      <c r="Q1220">
        <v>1219</v>
      </c>
      <c r="R1220">
        <v>18</v>
      </c>
      <c r="S1220" t="s">
        <v>24</v>
      </c>
      <c r="T1220" t="s">
        <v>78</v>
      </c>
      <c r="U1220">
        <v>5000</v>
      </c>
      <c r="V1220">
        <v>1000</v>
      </c>
    </row>
    <row r="1221" spans="1:22" x14ac:dyDescent="0.3">
      <c r="A1221" t="s">
        <v>1385</v>
      </c>
      <c r="B1221" t="s">
        <v>199</v>
      </c>
      <c r="C1221">
        <v>3.56</v>
      </c>
      <c r="D1221">
        <v>14.63</v>
      </c>
      <c r="E1221">
        <v>9.27</v>
      </c>
      <c r="F1221">
        <v>2.5299999999999998</v>
      </c>
      <c r="G1221">
        <v>59.93555316863587</v>
      </c>
      <c r="H1221">
        <v>44.783802333562122</v>
      </c>
      <c r="I1221">
        <v>49.822820694542877</v>
      </c>
      <c r="J1221">
        <v>50.333661681067255</v>
      </c>
      <c r="K1221">
        <v>7.6628352490421436</v>
      </c>
      <c r="L1221">
        <v>7.7161585596184041</v>
      </c>
      <c r="M1221">
        <v>86.635221335483436</v>
      </c>
      <c r="N1221">
        <v>48.741344986665027</v>
      </c>
      <c r="O1221">
        <v>9.83</v>
      </c>
      <c r="P1221">
        <v>-0.5600000000000005</v>
      </c>
      <c r="Q1221">
        <v>1219</v>
      </c>
      <c r="R1221">
        <v>18</v>
      </c>
      <c r="S1221" t="s">
        <v>24</v>
      </c>
      <c r="T1221" t="s">
        <v>78</v>
      </c>
      <c r="U1221">
        <v>5000</v>
      </c>
      <c r="V1221">
        <v>1000</v>
      </c>
    </row>
    <row r="1222" spans="1:22" x14ac:dyDescent="0.3">
      <c r="A1222" t="s">
        <v>1386</v>
      </c>
      <c r="B1222" t="s">
        <v>202</v>
      </c>
      <c r="C1222">
        <v>-2.14</v>
      </c>
      <c r="D1222">
        <v>10.49</v>
      </c>
      <c r="E1222">
        <v>8.76</v>
      </c>
      <c r="F1222">
        <v>2.33</v>
      </c>
      <c r="G1222">
        <v>47.690655209452196</v>
      </c>
      <c r="H1222">
        <v>37.68016472203157</v>
      </c>
      <c r="I1222">
        <v>48.015591778880221</v>
      </c>
      <c r="J1222">
        <v>44.849976347940022</v>
      </c>
      <c r="K1222">
        <v>15.325670498084287</v>
      </c>
      <c r="L1222">
        <v>5.8756071462208581</v>
      </c>
      <c r="M1222">
        <v>89.823149897430696</v>
      </c>
      <c r="N1222">
        <v>48.712193272848758</v>
      </c>
      <c r="O1222">
        <v>10.023387096774194</v>
      </c>
      <c r="P1222">
        <v>-1.2633870967741938</v>
      </c>
      <c r="Q1222">
        <v>1221</v>
      </c>
      <c r="R1222">
        <v>49</v>
      </c>
      <c r="S1222" t="s">
        <v>24</v>
      </c>
      <c r="T1222" t="s">
        <v>78</v>
      </c>
      <c r="U1222">
        <v>1000</v>
      </c>
      <c r="V1222">
        <v>1000</v>
      </c>
    </row>
    <row r="1223" spans="1:22" x14ac:dyDescent="0.3">
      <c r="A1223" t="s">
        <v>1387</v>
      </c>
      <c r="B1223" t="s">
        <v>884</v>
      </c>
      <c r="C1223">
        <v>15.66</v>
      </c>
      <c r="D1223">
        <v>20.96</v>
      </c>
      <c r="E1223">
        <v>7.67</v>
      </c>
      <c r="F1223">
        <v>2.2000000000000002</v>
      </c>
      <c r="G1223">
        <v>85.929108485499455</v>
      </c>
      <c r="H1223">
        <v>55.645161290322584</v>
      </c>
      <c r="I1223">
        <v>44.153082919914951</v>
      </c>
      <c r="J1223">
        <v>55.955911544154141</v>
      </c>
      <c r="K1223">
        <v>20.306513409961681</v>
      </c>
      <c r="L1223">
        <v>21.580939256082058</v>
      </c>
      <c r="M1223">
        <v>62.62071673340818</v>
      </c>
      <c r="N1223">
        <v>48.709763307919538</v>
      </c>
      <c r="O1223">
        <v>9.6316666666666659</v>
      </c>
      <c r="P1223">
        <v>-1.961666666666666</v>
      </c>
      <c r="Q1223">
        <v>1222</v>
      </c>
      <c r="R1223">
        <v>5</v>
      </c>
      <c r="S1223" t="s">
        <v>24</v>
      </c>
      <c r="T1223" t="s">
        <v>186</v>
      </c>
      <c r="U1223">
        <v>5000</v>
      </c>
      <c r="V1223">
        <v>1000</v>
      </c>
    </row>
    <row r="1224" spans="1:22" x14ac:dyDescent="0.3">
      <c r="A1224" t="s">
        <v>1388</v>
      </c>
      <c r="B1224" t="s">
        <v>272</v>
      </c>
      <c r="C1224">
        <v>5.31</v>
      </c>
      <c r="D1224">
        <v>14.58</v>
      </c>
      <c r="E1224">
        <v>9.75</v>
      </c>
      <c r="F1224">
        <v>2.5299999999999998</v>
      </c>
      <c r="G1224">
        <v>63.694951664876477</v>
      </c>
      <c r="H1224">
        <v>44.698009608785178</v>
      </c>
      <c r="I1224">
        <v>51.523742026931252</v>
      </c>
      <c r="J1224">
        <v>51.910264229076475</v>
      </c>
      <c r="K1224">
        <v>7.6628352490421436</v>
      </c>
      <c r="L1224">
        <v>9.6230000050004438</v>
      </c>
      <c r="M1224">
        <v>83.332475070103669</v>
      </c>
      <c r="N1224">
        <v>48.703959694324695</v>
      </c>
      <c r="O1224">
        <v>10.044583333333334</v>
      </c>
      <c r="P1224">
        <v>-0.29458333333333364</v>
      </c>
      <c r="Q1224">
        <v>1223</v>
      </c>
      <c r="R1224">
        <v>36</v>
      </c>
      <c r="S1224" t="s">
        <v>24</v>
      </c>
      <c r="T1224" t="s">
        <v>291</v>
      </c>
      <c r="U1224">
        <v>5000</v>
      </c>
      <c r="V1224">
        <v>1000</v>
      </c>
    </row>
    <row r="1225" spans="1:22" x14ac:dyDescent="0.3">
      <c r="A1225" t="s">
        <v>1389</v>
      </c>
      <c r="B1225" t="s">
        <v>445</v>
      </c>
      <c r="C1225">
        <v>2.87</v>
      </c>
      <c r="D1225">
        <v>7.23</v>
      </c>
      <c r="E1225">
        <v>6.74</v>
      </c>
      <c r="F1225">
        <v>1.83</v>
      </c>
      <c r="G1225">
        <v>58.453276047261014</v>
      </c>
      <c r="H1225">
        <v>32.086479066575158</v>
      </c>
      <c r="I1225">
        <v>40.857547838412472</v>
      </c>
      <c r="J1225">
        <v>41.745372848630986</v>
      </c>
      <c r="K1225">
        <v>34.482758620689658</v>
      </c>
      <c r="L1225">
        <v>13.427268781728422</v>
      </c>
      <c r="M1225">
        <v>76.74328826316291</v>
      </c>
      <c r="N1225">
        <v>48.679198145278633</v>
      </c>
      <c r="O1225">
        <v>5.7759259259259252</v>
      </c>
      <c r="P1225">
        <v>0.96407407407407497</v>
      </c>
      <c r="Q1225">
        <v>1224</v>
      </c>
      <c r="R1225">
        <v>22</v>
      </c>
      <c r="S1225" t="s">
        <v>24</v>
      </c>
      <c r="T1225" t="s">
        <v>612</v>
      </c>
      <c r="U1225">
        <v>5000</v>
      </c>
      <c r="V1225">
        <v>1000</v>
      </c>
    </row>
    <row r="1226" spans="1:22" x14ac:dyDescent="0.3">
      <c r="A1226" t="s">
        <v>1390</v>
      </c>
      <c r="B1226" t="s">
        <v>445</v>
      </c>
      <c r="C1226">
        <v>3.7</v>
      </c>
      <c r="D1226">
        <v>8.75</v>
      </c>
      <c r="E1226">
        <v>5.89</v>
      </c>
      <c r="F1226">
        <v>1.79</v>
      </c>
      <c r="G1226">
        <v>60.236305048335126</v>
      </c>
      <c r="H1226">
        <v>34.694577899794098</v>
      </c>
      <c r="I1226">
        <v>37.845499645641389</v>
      </c>
      <c r="J1226">
        <v>41.378384202425949</v>
      </c>
      <c r="K1226">
        <v>36.015325670498079</v>
      </c>
      <c r="L1226">
        <v>13.926331774497489</v>
      </c>
      <c r="M1226">
        <v>75.878885803509505</v>
      </c>
      <c r="N1226">
        <v>48.662744969714865</v>
      </c>
      <c r="O1226">
        <v>5.7759259259259252</v>
      </c>
      <c r="P1226">
        <v>0.11407407407407444</v>
      </c>
      <c r="Q1226">
        <v>1225</v>
      </c>
      <c r="R1226">
        <v>23</v>
      </c>
      <c r="S1226" t="s">
        <v>24</v>
      </c>
      <c r="T1226" t="s">
        <v>443</v>
      </c>
      <c r="U1226">
        <v>25000</v>
      </c>
      <c r="V1226">
        <v>1000</v>
      </c>
    </row>
    <row r="1227" spans="1:22" x14ac:dyDescent="0.3">
      <c r="A1227" t="s">
        <v>1391</v>
      </c>
      <c r="B1227" t="s">
        <v>195</v>
      </c>
      <c r="C1227">
        <v>-10.5</v>
      </c>
      <c r="D1227">
        <v>9.6999999999999993</v>
      </c>
      <c r="E1227">
        <v>7.14</v>
      </c>
      <c r="F1227">
        <v>1.96</v>
      </c>
      <c r="G1227">
        <v>29.731471535982813</v>
      </c>
      <c r="H1227">
        <v>36.324639670555939</v>
      </c>
      <c r="I1227">
        <v>42.274982282069452</v>
      </c>
      <c r="J1227">
        <v>37.981177349398067</v>
      </c>
      <c r="K1227">
        <v>29.501915708812266</v>
      </c>
      <c r="L1227">
        <v>6.27450004757796</v>
      </c>
      <c r="M1227">
        <v>89.132247125501635</v>
      </c>
      <c r="N1227">
        <v>48.649129383277511</v>
      </c>
      <c r="O1227">
        <v>10.412619047619048</v>
      </c>
      <c r="P1227">
        <v>-3.272619047619048</v>
      </c>
      <c r="Q1227">
        <v>1226</v>
      </c>
      <c r="R1227">
        <v>38</v>
      </c>
      <c r="S1227" t="s">
        <v>24</v>
      </c>
      <c r="T1227" t="s">
        <v>1072</v>
      </c>
      <c r="U1227">
        <v>1000</v>
      </c>
      <c r="V1227">
        <v>1000</v>
      </c>
    </row>
    <row r="1228" spans="1:22" x14ac:dyDescent="0.3">
      <c r="A1228" t="s">
        <v>1392</v>
      </c>
      <c r="B1228" t="s">
        <v>424</v>
      </c>
      <c r="C1228">
        <v>1.1200000000000001</v>
      </c>
      <c r="D1228">
        <v>7.44</v>
      </c>
      <c r="E1228">
        <v>7.22</v>
      </c>
      <c r="F1228">
        <v>1.95</v>
      </c>
      <c r="G1228">
        <v>54.693877551020407</v>
      </c>
      <c r="H1228">
        <v>32.446808510638306</v>
      </c>
      <c r="I1228">
        <v>42.558469170800848</v>
      </c>
      <c r="J1228">
        <v>41.952052648795998</v>
      </c>
      <c r="K1228">
        <v>29.885057471264375</v>
      </c>
      <c r="L1228">
        <v>11.138865133310707</v>
      </c>
      <c r="M1228">
        <v>80.706919650448384</v>
      </c>
      <c r="N1228">
        <v>48.624020604826185</v>
      </c>
      <c r="O1228">
        <v>7.9378947368421047</v>
      </c>
      <c r="P1228">
        <v>-0.71789473684210492</v>
      </c>
      <c r="Q1228">
        <v>1227</v>
      </c>
      <c r="R1228">
        <v>12</v>
      </c>
      <c r="S1228" t="s">
        <v>24</v>
      </c>
      <c r="T1228" t="s">
        <v>425</v>
      </c>
      <c r="U1228">
        <v>1000</v>
      </c>
      <c r="V1228">
        <v>1000</v>
      </c>
    </row>
    <row r="1229" spans="1:22" x14ac:dyDescent="0.3">
      <c r="A1229" t="s">
        <v>1393</v>
      </c>
      <c r="B1229" t="s">
        <v>155</v>
      </c>
      <c r="C1229">
        <v>4.84</v>
      </c>
      <c r="D1229">
        <v>3.46</v>
      </c>
      <c r="E1229">
        <v>4.49</v>
      </c>
      <c r="F1229">
        <v>1.29</v>
      </c>
      <c r="G1229">
        <v>62.685284640171858</v>
      </c>
      <c r="H1229">
        <v>25.617707618393965</v>
      </c>
      <c r="I1229">
        <v>32.884479092841957</v>
      </c>
      <c r="J1229">
        <v>36.66460875997354</v>
      </c>
      <c r="K1229">
        <v>55.172413793103445</v>
      </c>
      <c r="L1229">
        <v>19.642213237468329</v>
      </c>
      <c r="M1229">
        <v>65.978688699602884</v>
      </c>
      <c r="N1229">
        <v>48.620080003163352</v>
      </c>
      <c r="O1229">
        <v>5.2086538461538465</v>
      </c>
      <c r="P1229">
        <v>-0.71865384615384631</v>
      </c>
      <c r="Q1229">
        <v>1228</v>
      </c>
      <c r="R1229">
        <v>45</v>
      </c>
      <c r="S1229" t="s">
        <v>24</v>
      </c>
      <c r="T1229" t="s">
        <v>45</v>
      </c>
      <c r="U1229">
        <v>5000</v>
      </c>
      <c r="V1229">
        <v>1000</v>
      </c>
    </row>
    <row r="1230" spans="1:22" x14ac:dyDescent="0.3">
      <c r="A1230" t="s">
        <v>1394</v>
      </c>
      <c r="B1230" t="s">
        <v>202</v>
      </c>
      <c r="C1230">
        <v>3.83</v>
      </c>
      <c r="D1230">
        <v>13.63</v>
      </c>
      <c r="E1230">
        <v>4.26</v>
      </c>
      <c r="F1230">
        <v>1.76</v>
      </c>
      <c r="G1230">
        <v>60.515574650912995</v>
      </c>
      <c r="H1230">
        <v>43.067947838023343</v>
      </c>
      <c r="I1230">
        <v>32.069454287739184</v>
      </c>
      <c r="J1230">
        <v>41.058226425459196</v>
      </c>
      <c r="K1230">
        <v>37.164750957854409</v>
      </c>
      <c r="L1230">
        <v>14.344385112264193</v>
      </c>
      <c r="M1230">
        <v>75.154796182223819</v>
      </c>
      <c r="N1230">
        <v>48.608999997749152</v>
      </c>
      <c r="O1230">
        <v>10.023387096774194</v>
      </c>
      <c r="P1230">
        <v>-5.7633870967741938</v>
      </c>
      <c r="Q1230">
        <v>1229</v>
      </c>
      <c r="R1230">
        <v>50</v>
      </c>
      <c r="S1230" t="s">
        <v>24</v>
      </c>
      <c r="T1230" t="s">
        <v>78</v>
      </c>
      <c r="U1230">
        <v>1000</v>
      </c>
      <c r="V1230">
        <v>1000</v>
      </c>
    </row>
    <row r="1231" spans="1:22" x14ac:dyDescent="0.3">
      <c r="A1231" t="s">
        <v>1395</v>
      </c>
      <c r="B1231" t="s">
        <v>195</v>
      </c>
      <c r="C1231">
        <v>-10.5</v>
      </c>
      <c r="D1231">
        <v>9.6999999999999993</v>
      </c>
      <c r="E1231">
        <v>6.82</v>
      </c>
      <c r="F1231">
        <v>1.96</v>
      </c>
      <c r="G1231">
        <v>29.731471535982813</v>
      </c>
      <c r="H1231">
        <v>36.324639670555939</v>
      </c>
      <c r="I1231">
        <v>41.141034727143868</v>
      </c>
      <c r="J1231">
        <v>37.414203571935275</v>
      </c>
      <c r="K1231">
        <v>29.501915708812266</v>
      </c>
      <c r="L1231">
        <v>5.7277927628504557</v>
      </c>
      <c r="M1231">
        <v>90.079171919517705</v>
      </c>
      <c r="N1231">
        <v>48.602373693050126</v>
      </c>
      <c r="O1231">
        <v>10.412619047619048</v>
      </c>
      <c r="P1231">
        <v>-3.5926190476190474</v>
      </c>
      <c r="Q1231">
        <v>1230</v>
      </c>
      <c r="R1231">
        <v>39</v>
      </c>
      <c r="S1231" t="s">
        <v>24</v>
      </c>
      <c r="T1231" t="s">
        <v>1072</v>
      </c>
      <c r="U1231">
        <v>1000</v>
      </c>
      <c r="V1231">
        <v>1000</v>
      </c>
    </row>
    <row r="1232" spans="1:22" x14ac:dyDescent="0.3">
      <c r="A1232" t="s">
        <v>1396</v>
      </c>
      <c r="B1232" t="s">
        <v>976</v>
      </c>
      <c r="C1232">
        <v>3.83</v>
      </c>
      <c r="D1232">
        <v>1.34</v>
      </c>
      <c r="E1232">
        <v>4.8</v>
      </c>
      <c r="F1232">
        <v>1.24</v>
      </c>
      <c r="G1232">
        <v>60.515574650912995</v>
      </c>
      <c r="H1232">
        <v>21.980096087851752</v>
      </c>
      <c r="I1232">
        <v>33.982990786676112</v>
      </c>
      <c r="J1232">
        <v>35.688639149876181</v>
      </c>
      <c r="K1232">
        <v>57.088122605363978</v>
      </c>
      <c r="L1232">
        <v>19.71898660237548</v>
      </c>
      <c r="M1232">
        <v>65.845713330915686</v>
      </c>
      <c r="N1232">
        <v>48.577778559008003</v>
      </c>
      <c r="O1232">
        <v>4.3111111111111109</v>
      </c>
      <c r="P1232">
        <v>0.48888888888888893</v>
      </c>
      <c r="Q1232">
        <v>1231</v>
      </c>
      <c r="R1232">
        <v>21</v>
      </c>
      <c r="S1232" t="s">
        <v>24</v>
      </c>
      <c r="T1232" t="s">
        <v>1119</v>
      </c>
      <c r="U1232">
        <v>1000</v>
      </c>
      <c r="V1232">
        <v>1000</v>
      </c>
    </row>
    <row r="1233" spans="1:22" x14ac:dyDescent="0.3">
      <c r="A1233" t="s">
        <v>1397</v>
      </c>
      <c r="B1233" t="s">
        <v>185</v>
      </c>
      <c r="C1233">
        <v>8.01</v>
      </c>
      <c r="D1233">
        <v>17</v>
      </c>
      <c r="E1233">
        <v>7</v>
      </c>
      <c r="F1233">
        <v>2.2000000000000002</v>
      </c>
      <c r="G1233">
        <v>69.49516648764768</v>
      </c>
      <c r="H1233">
        <v>48.850377487989022</v>
      </c>
      <c r="I1233">
        <v>41.778880226789504</v>
      </c>
      <c r="J1233">
        <v>49.443586657320992</v>
      </c>
      <c r="K1233">
        <v>20.306513409961681</v>
      </c>
      <c r="L1233">
        <v>14.401423022566295</v>
      </c>
      <c r="M1233">
        <v>75.056003623623027</v>
      </c>
      <c r="N1233">
        <v>48.562422587056673</v>
      </c>
      <c r="O1233">
        <v>9.4014285714285712</v>
      </c>
      <c r="P1233">
        <v>-2.4014285714285712</v>
      </c>
      <c r="Q1233">
        <v>1232</v>
      </c>
      <c r="R1233">
        <v>21</v>
      </c>
      <c r="S1233" t="s">
        <v>24</v>
      </c>
      <c r="T1233" t="s">
        <v>186</v>
      </c>
      <c r="U1233">
        <v>5000</v>
      </c>
      <c r="V1233">
        <v>1000</v>
      </c>
    </row>
    <row r="1234" spans="1:22" x14ac:dyDescent="0.3">
      <c r="A1234" t="s">
        <v>1398</v>
      </c>
      <c r="B1234" t="s">
        <v>138</v>
      </c>
      <c r="C1234">
        <v>6.49</v>
      </c>
      <c r="D1234">
        <v>13.62</v>
      </c>
      <c r="E1234">
        <v>10.52</v>
      </c>
      <c r="F1234">
        <v>2.5299999999999998</v>
      </c>
      <c r="G1234">
        <v>66.229860365198718</v>
      </c>
      <c r="H1234">
        <v>43.05078929306795</v>
      </c>
      <c r="I1234">
        <v>54.252303330970932</v>
      </c>
      <c r="J1234">
        <v>53.287360526445596</v>
      </c>
      <c r="K1234">
        <v>7.6628352490421436</v>
      </c>
      <c r="L1234">
        <v>11.591700515285398</v>
      </c>
      <c r="M1234">
        <v>79.922585761403354</v>
      </c>
      <c r="N1234">
        <v>48.540035515834177</v>
      </c>
      <c r="O1234">
        <v>9.219019607843137</v>
      </c>
      <c r="P1234">
        <v>1.3009803921568626</v>
      </c>
      <c r="Q1234">
        <v>1233</v>
      </c>
      <c r="R1234">
        <v>38</v>
      </c>
      <c r="S1234" t="s">
        <v>24</v>
      </c>
      <c r="T1234" t="s">
        <v>134</v>
      </c>
      <c r="U1234">
        <v>5000</v>
      </c>
      <c r="V1234">
        <v>1000</v>
      </c>
    </row>
    <row r="1235" spans="1:22" x14ac:dyDescent="0.3">
      <c r="A1235" t="s">
        <v>1399</v>
      </c>
      <c r="B1235" t="s">
        <v>185</v>
      </c>
      <c r="C1235">
        <v>7.74</v>
      </c>
      <c r="D1235">
        <v>16.91</v>
      </c>
      <c r="E1235">
        <v>6.95</v>
      </c>
      <c r="F1235">
        <v>2.2000000000000002</v>
      </c>
      <c r="G1235">
        <v>68.915145005370576</v>
      </c>
      <c r="H1235">
        <v>48.695950583390534</v>
      </c>
      <c r="I1235">
        <v>41.601700921332387</v>
      </c>
      <c r="J1235">
        <v>49.19266463675747</v>
      </c>
      <c r="K1235">
        <v>20.306513409961681</v>
      </c>
      <c r="L1235">
        <v>14.172558161657111</v>
      </c>
      <c r="M1235">
        <v>75.45240919078492</v>
      </c>
      <c r="N1235">
        <v>48.536062968565389</v>
      </c>
      <c r="O1235">
        <v>9.4014285714285712</v>
      </c>
      <c r="P1235">
        <v>-2.4514285714285711</v>
      </c>
      <c r="Q1235">
        <v>1234</v>
      </c>
      <c r="R1235">
        <v>22</v>
      </c>
      <c r="S1235" t="s">
        <v>24</v>
      </c>
      <c r="T1235" t="s">
        <v>186</v>
      </c>
      <c r="U1235">
        <v>5000</v>
      </c>
      <c r="V1235">
        <v>1000</v>
      </c>
    </row>
    <row r="1236" spans="1:22" x14ac:dyDescent="0.3">
      <c r="A1236" t="s">
        <v>1400</v>
      </c>
      <c r="B1236" t="s">
        <v>229</v>
      </c>
      <c r="C1236">
        <v>5.59</v>
      </c>
      <c r="D1236">
        <v>4.46</v>
      </c>
      <c r="E1236">
        <v>4.0999999999999996</v>
      </c>
      <c r="F1236">
        <v>1.28</v>
      </c>
      <c r="G1236">
        <v>64.296455424274967</v>
      </c>
      <c r="H1236">
        <v>27.333562113932743</v>
      </c>
      <c r="I1236">
        <v>31.502480510276399</v>
      </c>
      <c r="J1236">
        <v>36.810599974173016</v>
      </c>
      <c r="K1236">
        <v>55.555555555555557</v>
      </c>
      <c r="L1236">
        <v>20.244670710778355</v>
      </c>
      <c r="M1236">
        <v>64.935201746430351</v>
      </c>
      <c r="N1236">
        <v>48.527989312582982</v>
      </c>
      <c r="O1236">
        <v>5.1221052631578941</v>
      </c>
      <c r="P1236">
        <v>-1.0221052631578944</v>
      </c>
      <c r="Q1236">
        <v>1235</v>
      </c>
      <c r="R1236">
        <v>73</v>
      </c>
      <c r="S1236" t="s">
        <v>24</v>
      </c>
      <c r="T1236" t="s">
        <v>429</v>
      </c>
      <c r="U1236">
        <v>1000</v>
      </c>
      <c r="V1236">
        <v>1000</v>
      </c>
    </row>
    <row r="1237" spans="1:22" x14ac:dyDescent="0.3">
      <c r="A1237" t="s">
        <v>1401</v>
      </c>
      <c r="B1237" t="s">
        <v>229</v>
      </c>
      <c r="C1237">
        <v>5.59</v>
      </c>
      <c r="D1237">
        <v>4.46</v>
      </c>
      <c r="E1237">
        <v>4.0999999999999996</v>
      </c>
      <c r="F1237">
        <v>1.28</v>
      </c>
      <c r="G1237">
        <v>64.296455424274967</v>
      </c>
      <c r="H1237">
        <v>27.333562113932743</v>
      </c>
      <c r="I1237">
        <v>31.502480510276399</v>
      </c>
      <c r="J1237">
        <v>36.810599974173016</v>
      </c>
      <c r="K1237">
        <v>55.555555555555557</v>
      </c>
      <c r="L1237">
        <v>20.244670710778355</v>
      </c>
      <c r="M1237">
        <v>64.935201746430351</v>
      </c>
      <c r="N1237">
        <v>48.527989312582982</v>
      </c>
      <c r="O1237">
        <v>5.1221052631578941</v>
      </c>
      <c r="P1237">
        <v>-1.0221052631578944</v>
      </c>
      <c r="Q1237">
        <v>1235</v>
      </c>
      <c r="R1237">
        <v>73</v>
      </c>
      <c r="S1237" t="s">
        <v>24</v>
      </c>
      <c r="T1237" t="s">
        <v>429</v>
      </c>
      <c r="U1237">
        <v>1000</v>
      </c>
      <c r="V1237">
        <v>1000</v>
      </c>
    </row>
    <row r="1238" spans="1:22" x14ac:dyDescent="0.3">
      <c r="A1238" t="s">
        <v>1402</v>
      </c>
      <c r="B1238" t="s">
        <v>229</v>
      </c>
      <c r="C1238">
        <v>5.59</v>
      </c>
      <c r="D1238">
        <v>4.46</v>
      </c>
      <c r="E1238">
        <v>4.0999999999999996</v>
      </c>
      <c r="F1238">
        <v>1.28</v>
      </c>
      <c r="G1238">
        <v>64.296455424274967</v>
      </c>
      <c r="H1238">
        <v>27.333562113932743</v>
      </c>
      <c r="I1238">
        <v>31.502480510276399</v>
      </c>
      <c r="J1238">
        <v>36.810599974173016</v>
      </c>
      <c r="K1238">
        <v>55.555555555555557</v>
      </c>
      <c r="L1238">
        <v>20.244670710778355</v>
      </c>
      <c r="M1238">
        <v>64.935201746430351</v>
      </c>
      <c r="N1238">
        <v>48.527989312582982</v>
      </c>
      <c r="O1238">
        <v>5.1221052631578941</v>
      </c>
      <c r="P1238">
        <v>-1.0221052631578944</v>
      </c>
      <c r="Q1238">
        <v>1235</v>
      </c>
      <c r="R1238">
        <v>73</v>
      </c>
      <c r="S1238" t="s">
        <v>24</v>
      </c>
      <c r="T1238" t="s">
        <v>429</v>
      </c>
      <c r="U1238">
        <v>1000</v>
      </c>
      <c r="V1238">
        <v>1000</v>
      </c>
    </row>
    <row r="1239" spans="1:22" x14ac:dyDescent="0.3">
      <c r="A1239" t="s">
        <v>1403</v>
      </c>
      <c r="B1239" t="s">
        <v>229</v>
      </c>
      <c r="C1239">
        <v>5.59</v>
      </c>
      <c r="D1239">
        <v>4.45</v>
      </c>
      <c r="E1239">
        <v>4.0999999999999996</v>
      </c>
      <c r="F1239">
        <v>1.28</v>
      </c>
      <c r="G1239">
        <v>64.296455424274967</v>
      </c>
      <c r="H1239">
        <v>27.316403568977353</v>
      </c>
      <c r="I1239">
        <v>31.502480510276399</v>
      </c>
      <c r="J1239">
        <v>36.805452410686399</v>
      </c>
      <c r="K1239">
        <v>55.555555555555557</v>
      </c>
      <c r="L1239">
        <v>20.250482570541966</v>
      </c>
      <c r="M1239">
        <v>64.925135310033312</v>
      </c>
      <c r="N1239">
        <v>48.522898921740413</v>
      </c>
      <c r="O1239">
        <v>5.1221052631578941</v>
      </c>
      <c r="P1239">
        <v>-1.0221052631578944</v>
      </c>
      <c r="Q1239">
        <v>1238</v>
      </c>
      <c r="R1239">
        <v>76</v>
      </c>
      <c r="S1239" t="s">
        <v>24</v>
      </c>
      <c r="T1239" t="s">
        <v>429</v>
      </c>
      <c r="U1239">
        <v>1000</v>
      </c>
      <c r="V1239">
        <v>1000</v>
      </c>
    </row>
    <row r="1240" spans="1:22" x14ac:dyDescent="0.3">
      <c r="A1240" t="s">
        <v>1404</v>
      </c>
      <c r="B1240" t="s">
        <v>155</v>
      </c>
      <c r="C1240">
        <v>4.84</v>
      </c>
      <c r="D1240">
        <v>3.46</v>
      </c>
      <c r="E1240">
        <v>4.4000000000000004</v>
      </c>
      <c r="F1240">
        <v>1.29</v>
      </c>
      <c r="G1240">
        <v>62.685284640171858</v>
      </c>
      <c r="H1240">
        <v>25.617707618393965</v>
      </c>
      <c r="I1240">
        <v>32.565556343019132</v>
      </c>
      <c r="J1240">
        <v>36.505147385062131</v>
      </c>
      <c r="K1240">
        <v>55.172413793103445</v>
      </c>
      <c r="L1240">
        <v>19.703958573765554</v>
      </c>
      <c r="M1240">
        <v>65.871742640005664</v>
      </c>
      <c r="N1240">
        <v>48.513612800808346</v>
      </c>
      <c r="O1240">
        <v>5.2086538461538465</v>
      </c>
      <c r="P1240">
        <v>-0.80865384615384617</v>
      </c>
      <c r="Q1240">
        <v>1239</v>
      </c>
      <c r="R1240">
        <v>46</v>
      </c>
      <c r="S1240" t="s">
        <v>24</v>
      </c>
      <c r="T1240" t="s">
        <v>45</v>
      </c>
      <c r="U1240">
        <v>5000</v>
      </c>
      <c r="V1240">
        <v>1000</v>
      </c>
    </row>
    <row r="1241" spans="1:22" x14ac:dyDescent="0.3">
      <c r="A1241" t="s">
        <v>1405</v>
      </c>
      <c r="B1241" t="s">
        <v>199</v>
      </c>
      <c r="C1241">
        <v>3.42</v>
      </c>
      <c r="D1241">
        <v>9.4</v>
      </c>
      <c r="E1241">
        <v>8.82</v>
      </c>
      <c r="F1241">
        <v>2.1800000000000002</v>
      </c>
      <c r="G1241">
        <v>59.634801288936622</v>
      </c>
      <c r="H1241">
        <v>35.809883321894311</v>
      </c>
      <c r="I1241">
        <v>48.228206945428767</v>
      </c>
      <c r="J1241">
        <v>46.784028727070002</v>
      </c>
      <c r="K1241">
        <v>21.072796934865899</v>
      </c>
      <c r="L1241">
        <v>11.916038717295239</v>
      </c>
      <c r="M1241">
        <v>79.36081551668677</v>
      </c>
      <c r="N1241">
        <v>48.500417476423166</v>
      </c>
      <c r="O1241">
        <v>9.83</v>
      </c>
      <c r="P1241">
        <v>-1.0099999999999998</v>
      </c>
      <c r="Q1241">
        <v>1240</v>
      </c>
      <c r="R1241">
        <v>20</v>
      </c>
      <c r="S1241" t="s">
        <v>24</v>
      </c>
      <c r="T1241" t="s">
        <v>78</v>
      </c>
      <c r="U1241">
        <v>1000</v>
      </c>
      <c r="V1241">
        <v>1000</v>
      </c>
    </row>
    <row r="1242" spans="1:22" x14ac:dyDescent="0.3">
      <c r="A1242" t="s">
        <v>1406</v>
      </c>
      <c r="B1242" t="s">
        <v>445</v>
      </c>
      <c r="C1242">
        <v>5.52</v>
      </c>
      <c r="D1242">
        <v>9.19</v>
      </c>
      <c r="E1242">
        <v>6.35</v>
      </c>
      <c r="F1242">
        <v>1.83</v>
      </c>
      <c r="G1242">
        <v>64.146079484425343</v>
      </c>
      <c r="H1242">
        <v>35.449553877831164</v>
      </c>
      <c r="I1242">
        <v>39.475549255846907</v>
      </c>
      <c r="J1242">
        <v>43.201856688157875</v>
      </c>
      <c r="K1242">
        <v>34.482758620689658</v>
      </c>
      <c r="L1242">
        <v>15.536700005862043</v>
      </c>
      <c r="M1242">
        <v>73.089646207891263</v>
      </c>
      <c r="N1242">
        <v>48.494029551224166</v>
      </c>
      <c r="O1242">
        <v>5.7759259259259252</v>
      </c>
      <c r="P1242">
        <v>0.5740740740740744</v>
      </c>
      <c r="Q1242">
        <v>1241</v>
      </c>
      <c r="R1242">
        <v>24</v>
      </c>
      <c r="S1242" t="s">
        <v>24</v>
      </c>
      <c r="T1242" t="s">
        <v>443</v>
      </c>
      <c r="U1242">
        <v>1000</v>
      </c>
      <c r="V1242">
        <v>1000</v>
      </c>
    </row>
    <row r="1243" spans="1:22" x14ac:dyDescent="0.3">
      <c r="A1243" t="s">
        <v>1407</v>
      </c>
      <c r="B1243" t="s">
        <v>202</v>
      </c>
      <c r="C1243">
        <v>1.96</v>
      </c>
      <c r="D1243">
        <v>12.64</v>
      </c>
      <c r="E1243">
        <v>8.23</v>
      </c>
      <c r="F1243">
        <v>2.37</v>
      </c>
      <c r="G1243">
        <v>56.498388829215898</v>
      </c>
      <c r="H1243">
        <v>41.369251887439951</v>
      </c>
      <c r="I1243">
        <v>46.137491141034722</v>
      </c>
      <c r="J1243">
        <v>46.779198902592526</v>
      </c>
      <c r="K1243">
        <v>13.793103448275845</v>
      </c>
      <c r="L1243">
        <v>7.7349325690606348</v>
      </c>
      <c r="M1243">
        <v>86.602703797267722</v>
      </c>
      <c r="N1243">
        <v>48.488551262682151</v>
      </c>
      <c r="O1243">
        <v>10.023387096774194</v>
      </c>
      <c r="P1243">
        <v>-1.7933870967741932</v>
      </c>
      <c r="Q1243">
        <v>1242</v>
      </c>
      <c r="R1243">
        <v>51</v>
      </c>
      <c r="S1243" t="s">
        <v>24</v>
      </c>
      <c r="T1243" t="s">
        <v>78</v>
      </c>
      <c r="U1243">
        <v>1000</v>
      </c>
      <c r="V1243">
        <v>1000</v>
      </c>
    </row>
    <row r="1244" spans="1:22" x14ac:dyDescent="0.3">
      <c r="A1244" t="s">
        <v>1408</v>
      </c>
      <c r="B1244" t="s">
        <v>445</v>
      </c>
      <c r="C1244">
        <v>5.52</v>
      </c>
      <c r="D1244">
        <v>9.09</v>
      </c>
      <c r="E1244">
        <v>6.36</v>
      </c>
      <c r="F1244">
        <v>1.83</v>
      </c>
      <c r="G1244">
        <v>64.146079484425343</v>
      </c>
      <c r="H1244">
        <v>35.277968428277283</v>
      </c>
      <c r="I1244">
        <v>39.510985116938343</v>
      </c>
      <c r="J1244">
        <v>43.168098983837424</v>
      </c>
      <c r="K1244">
        <v>34.482758620689658</v>
      </c>
      <c r="L1244">
        <v>15.589388168086064</v>
      </c>
      <c r="M1244">
        <v>72.998387633961826</v>
      </c>
      <c r="N1244">
        <v>48.454336055581578</v>
      </c>
      <c r="O1244">
        <v>5.7759259259259252</v>
      </c>
      <c r="P1244">
        <v>0.58407407407407508</v>
      </c>
      <c r="Q1244">
        <v>1243</v>
      </c>
      <c r="R1244">
        <v>25</v>
      </c>
      <c r="S1244" t="s">
        <v>24</v>
      </c>
      <c r="T1244" t="s">
        <v>443</v>
      </c>
      <c r="U1244">
        <v>1000</v>
      </c>
      <c r="V1244">
        <v>1000</v>
      </c>
    </row>
    <row r="1245" spans="1:22" x14ac:dyDescent="0.3">
      <c r="A1245" t="s">
        <v>1409</v>
      </c>
      <c r="B1245" t="s">
        <v>328</v>
      </c>
      <c r="C1245">
        <v>9.81</v>
      </c>
      <c r="D1245">
        <v>17.93</v>
      </c>
      <c r="E1245">
        <v>8.43</v>
      </c>
      <c r="F1245">
        <v>2.41</v>
      </c>
      <c r="G1245">
        <v>73.361976369495167</v>
      </c>
      <c r="H1245">
        <v>50.446122168840077</v>
      </c>
      <c r="I1245">
        <v>46.846208362863209</v>
      </c>
      <c r="J1245">
        <v>53.229336105982661</v>
      </c>
      <c r="K1245">
        <v>12.260536398467426</v>
      </c>
      <c r="L1245">
        <v>14.382754176082267</v>
      </c>
      <c r="M1245">
        <v>75.088339014252057</v>
      </c>
      <c r="N1245">
        <v>48.451886906171197</v>
      </c>
      <c r="O1245">
        <v>10.248999999999999</v>
      </c>
      <c r="P1245">
        <v>-1.8189999999999991</v>
      </c>
      <c r="Q1245">
        <v>1244</v>
      </c>
      <c r="R1245">
        <v>10</v>
      </c>
      <c r="S1245" t="s">
        <v>24</v>
      </c>
      <c r="T1245" t="s">
        <v>78</v>
      </c>
      <c r="U1245">
        <v>1000</v>
      </c>
      <c r="V1245">
        <v>1000</v>
      </c>
    </row>
    <row r="1246" spans="1:22" x14ac:dyDescent="0.3">
      <c r="A1246" t="s">
        <v>1410</v>
      </c>
      <c r="B1246" t="s">
        <v>1019</v>
      </c>
      <c r="C1246">
        <v>6.16</v>
      </c>
      <c r="D1246">
        <v>8.4499999999999993</v>
      </c>
      <c r="E1246">
        <v>7.81</v>
      </c>
      <c r="F1246">
        <v>1.95</v>
      </c>
      <c r="G1246">
        <v>65.52094522019334</v>
      </c>
      <c r="H1246">
        <v>34.17982155113247</v>
      </c>
      <c r="I1246">
        <v>44.649184975194892</v>
      </c>
      <c r="J1246">
        <v>45.682727996975856</v>
      </c>
      <c r="K1246">
        <v>29.885057471264375</v>
      </c>
      <c r="L1246">
        <v>15.955688531414959</v>
      </c>
      <c r="M1246">
        <v>72.363936793845241</v>
      </c>
      <c r="N1246">
        <v>48.403612564765332</v>
      </c>
      <c r="O1246">
        <v>8.7813636363636363</v>
      </c>
      <c r="P1246">
        <v>-0.97136363636363665</v>
      </c>
      <c r="Q1246">
        <v>1245</v>
      </c>
      <c r="R1246">
        <v>8</v>
      </c>
      <c r="S1246" t="s">
        <v>24</v>
      </c>
      <c r="T1246" t="s">
        <v>1020</v>
      </c>
      <c r="U1246">
        <v>5000</v>
      </c>
      <c r="V1246">
        <v>1000</v>
      </c>
    </row>
    <row r="1247" spans="1:22" x14ac:dyDescent="0.3">
      <c r="A1247" t="s">
        <v>1411</v>
      </c>
      <c r="B1247" t="s">
        <v>424</v>
      </c>
      <c r="C1247">
        <v>1.1299999999999999</v>
      </c>
      <c r="D1247">
        <v>7.45</v>
      </c>
      <c r="E1247">
        <v>6.98</v>
      </c>
      <c r="F1247">
        <v>1.95</v>
      </c>
      <c r="G1247">
        <v>54.715359828141771</v>
      </c>
      <c r="H1247">
        <v>32.463967055593692</v>
      </c>
      <c r="I1247">
        <v>41.708008504606667</v>
      </c>
      <c r="J1247">
        <v>41.536266334609799</v>
      </c>
      <c r="K1247">
        <v>29.885057471264375</v>
      </c>
      <c r="L1247">
        <v>11.178610312282004</v>
      </c>
      <c r="M1247">
        <v>80.638078981114177</v>
      </c>
      <c r="N1247">
        <v>48.398917280399537</v>
      </c>
      <c r="O1247">
        <v>7.9378947368421047</v>
      </c>
      <c r="P1247">
        <v>-0.95789473684210424</v>
      </c>
      <c r="Q1247">
        <v>1246</v>
      </c>
      <c r="R1247">
        <v>13</v>
      </c>
      <c r="S1247" t="s">
        <v>24</v>
      </c>
      <c r="T1247" t="s">
        <v>425</v>
      </c>
      <c r="U1247">
        <v>1000</v>
      </c>
      <c r="V1247">
        <v>1000</v>
      </c>
    </row>
    <row r="1248" spans="1:22" x14ac:dyDescent="0.3">
      <c r="A1248" t="s">
        <v>1412</v>
      </c>
      <c r="B1248" t="s">
        <v>976</v>
      </c>
      <c r="C1248">
        <v>4.5599999999999996</v>
      </c>
      <c r="D1248">
        <v>2.88</v>
      </c>
      <c r="E1248">
        <v>4.1399999999999997</v>
      </c>
      <c r="F1248">
        <v>1.25</v>
      </c>
      <c r="G1248">
        <v>62.083780880773354</v>
      </c>
      <c r="H1248">
        <v>24.622512010981474</v>
      </c>
      <c r="I1248">
        <v>31.644223954642094</v>
      </c>
      <c r="J1248">
        <v>35.625621756770158</v>
      </c>
      <c r="K1248">
        <v>56.704980842911866</v>
      </c>
      <c r="L1248">
        <v>19.91321893372076</v>
      </c>
      <c r="M1248">
        <v>65.509293064553106</v>
      </c>
      <c r="N1248">
        <v>48.366379355251325</v>
      </c>
      <c r="O1248">
        <v>4.3111111111111109</v>
      </c>
      <c r="P1248">
        <v>-0.17111111111111121</v>
      </c>
      <c r="Q1248">
        <v>1247</v>
      </c>
      <c r="R1248">
        <v>22</v>
      </c>
      <c r="S1248" t="s">
        <v>24</v>
      </c>
      <c r="T1248" t="s">
        <v>1119</v>
      </c>
      <c r="U1248">
        <v>5000</v>
      </c>
      <c r="V1248">
        <v>1000</v>
      </c>
    </row>
    <row r="1249" spans="1:22" x14ac:dyDescent="0.3">
      <c r="A1249" t="s">
        <v>1413</v>
      </c>
      <c r="B1249" t="s">
        <v>976</v>
      </c>
      <c r="C1249">
        <v>4.5599999999999996</v>
      </c>
      <c r="D1249">
        <v>2.88</v>
      </c>
      <c r="E1249">
        <v>4.13</v>
      </c>
      <c r="F1249">
        <v>1.25</v>
      </c>
      <c r="G1249">
        <v>62.083780880773354</v>
      </c>
      <c r="H1249">
        <v>24.622512010981474</v>
      </c>
      <c r="I1249">
        <v>31.608788093550672</v>
      </c>
      <c r="J1249">
        <v>35.607903826224444</v>
      </c>
      <c r="K1249">
        <v>56.704980842911866</v>
      </c>
      <c r="L1249">
        <v>19.920173627999961</v>
      </c>
      <c r="M1249">
        <v>65.497247180710417</v>
      </c>
      <c r="N1249">
        <v>48.354508919017789</v>
      </c>
      <c r="O1249">
        <v>4.3111111111111109</v>
      </c>
      <c r="P1249">
        <v>-0.181111111111111</v>
      </c>
      <c r="Q1249">
        <v>1248</v>
      </c>
      <c r="R1249">
        <v>23</v>
      </c>
      <c r="S1249" t="s">
        <v>24</v>
      </c>
      <c r="T1249" t="s">
        <v>1119</v>
      </c>
      <c r="U1249">
        <v>5000</v>
      </c>
      <c r="V1249">
        <v>1000</v>
      </c>
    </row>
    <row r="1250" spans="1:22" x14ac:dyDescent="0.3">
      <c r="A1250" t="s">
        <v>1414</v>
      </c>
      <c r="B1250" t="s">
        <v>844</v>
      </c>
      <c r="C1250">
        <v>3.13</v>
      </c>
      <c r="D1250">
        <v>2.65</v>
      </c>
      <c r="E1250">
        <v>3.53</v>
      </c>
      <c r="F1250">
        <v>1.21</v>
      </c>
      <c r="G1250">
        <v>59.011815252416753</v>
      </c>
      <c r="H1250">
        <v>24.227865477007555</v>
      </c>
      <c r="I1250">
        <v>29.482636428065202</v>
      </c>
      <c r="J1250">
        <v>33.812040907618218</v>
      </c>
      <c r="K1250">
        <v>58.237547892720308</v>
      </c>
      <c r="L1250">
        <v>18.750591909620706</v>
      </c>
      <c r="M1250">
        <v>67.523022140546999</v>
      </c>
      <c r="N1250">
        <v>48.346162962125938</v>
      </c>
      <c r="O1250">
        <v>4.4820000000000002</v>
      </c>
      <c r="P1250">
        <v>-0.9520000000000004</v>
      </c>
      <c r="Q1250">
        <v>1249</v>
      </c>
      <c r="R1250">
        <v>40</v>
      </c>
      <c r="S1250" t="s">
        <v>24</v>
      </c>
      <c r="T1250" t="s">
        <v>845</v>
      </c>
      <c r="U1250">
        <v>1000</v>
      </c>
      <c r="V1250">
        <v>1000</v>
      </c>
    </row>
    <row r="1251" spans="1:22" x14ac:dyDescent="0.3">
      <c r="A1251" t="s">
        <v>1415</v>
      </c>
      <c r="B1251" t="s">
        <v>202</v>
      </c>
      <c r="C1251">
        <v>3.83</v>
      </c>
      <c r="D1251">
        <v>13.63</v>
      </c>
      <c r="E1251">
        <v>4.08</v>
      </c>
      <c r="F1251">
        <v>1.76</v>
      </c>
      <c r="G1251">
        <v>60.515574650912995</v>
      </c>
      <c r="H1251">
        <v>43.067947838023343</v>
      </c>
      <c r="I1251">
        <v>31.431608788093545</v>
      </c>
      <c r="J1251">
        <v>40.739303675636371</v>
      </c>
      <c r="K1251">
        <v>37.164750957854409</v>
      </c>
      <c r="L1251">
        <v>14.638426248498813</v>
      </c>
      <c r="M1251">
        <v>74.645501994750177</v>
      </c>
      <c r="N1251">
        <v>48.322215075969332</v>
      </c>
      <c r="O1251">
        <v>10.023387096774194</v>
      </c>
      <c r="P1251">
        <v>-5.9433870967741935</v>
      </c>
      <c r="Q1251">
        <v>1250</v>
      </c>
      <c r="R1251">
        <v>52</v>
      </c>
      <c r="S1251" t="s">
        <v>24</v>
      </c>
      <c r="T1251" t="s">
        <v>78</v>
      </c>
      <c r="U1251">
        <v>1000</v>
      </c>
      <c r="V1251">
        <v>1000</v>
      </c>
    </row>
    <row r="1252" spans="1:22" x14ac:dyDescent="0.3">
      <c r="A1252" t="s">
        <v>1416</v>
      </c>
      <c r="B1252" t="s">
        <v>383</v>
      </c>
      <c r="C1252">
        <v>4.96</v>
      </c>
      <c r="D1252">
        <v>10.37</v>
      </c>
      <c r="E1252">
        <v>7.62</v>
      </c>
      <c r="F1252">
        <v>2.09</v>
      </c>
      <c r="G1252">
        <v>62.943071965628349</v>
      </c>
      <c r="H1252">
        <v>37.474262182566918</v>
      </c>
      <c r="I1252">
        <v>43.975903614457827</v>
      </c>
      <c r="J1252">
        <v>45.818844855124659</v>
      </c>
      <c r="K1252">
        <v>24.521072796934874</v>
      </c>
      <c r="L1252">
        <v>13.233071502466153</v>
      </c>
      <c r="M1252">
        <v>77.079647817536795</v>
      </c>
      <c r="N1252">
        <v>48.309602581180243</v>
      </c>
      <c r="O1252">
        <v>6.1480952380952392</v>
      </c>
      <c r="P1252">
        <v>1.4719047619047609</v>
      </c>
      <c r="Q1252">
        <v>1251</v>
      </c>
      <c r="R1252">
        <v>19</v>
      </c>
      <c r="S1252" t="s">
        <v>24</v>
      </c>
      <c r="T1252" t="s">
        <v>816</v>
      </c>
      <c r="U1252">
        <v>1000</v>
      </c>
      <c r="V1252">
        <v>1000</v>
      </c>
    </row>
    <row r="1253" spans="1:22" x14ac:dyDescent="0.3">
      <c r="A1253" t="s">
        <v>1417</v>
      </c>
      <c r="B1253" t="s">
        <v>976</v>
      </c>
      <c r="C1253">
        <v>3.83</v>
      </c>
      <c r="D1253">
        <v>1.34</v>
      </c>
      <c r="E1253">
        <v>4.54</v>
      </c>
      <c r="F1253">
        <v>1.24</v>
      </c>
      <c r="G1253">
        <v>60.515574650912995</v>
      </c>
      <c r="H1253">
        <v>21.980096087851752</v>
      </c>
      <c r="I1253">
        <v>33.061658398299073</v>
      </c>
      <c r="J1253">
        <v>35.227972955687662</v>
      </c>
      <c r="K1253">
        <v>57.088122605363978</v>
      </c>
      <c r="L1253">
        <v>19.838941709552024</v>
      </c>
      <c r="M1253">
        <v>65.637944990658525</v>
      </c>
      <c r="N1253">
        <v>48.295503376849453</v>
      </c>
      <c r="O1253">
        <v>4.3111111111111109</v>
      </c>
      <c r="P1253">
        <v>0.22888888888888914</v>
      </c>
      <c r="Q1253">
        <v>1252</v>
      </c>
      <c r="R1253">
        <v>24</v>
      </c>
      <c r="S1253" t="s">
        <v>24</v>
      </c>
      <c r="T1253" t="s">
        <v>1119</v>
      </c>
      <c r="U1253">
        <v>1000</v>
      </c>
      <c r="V1253">
        <v>1000</v>
      </c>
    </row>
    <row r="1254" spans="1:22" x14ac:dyDescent="0.3">
      <c r="A1254" t="s">
        <v>1418</v>
      </c>
      <c r="B1254" t="s">
        <v>585</v>
      </c>
      <c r="C1254">
        <v>1.73</v>
      </c>
      <c r="D1254">
        <v>6.51</v>
      </c>
      <c r="E1254">
        <v>7.14</v>
      </c>
      <c r="F1254">
        <v>1.9</v>
      </c>
      <c r="G1254">
        <v>56.004296455424274</v>
      </c>
      <c r="H1254">
        <v>30.85106382978724</v>
      </c>
      <c r="I1254">
        <v>42.274982282069452</v>
      </c>
      <c r="J1254">
        <v>41.59366958105575</v>
      </c>
      <c r="K1254">
        <v>31.800766283524908</v>
      </c>
      <c r="L1254">
        <v>12.594212242100781</v>
      </c>
      <c r="M1254">
        <v>78.186184515375501</v>
      </c>
      <c r="N1254">
        <v>48.293572490252977</v>
      </c>
      <c r="O1254">
        <v>6.6483333333333334</v>
      </c>
      <c r="P1254">
        <v>0.49166666666666625</v>
      </c>
      <c r="Q1254">
        <v>1253</v>
      </c>
      <c r="R1254">
        <v>4</v>
      </c>
      <c r="S1254" t="s">
        <v>24</v>
      </c>
      <c r="T1254" t="s">
        <v>112</v>
      </c>
      <c r="U1254">
        <v>1000</v>
      </c>
      <c r="V1254">
        <v>1000</v>
      </c>
    </row>
    <row r="1255" spans="1:22" x14ac:dyDescent="0.3">
      <c r="A1255" t="s">
        <v>1419</v>
      </c>
      <c r="B1255" t="s">
        <v>383</v>
      </c>
      <c r="C1255">
        <v>3.73</v>
      </c>
      <c r="D1255">
        <v>12.07</v>
      </c>
      <c r="E1255">
        <v>8.57</v>
      </c>
      <c r="F1255">
        <v>2.34</v>
      </c>
      <c r="G1255">
        <v>60.300751879699241</v>
      </c>
      <c r="H1255">
        <v>40.391214824982846</v>
      </c>
      <c r="I1255">
        <v>47.342310418143157</v>
      </c>
      <c r="J1255">
        <v>47.848670032506277</v>
      </c>
      <c r="K1255">
        <v>14.942528735632177</v>
      </c>
      <c r="L1255">
        <v>10.104690336595787</v>
      </c>
      <c r="M1255">
        <v>82.498162942265836</v>
      </c>
      <c r="N1255">
        <v>48.284507935727646</v>
      </c>
      <c r="O1255">
        <v>6.1480952380952392</v>
      </c>
      <c r="P1255">
        <v>2.4219047619047611</v>
      </c>
      <c r="Q1255">
        <v>1254</v>
      </c>
      <c r="R1255">
        <v>20</v>
      </c>
      <c r="S1255" t="s">
        <v>24</v>
      </c>
      <c r="T1255" t="s">
        <v>384</v>
      </c>
      <c r="U1255">
        <v>1000</v>
      </c>
      <c r="V1255">
        <v>1000</v>
      </c>
    </row>
    <row r="1256" spans="1:22" x14ac:dyDescent="0.3">
      <c r="A1256" t="s">
        <v>1420</v>
      </c>
      <c r="B1256" t="s">
        <v>272</v>
      </c>
      <c r="C1256">
        <v>3.89</v>
      </c>
      <c r="D1256">
        <v>8.8699999999999992</v>
      </c>
      <c r="E1256">
        <v>8.1199999999999992</v>
      </c>
      <c r="F1256">
        <v>2.09</v>
      </c>
      <c r="G1256">
        <v>60.644468313641241</v>
      </c>
      <c r="H1256">
        <v>34.90048043925875</v>
      </c>
      <c r="I1256">
        <v>45.747696669029054</v>
      </c>
      <c r="J1256">
        <v>45.472886129020402</v>
      </c>
      <c r="K1256">
        <v>24.521072796934874</v>
      </c>
      <c r="L1256">
        <v>12.924968194954205</v>
      </c>
      <c r="M1256">
        <v>77.613298400127519</v>
      </c>
      <c r="N1256">
        <v>48.270035863775803</v>
      </c>
      <c r="O1256">
        <v>10.044583333333334</v>
      </c>
      <c r="P1256">
        <v>-1.9245833333333344</v>
      </c>
      <c r="Q1256">
        <v>1255</v>
      </c>
      <c r="R1256">
        <v>37</v>
      </c>
      <c r="S1256" t="s">
        <v>24</v>
      </c>
      <c r="T1256" t="s">
        <v>291</v>
      </c>
      <c r="U1256">
        <v>1000</v>
      </c>
      <c r="V1256">
        <v>1000</v>
      </c>
    </row>
    <row r="1257" spans="1:22" x14ac:dyDescent="0.3">
      <c r="A1257" t="s">
        <v>1421</v>
      </c>
      <c r="B1257" t="s">
        <v>1331</v>
      </c>
      <c r="C1257">
        <v>5.51</v>
      </c>
      <c r="D1257">
        <v>3.44</v>
      </c>
      <c r="E1257">
        <v>4.8600000000000003</v>
      </c>
      <c r="F1257">
        <v>1.35</v>
      </c>
      <c r="G1257">
        <v>64.124597207303964</v>
      </c>
      <c r="H1257">
        <v>25.583390528483186</v>
      </c>
      <c r="I1257">
        <v>34.195605953224664</v>
      </c>
      <c r="J1257">
        <v>37.597739576618082</v>
      </c>
      <c r="K1257">
        <v>52.873563218390807</v>
      </c>
      <c r="L1257">
        <v>20.229266687436176</v>
      </c>
      <c r="M1257">
        <v>64.961882297499983</v>
      </c>
      <c r="N1257">
        <v>48.25773116728174</v>
      </c>
      <c r="O1257">
        <v>4.7778125000000005</v>
      </c>
      <c r="P1257">
        <v>8.2187499999999858E-2</v>
      </c>
      <c r="Q1257">
        <v>1256</v>
      </c>
      <c r="R1257">
        <v>6</v>
      </c>
      <c r="S1257" t="s">
        <v>24</v>
      </c>
      <c r="T1257" t="s">
        <v>1422</v>
      </c>
      <c r="U1257">
        <v>5000</v>
      </c>
      <c r="V1257">
        <v>1000</v>
      </c>
    </row>
    <row r="1258" spans="1:22" x14ac:dyDescent="0.3">
      <c r="A1258" t="s">
        <v>1423</v>
      </c>
      <c r="B1258" t="s">
        <v>520</v>
      </c>
      <c r="C1258">
        <v>3.54</v>
      </c>
      <c r="D1258">
        <v>2.06</v>
      </c>
      <c r="E1258">
        <v>4.84</v>
      </c>
      <c r="F1258">
        <v>1.33</v>
      </c>
      <c r="G1258">
        <v>59.892588614393127</v>
      </c>
      <c r="H1258">
        <v>23.215511324639674</v>
      </c>
      <c r="I1258">
        <v>34.124734231041806</v>
      </c>
      <c r="J1258">
        <v>36.005538235791434</v>
      </c>
      <c r="K1258">
        <v>53.639846743295003</v>
      </c>
      <c r="L1258">
        <v>18.833487296398914</v>
      </c>
      <c r="M1258">
        <v>67.379443118934063</v>
      </c>
      <c r="N1258">
        <v>48.257591583452985</v>
      </c>
      <c r="O1258">
        <v>4.625</v>
      </c>
      <c r="P1258">
        <v>0.21499999999999986</v>
      </c>
      <c r="Q1258">
        <v>1257</v>
      </c>
      <c r="R1258">
        <v>31</v>
      </c>
      <c r="S1258" t="s">
        <v>24</v>
      </c>
      <c r="T1258" t="s">
        <v>788</v>
      </c>
      <c r="U1258">
        <v>5000</v>
      </c>
      <c r="V1258">
        <v>1000</v>
      </c>
    </row>
    <row r="1259" spans="1:22" x14ac:dyDescent="0.3">
      <c r="A1259" t="s">
        <v>1424</v>
      </c>
      <c r="B1259" t="s">
        <v>1331</v>
      </c>
      <c r="C1259">
        <v>5.5</v>
      </c>
      <c r="D1259">
        <v>3.44</v>
      </c>
      <c r="E1259">
        <v>4.8499999999999996</v>
      </c>
      <c r="F1259">
        <v>1.35</v>
      </c>
      <c r="G1259">
        <v>64.103114930182585</v>
      </c>
      <c r="H1259">
        <v>25.583390528483186</v>
      </c>
      <c r="I1259">
        <v>34.160170092133235</v>
      </c>
      <c r="J1259">
        <v>37.575725190648086</v>
      </c>
      <c r="K1259">
        <v>52.873563218390807</v>
      </c>
      <c r="L1259">
        <v>20.223378638104247</v>
      </c>
      <c r="M1259">
        <v>64.972080698100356</v>
      </c>
      <c r="N1259">
        <v>48.249273574446832</v>
      </c>
      <c r="O1259">
        <v>4.7778125000000005</v>
      </c>
      <c r="P1259">
        <v>7.2187499999999183E-2</v>
      </c>
      <c r="Q1259">
        <v>1258</v>
      </c>
      <c r="R1259">
        <v>7</v>
      </c>
      <c r="S1259" t="s">
        <v>24</v>
      </c>
      <c r="T1259" t="s">
        <v>1422</v>
      </c>
      <c r="U1259">
        <v>5000</v>
      </c>
      <c r="V1259">
        <v>1000</v>
      </c>
    </row>
    <row r="1260" spans="1:22" x14ac:dyDescent="0.3">
      <c r="A1260" t="s">
        <v>1425</v>
      </c>
      <c r="B1260" t="s">
        <v>1331</v>
      </c>
      <c r="C1260">
        <v>5.51</v>
      </c>
      <c r="D1260">
        <v>3.44</v>
      </c>
      <c r="E1260">
        <v>4.8499999999999996</v>
      </c>
      <c r="F1260">
        <v>1.35</v>
      </c>
      <c r="G1260">
        <v>64.124597207303964</v>
      </c>
      <c r="H1260">
        <v>25.583390528483186</v>
      </c>
      <c r="I1260">
        <v>34.160170092133235</v>
      </c>
      <c r="J1260">
        <v>37.580021646072368</v>
      </c>
      <c r="K1260">
        <v>52.873563218390807</v>
      </c>
      <c r="L1260">
        <v>20.235499550226919</v>
      </c>
      <c r="M1260">
        <v>64.951086662469805</v>
      </c>
      <c r="N1260">
        <v>48.246173293251339</v>
      </c>
      <c r="O1260">
        <v>4.7778125000000005</v>
      </c>
      <c r="P1260">
        <v>7.2187499999999183E-2</v>
      </c>
      <c r="Q1260">
        <v>1259</v>
      </c>
      <c r="R1260">
        <v>8</v>
      </c>
      <c r="S1260" t="s">
        <v>24</v>
      </c>
      <c r="T1260" t="s">
        <v>1422</v>
      </c>
      <c r="U1260">
        <v>5000</v>
      </c>
      <c r="V1260">
        <v>1000</v>
      </c>
    </row>
    <row r="1261" spans="1:22" x14ac:dyDescent="0.3">
      <c r="A1261" t="s">
        <v>1426</v>
      </c>
      <c r="B1261" t="s">
        <v>383</v>
      </c>
      <c r="C1261">
        <v>3.84</v>
      </c>
      <c r="D1261">
        <v>8.86</v>
      </c>
      <c r="E1261">
        <v>7.78</v>
      </c>
      <c r="F1261">
        <v>2.06</v>
      </c>
      <c r="G1261">
        <v>60.537056928034374</v>
      </c>
      <c r="H1261">
        <v>34.883321894303364</v>
      </c>
      <c r="I1261">
        <v>44.542877391920619</v>
      </c>
      <c r="J1261">
        <v>44.843846649858193</v>
      </c>
      <c r="K1261">
        <v>25.670498084291182</v>
      </c>
      <c r="L1261">
        <v>12.956561482030803</v>
      </c>
      <c r="M1261">
        <v>77.558577221732733</v>
      </c>
      <c r="N1261">
        <v>48.229192151435072</v>
      </c>
      <c r="O1261">
        <v>6.1480952380952392</v>
      </c>
      <c r="P1261">
        <v>1.6319047619047611</v>
      </c>
      <c r="Q1261">
        <v>1260</v>
      </c>
      <c r="R1261">
        <v>21</v>
      </c>
      <c r="S1261" t="s">
        <v>24</v>
      </c>
      <c r="T1261" t="s">
        <v>384</v>
      </c>
      <c r="U1261">
        <v>5000</v>
      </c>
      <c r="V1261">
        <v>1000</v>
      </c>
    </row>
    <row r="1262" spans="1:22" x14ac:dyDescent="0.3">
      <c r="A1262" t="s">
        <v>1427</v>
      </c>
      <c r="B1262" t="s">
        <v>199</v>
      </c>
      <c r="C1262">
        <v>-0.14000000000000001</v>
      </c>
      <c r="D1262">
        <v>8.48</v>
      </c>
      <c r="E1262">
        <v>7.72</v>
      </c>
      <c r="F1262">
        <v>2.14</v>
      </c>
      <c r="G1262">
        <v>51.987110633727177</v>
      </c>
      <c r="H1262">
        <v>34.231297185998635</v>
      </c>
      <c r="I1262">
        <v>44.330262225372074</v>
      </c>
      <c r="J1262">
        <v>42.831942395231067</v>
      </c>
      <c r="K1262">
        <v>22.60536398467432</v>
      </c>
      <c r="L1262">
        <v>8.905853258817622</v>
      </c>
      <c r="M1262">
        <v>84.574609670975022</v>
      </c>
      <c r="N1262">
        <v>48.210964611527871</v>
      </c>
      <c r="O1262">
        <v>9.83</v>
      </c>
      <c r="P1262">
        <v>-2.1100000000000003</v>
      </c>
      <c r="Q1262">
        <v>1261</v>
      </c>
      <c r="R1262">
        <v>21</v>
      </c>
      <c r="S1262" t="s">
        <v>24</v>
      </c>
      <c r="T1262" t="s">
        <v>78</v>
      </c>
      <c r="U1262">
        <v>1000</v>
      </c>
      <c r="V1262">
        <v>1000</v>
      </c>
    </row>
    <row r="1263" spans="1:22" x14ac:dyDescent="0.3">
      <c r="A1263" t="s">
        <v>1428</v>
      </c>
      <c r="B1263" t="s">
        <v>199</v>
      </c>
      <c r="C1263">
        <v>3.42</v>
      </c>
      <c r="D1263">
        <v>9.1999999999999993</v>
      </c>
      <c r="E1263">
        <v>8.6199999999999992</v>
      </c>
      <c r="F1263">
        <v>2.1800000000000002</v>
      </c>
      <c r="G1263">
        <v>59.634801288936622</v>
      </c>
      <c r="H1263">
        <v>35.46671242278655</v>
      </c>
      <c r="I1263">
        <v>47.51948972360028</v>
      </c>
      <c r="J1263">
        <v>46.326718846423432</v>
      </c>
      <c r="K1263">
        <v>21.072796934865899</v>
      </c>
      <c r="L1263">
        <v>12.084057916874821</v>
      </c>
      <c r="M1263">
        <v>79.069797726367881</v>
      </c>
      <c r="N1263">
        <v>48.199008088520159</v>
      </c>
      <c r="O1263">
        <v>9.83</v>
      </c>
      <c r="P1263">
        <v>-1.2100000000000009</v>
      </c>
      <c r="Q1263">
        <v>1262</v>
      </c>
      <c r="R1263">
        <v>22</v>
      </c>
      <c r="S1263" t="s">
        <v>24</v>
      </c>
      <c r="T1263" t="s">
        <v>78</v>
      </c>
      <c r="U1263">
        <v>1000</v>
      </c>
      <c r="V1263">
        <v>1000</v>
      </c>
    </row>
    <row r="1264" spans="1:22" x14ac:dyDescent="0.3">
      <c r="A1264" t="s">
        <v>1429</v>
      </c>
      <c r="B1264" t="s">
        <v>445</v>
      </c>
      <c r="C1264">
        <v>2.96</v>
      </c>
      <c r="D1264">
        <v>8.8800000000000008</v>
      </c>
      <c r="E1264">
        <v>5.8</v>
      </c>
      <c r="F1264">
        <v>1.86</v>
      </c>
      <c r="G1264">
        <v>58.646616541353382</v>
      </c>
      <c r="H1264">
        <v>34.917638984214143</v>
      </c>
      <c r="I1264">
        <v>37.526576895818565</v>
      </c>
      <c r="J1264">
        <v>40.967903451444201</v>
      </c>
      <c r="K1264">
        <v>33.333333333333329</v>
      </c>
      <c r="L1264">
        <v>13.012346749419612</v>
      </c>
      <c r="M1264">
        <v>77.461954304301514</v>
      </c>
      <c r="N1264">
        <v>48.182773635130815</v>
      </c>
      <c r="O1264">
        <v>5.7759259259259252</v>
      </c>
      <c r="P1264">
        <v>2.4074074074074581E-2</v>
      </c>
      <c r="Q1264">
        <v>1263</v>
      </c>
      <c r="R1264">
        <v>26</v>
      </c>
      <c r="S1264" t="s">
        <v>24</v>
      </c>
      <c r="T1264" t="s">
        <v>612</v>
      </c>
      <c r="U1264">
        <v>1000</v>
      </c>
      <c r="V1264">
        <v>1000</v>
      </c>
    </row>
    <row r="1265" spans="1:22" x14ac:dyDescent="0.3">
      <c r="A1265" t="s">
        <v>1430</v>
      </c>
      <c r="B1265" t="s">
        <v>185</v>
      </c>
      <c r="C1265">
        <v>1.92</v>
      </c>
      <c r="D1265">
        <v>14.7</v>
      </c>
      <c r="E1265">
        <v>7.89</v>
      </c>
      <c r="F1265">
        <v>2.48</v>
      </c>
      <c r="G1265">
        <v>56.412459720730389</v>
      </c>
      <c r="H1265">
        <v>44.90391214824983</v>
      </c>
      <c r="I1265">
        <v>44.932671863926288</v>
      </c>
      <c r="J1265">
        <v>47.220001520584169</v>
      </c>
      <c r="K1265">
        <v>9.578544061302674</v>
      </c>
      <c r="L1265">
        <v>6.6361764039558313</v>
      </c>
      <c r="M1265">
        <v>88.505805300358773</v>
      </c>
      <c r="N1265">
        <v>48.131088100707444</v>
      </c>
      <c r="O1265">
        <v>9.4014285714285712</v>
      </c>
      <c r="P1265">
        <v>-1.5114285714285716</v>
      </c>
      <c r="Q1265">
        <v>1264</v>
      </c>
      <c r="R1265">
        <v>23</v>
      </c>
      <c r="S1265" t="s">
        <v>24</v>
      </c>
      <c r="T1265" t="s">
        <v>186</v>
      </c>
      <c r="U1265">
        <v>5000</v>
      </c>
      <c r="V1265">
        <v>1000</v>
      </c>
    </row>
    <row r="1266" spans="1:22" x14ac:dyDescent="0.3">
      <c r="A1266" t="s">
        <v>1431</v>
      </c>
      <c r="B1266" t="s">
        <v>592</v>
      </c>
      <c r="C1266">
        <v>-6.18</v>
      </c>
      <c r="D1266">
        <v>17.079999999999998</v>
      </c>
      <c r="E1266">
        <v>10.65</v>
      </c>
      <c r="F1266">
        <v>2.56</v>
      </c>
      <c r="G1266">
        <v>39.011815252416753</v>
      </c>
      <c r="H1266">
        <v>48.987645847632123</v>
      </c>
      <c r="I1266">
        <v>54.712969525159458</v>
      </c>
      <c r="J1266">
        <v>49.855141567352717</v>
      </c>
      <c r="K1266">
        <v>6.5134099616858121</v>
      </c>
      <c r="L1266">
        <v>7.9458875398258346</v>
      </c>
      <c r="M1266">
        <v>86.237319069793188</v>
      </c>
      <c r="N1266">
        <v>48.115253041546111</v>
      </c>
      <c r="O1266">
        <v>12.223750000000001</v>
      </c>
      <c r="P1266">
        <v>-1.5737500000000004</v>
      </c>
      <c r="Q1266">
        <v>1265</v>
      </c>
      <c r="R1266">
        <v>7</v>
      </c>
      <c r="S1266" t="s">
        <v>24</v>
      </c>
      <c r="T1266" t="s">
        <v>593</v>
      </c>
      <c r="U1266">
        <v>5000</v>
      </c>
      <c r="V1266">
        <v>1000</v>
      </c>
    </row>
    <row r="1267" spans="1:22" x14ac:dyDescent="0.3">
      <c r="A1267" t="s">
        <v>1432</v>
      </c>
      <c r="B1267" t="s">
        <v>592</v>
      </c>
      <c r="C1267">
        <v>-6.18</v>
      </c>
      <c r="D1267">
        <v>17.079999999999998</v>
      </c>
      <c r="E1267">
        <v>10.65</v>
      </c>
      <c r="F1267">
        <v>2.56</v>
      </c>
      <c r="G1267">
        <v>39.011815252416753</v>
      </c>
      <c r="H1267">
        <v>48.987645847632123</v>
      </c>
      <c r="I1267">
        <v>54.712969525159458</v>
      </c>
      <c r="J1267">
        <v>49.855141567352717</v>
      </c>
      <c r="K1267">
        <v>6.5134099616858121</v>
      </c>
      <c r="L1267">
        <v>7.9458875398258346</v>
      </c>
      <c r="M1267">
        <v>86.237319069793188</v>
      </c>
      <c r="N1267">
        <v>48.115253041546111</v>
      </c>
      <c r="O1267">
        <v>12.223750000000001</v>
      </c>
      <c r="P1267">
        <v>-1.5737500000000004</v>
      </c>
      <c r="Q1267">
        <v>1265</v>
      </c>
      <c r="R1267">
        <v>7</v>
      </c>
      <c r="S1267" t="s">
        <v>24</v>
      </c>
      <c r="T1267" t="s">
        <v>593</v>
      </c>
      <c r="U1267">
        <v>5000</v>
      </c>
      <c r="V1267">
        <v>1000</v>
      </c>
    </row>
    <row r="1268" spans="1:22" x14ac:dyDescent="0.3">
      <c r="A1268" t="s">
        <v>1433</v>
      </c>
      <c r="B1268" t="s">
        <v>383</v>
      </c>
      <c r="C1268">
        <v>3.73</v>
      </c>
      <c r="D1268">
        <v>12.07</v>
      </c>
      <c r="E1268">
        <v>8.4</v>
      </c>
      <c r="F1268">
        <v>2.34</v>
      </c>
      <c r="G1268">
        <v>60.300751879699241</v>
      </c>
      <c r="H1268">
        <v>40.391214824982846</v>
      </c>
      <c r="I1268">
        <v>46.739900779588943</v>
      </c>
      <c r="J1268">
        <v>47.547465213229174</v>
      </c>
      <c r="K1268">
        <v>14.942528735632177</v>
      </c>
      <c r="L1268">
        <v>10.17015373239019</v>
      </c>
      <c r="M1268">
        <v>82.384777014713933</v>
      </c>
      <c r="N1268">
        <v>48.105559044201115</v>
      </c>
      <c r="O1268">
        <v>6.1480952380952392</v>
      </c>
      <c r="P1268">
        <v>2.2519047619047612</v>
      </c>
      <c r="Q1268">
        <v>1267</v>
      </c>
      <c r="R1268">
        <v>22</v>
      </c>
      <c r="S1268" t="s">
        <v>24</v>
      </c>
      <c r="T1268" t="s">
        <v>384</v>
      </c>
      <c r="U1268">
        <v>1000</v>
      </c>
      <c r="V1268">
        <v>1000</v>
      </c>
    </row>
    <row r="1269" spans="1:22" x14ac:dyDescent="0.3">
      <c r="A1269" t="s">
        <v>1434</v>
      </c>
      <c r="B1269" t="s">
        <v>383</v>
      </c>
      <c r="C1269">
        <v>3.74</v>
      </c>
      <c r="D1269">
        <v>12.07</v>
      </c>
      <c r="E1269">
        <v>8.4</v>
      </c>
      <c r="F1269">
        <v>2.34</v>
      </c>
      <c r="G1269">
        <v>60.32223415682062</v>
      </c>
      <c r="H1269">
        <v>40.391214824982846</v>
      </c>
      <c r="I1269">
        <v>46.739900779588943</v>
      </c>
      <c r="J1269">
        <v>47.551761668653455</v>
      </c>
      <c r="K1269">
        <v>14.942528735632177</v>
      </c>
      <c r="L1269">
        <v>10.181937642434644</v>
      </c>
      <c r="M1269">
        <v>82.364366683805116</v>
      </c>
      <c r="N1269">
        <v>48.102604689186052</v>
      </c>
      <c r="O1269">
        <v>6.1480952380952392</v>
      </c>
      <c r="P1269">
        <v>2.2519047619047612</v>
      </c>
      <c r="Q1269">
        <v>1268</v>
      </c>
      <c r="R1269">
        <v>23</v>
      </c>
      <c r="S1269" t="s">
        <v>24</v>
      </c>
      <c r="T1269" t="s">
        <v>384</v>
      </c>
      <c r="U1269">
        <v>1000</v>
      </c>
      <c r="V1269">
        <v>1000</v>
      </c>
    </row>
    <row r="1270" spans="1:22" x14ac:dyDescent="0.3">
      <c r="A1270" t="s">
        <v>1435</v>
      </c>
      <c r="B1270" t="s">
        <v>199</v>
      </c>
      <c r="C1270">
        <v>-0.14000000000000001</v>
      </c>
      <c r="D1270">
        <v>8.48</v>
      </c>
      <c r="E1270">
        <v>7.57</v>
      </c>
      <c r="F1270">
        <v>2.14</v>
      </c>
      <c r="G1270">
        <v>51.987110633727177</v>
      </c>
      <c r="H1270">
        <v>34.231297185998635</v>
      </c>
      <c r="I1270">
        <v>43.798724309000711</v>
      </c>
      <c r="J1270">
        <v>42.566173437045379</v>
      </c>
      <c r="K1270">
        <v>22.60536398467432</v>
      </c>
      <c r="L1270">
        <v>8.8868277387327677</v>
      </c>
      <c r="M1270">
        <v>84.607562838402401</v>
      </c>
      <c r="N1270">
        <v>48.086318424291868</v>
      </c>
      <c r="O1270">
        <v>9.83</v>
      </c>
      <c r="P1270">
        <v>-2.2599999999999998</v>
      </c>
      <c r="Q1270">
        <v>1269</v>
      </c>
      <c r="R1270">
        <v>23</v>
      </c>
      <c r="S1270" t="s">
        <v>24</v>
      </c>
      <c r="T1270" t="s">
        <v>78</v>
      </c>
      <c r="U1270">
        <v>1000</v>
      </c>
      <c r="V1270">
        <v>1000</v>
      </c>
    </row>
    <row r="1271" spans="1:22" x14ac:dyDescent="0.3">
      <c r="A1271" t="s">
        <v>1436</v>
      </c>
      <c r="B1271" t="s">
        <v>976</v>
      </c>
      <c r="C1271">
        <v>3.83</v>
      </c>
      <c r="D1271">
        <v>1.34</v>
      </c>
      <c r="E1271">
        <v>4.29</v>
      </c>
      <c r="F1271">
        <v>1.24</v>
      </c>
      <c r="G1271">
        <v>60.515574650912995</v>
      </c>
      <c r="H1271">
        <v>21.980096087851752</v>
      </c>
      <c r="I1271">
        <v>32.175761871013464</v>
      </c>
      <c r="J1271">
        <v>34.785024692044857</v>
      </c>
      <c r="K1271">
        <v>57.088122605363978</v>
      </c>
      <c r="L1271">
        <v>19.966971466423594</v>
      </c>
      <c r="M1271">
        <v>65.416190946876284</v>
      </c>
      <c r="N1271">
        <v>48.018590734082494</v>
      </c>
      <c r="O1271">
        <v>4.3111111111111109</v>
      </c>
      <c r="P1271">
        <v>-2.1111111111110858E-2</v>
      </c>
      <c r="Q1271">
        <v>1270</v>
      </c>
      <c r="R1271">
        <v>25</v>
      </c>
      <c r="S1271" t="s">
        <v>24</v>
      </c>
      <c r="T1271" t="s">
        <v>1119</v>
      </c>
      <c r="U1271">
        <v>1000</v>
      </c>
      <c r="V1271">
        <v>1000</v>
      </c>
    </row>
    <row r="1272" spans="1:22" x14ac:dyDescent="0.3">
      <c r="A1272" t="s">
        <v>1437</v>
      </c>
      <c r="B1272" t="s">
        <v>383</v>
      </c>
      <c r="C1272">
        <v>6.42</v>
      </c>
      <c r="D1272">
        <v>9.19</v>
      </c>
      <c r="E1272">
        <v>8.16</v>
      </c>
      <c r="F1272">
        <v>2.0699999999999998</v>
      </c>
      <c r="G1272">
        <v>66.079484425349079</v>
      </c>
      <c r="H1272">
        <v>35.449553877831164</v>
      </c>
      <c r="I1272">
        <v>45.889440113394755</v>
      </c>
      <c r="J1272">
        <v>46.795483105116546</v>
      </c>
      <c r="K1272">
        <v>25.287356321839095</v>
      </c>
      <c r="L1272">
        <v>15.571457645726685</v>
      </c>
      <c r="M1272">
        <v>73.029444209694532</v>
      </c>
      <c r="N1272">
        <v>47.97694168544168</v>
      </c>
      <c r="O1272">
        <v>6.1480952380952392</v>
      </c>
      <c r="P1272">
        <v>2.011904761904761</v>
      </c>
      <c r="Q1272">
        <v>1271</v>
      </c>
      <c r="R1272">
        <v>24</v>
      </c>
      <c r="S1272" t="s">
        <v>24</v>
      </c>
      <c r="T1272" t="s">
        <v>816</v>
      </c>
      <c r="U1272">
        <v>5000</v>
      </c>
      <c r="V1272">
        <v>1000</v>
      </c>
    </row>
    <row r="1273" spans="1:22" x14ac:dyDescent="0.3">
      <c r="A1273" t="s">
        <v>1438</v>
      </c>
      <c r="B1273" t="s">
        <v>1019</v>
      </c>
      <c r="C1273">
        <v>5.25</v>
      </c>
      <c r="D1273">
        <v>9.0500000000000007</v>
      </c>
      <c r="E1273">
        <v>8.19</v>
      </c>
      <c r="F1273">
        <v>2.1</v>
      </c>
      <c r="G1273">
        <v>63.566058002148232</v>
      </c>
      <c r="H1273">
        <v>35.20933424845574</v>
      </c>
      <c r="I1273">
        <v>45.995747696669028</v>
      </c>
      <c r="J1273">
        <v>46.273885723300879</v>
      </c>
      <c r="K1273">
        <v>24.137931034482762</v>
      </c>
      <c r="L1273">
        <v>14.31296790414118</v>
      </c>
      <c r="M1273">
        <v>75.209212382924846</v>
      </c>
      <c r="N1273">
        <v>47.973728716002341</v>
      </c>
      <c r="O1273">
        <v>8.7813636363636363</v>
      </c>
      <c r="P1273">
        <v>-0.59136363636363676</v>
      </c>
      <c r="Q1273">
        <v>1272</v>
      </c>
      <c r="R1273">
        <v>9</v>
      </c>
      <c r="S1273" t="s">
        <v>24</v>
      </c>
      <c r="T1273" t="s">
        <v>1020</v>
      </c>
      <c r="U1273">
        <v>1000</v>
      </c>
      <c r="V1273">
        <v>1000</v>
      </c>
    </row>
    <row r="1274" spans="1:22" x14ac:dyDescent="0.3">
      <c r="A1274" t="s">
        <v>1439</v>
      </c>
      <c r="B1274" t="s">
        <v>1331</v>
      </c>
      <c r="C1274">
        <v>5.52</v>
      </c>
      <c r="D1274">
        <v>4.3</v>
      </c>
      <c r="E1274">
        <v>5.87</v>
      </c>
      <c r="F1274">
        <v>1.55</v>
      </c>
      <c r="G1274">
        <v>64.146079484425343</v>
      </c>
      <c r="H1274">
        <v>27.05902539464654</v>
      </c>
      <c r="I1274">
        <v>37.774627923458539</v>
      </c>
      <c r="J1274">
        <v>39.834237477008301</v>
      </c>
      <c r="K1274">
        <v>45.21072796934866</v>
      </c>
      <c r="L1274">
        <v>19.086326589324269</v>
      </c>
      <c r="M1274">
        <v>66.941512617437567</v>
      </c>
      <c r="N1274">
        <v>47.955178885200709</v>
      </c>
      <c r="O1274">
        <v>4.7778125000000005</v>
      </c>
      <c r="P1274">
        <v>1.0921874999999996</v>
      </c>
      <c r="Q1274">
        <v>1273</v>
      </c>
      <c r="R1274">
        <v>9</v>
      </c>
      <c r="S1274" t="s">
        <v>24</v>
      </c>
      <c r="T1274" t="s">
        <v>1422</v>
      </c>
      <c r="U1274">
        <v>5000</v>
      </c>
      <c r="V1274">
        <v>1000</v>
      </c>
    </row>
    <row r="1275" spans="1:22" x14ac:dyDescent="0.3">
      <c r="A1275" t="s">
        <v>1440</v>
      </c>
      <c r="B1275" t="s">
        <v>1331</v>
      </c>
      <c r="C1275">
        <v>5.52</v>
      </c>
      <c r="D1275">
        <v>4.3</v>
      </c>
      <c r="E1275">
        <v>5.87</v>
      </c>
      <c r="F1275">
        <v>1.55</v>
      </c>
      <c r="G1275">
        <v>64.146079484425343</v>
      </c>
      <c r="H1275">
        <v>27.05902539464654</v>
      </c>
      <c r="I1275">
        <v>37.774627923458539</v>
      </c>
      <c r="J1275">
        <v>39.834237477008301</v>
      </c>
      <c r="K1275">
        <v>45.21072796934866</v>
      </c>
      <c r="L1275">
        <v>19.086326589324269</v>
      </c>
      <c r="M1275">
        <v>66.941512617437567</v>
      </c>
      <c r="N1275">
        <v>47.955178885200709</v>
      </c>
      <c r="O1275">
        <v>4.7778125000000005</v>
      </c>
      <c r="P1275">
        <v>1.0921874999999996</v>
      </c>
      <c r="Q1275">
        <v>1273</v>
      </c>
      <c r="R1275">
        <v>9</v>
      </c>
      <c r="S1275" t="s">
        <v>24</v>
      </c>
      <c r="T1275" t="s">
        <v>1422</v>
      </c>
      <c r="U1275">
        <v>5000</v>
      </c>
      <c r="V1275">
        <v>1000</v>
      </c>
    </row>
    <row r="1276" spans="1:22" x14ac:dyDescent="0.3">
      <c r="A1276" t="s">
        <v>1441</v>
      </c>
      <c r="B1276" t="s">
        <v>1331</v>
      </c>
      <c r="C1276">
        <v>5.21</v>
      </c>
      <c r="D1276">
        <v>3.71</v>
      </c>
      <c r="E1276">
        <v>6.64</v>
      </c>
      <c r="F1276">
        <v>1.61</v>
      </c>
      <c r="G1276">
        <v>63.480128893662723</v>
      </c>
      <c r="H1276">
        <v>26.046671242278656</v>
      </c>
      <c r="I1276">
        <v>40.503189227498225</v>
      </c>
      <c r="J1276">
        <v>40.761621765165259</v>
      </c>
      <c r="K1276">
        <v>42.911877394636001</v>
      </c>
      <c r="L1276">
        <v>18.877651780246683</v>
      </c>
      <c r="M1276">
        <v>67.302947989019685</v>
      </c>
      <c r="N1276">
        <v>47.934517228496553</v>
      </c>
      <c r="O1276">
        <v>4.7778125000000005</v>
      </c>
      <c r="P1276">
        <v>1.8621874999999992</v>
      </c>
      <c r="Q1276">
        <v>1275</v>
      </c>
      <c r="R1276">
        <v>11</v>
      </c>
      <c r="S1276" t="s">
        <v>24</v>
      </c>
      <c r="T1276" t="s">
        <v>1422</v>
      </c>
      <c r="U1276">
        <v>1000</v>
      </c>
      <c r="V1276">
        <v>1000</v>
      </c>
    </row>
    <row r="1277" spans="1:22" x14ac:dyDescent="0.3">
      <c r="A1277" t="s">
        <v>1442</v>
      </c>
      <c r="B1277" t="s">
        <v>44</v>
      </c>
      <c r="C1277">
        <v>1.96</v>
      </c>
      <c r="D1277">
        <v>4.5199999999999996</v>
      </c>
      <c r="E1277">
        <v>5.26</v>
      </c>
      <c r="F1277">
        <v>1.61</v>
      </c>
      <c r="G1277">
        <v>56.498388829215898</v>
      </c>
      <c r="H1277">
        <v>27.436513383665069</v>
      </c>
      <c r="I1277">
        <v>35.613040396881637</v>
      </c>
      <c r="J1277">
        <v>37.33715197938352</v>
      </c>
      <c r="K1277">
        <v>42.911877394636001</v>
      </c>
      <c r="L1277">
        <v>14.986916391476141</v>
      </c>
      <c r="M1277">
        <v>74.041899361176505</v>
      </c>
      <c r="N1277">
        <v>47.907020178644885</v>
      </c>
      <c r="O1277">
        <v>7.5967647058823538</v>
      </c>
      <c r="P1277">
        <v>-2.336764705882354</v>
      </c>
      <c r="Q1277">
        <v>1276</v>
      </c>
      <c r="R1277">
        <v>31</v>
      </c>
      <c r="S1277" t="s">
        <v>24</v>
      </c>
      <c r="T1277" t="s">
        <v>1443</v>
      </c>
      <c r="U1277">
        <v>5000</v>
      </c>
      <c r="V1277">
        <v>1000</v>
      </c>
    </row>
    <row r="1278" spans="1:22" x14ac:dyDescent="0.3">
      <c r="A1278" t="s">
        <v>1444</v>
      </c>
      <c r="B1278" t="s">
        <v>44</v>
      </c>
      <c r="C1278">
        <v>1.96</v>
      </c>
      <c r="D1278">
        <v>4.5199999999999996</v>
      </c>
      <c r="E1278">
        <v>5.26</v>
      </c>
      <c r="F1278">
        <v>1.61</v>
      </c>
      <c r="G1278">
        <v>56.498388829215898</v>
      </c>
      <c r="H1278">
        <v>27.436513383665069</v>
      </c>
      <c r="I1278">
        <v>35.613040396881637</v>
      </c>
      <c r="J1278">
        <v>37.33715197938352</v>
      </c>
      <c r="K1278">
        <v>42.911877394636001</v>
      </c>
      <c r="L1278">
        <v>14.986916391476141</v>
      </c>
      <c r="M1278">
        <v>74.041899361176505</v>
      </c>
      <c r="N1278">
        <v>47.907020178644885</v>
      </c>
      <c r="O1278">
        <v>7.5967647058823538</v>
      </c>
      <c r="P1278">
        <v>-2.336764705882354</v>
      </c>
      <c r="Q1278">
        <v>1276</v>
      </c>
      <c r="R1278">
        <v>31</v>
      </c>
      <c r="S1278" t="s">
        <v>24</v>
      </c>
      <c r="T1278" t="s">
        <v>1443</v>
      </c>
      <c r="U1278">
        <v>5000</v>
      </c>
      <c r="V1278">
        <v>1000</v>
      </c>
    </row>
    <row r="1279" spans="1:22" x14ac:dyDescent="0.3">
      <c r="A1279" t="s">
        <v>1445</v>
      </c>
      <c r="B1279" t="s">
        <v>383</v>
      </c>
      <c r="C1279">
        <v>3.84</v>
      </c>
      <c r="D1279">
        <v>8.86</v>
      </c>
      <c r="E1279">
        <v>7.44</v>
      </c>
      <c r="F1279">
        <v>2.06</v>
      </c>
      <c r="G1279">
        <v>60.537056928034374</v>
      </c>
      <c r="H1279">
        <v>34.883321894303364</v>
      </c>
      <c r="I1279">
        <v>43.338058114812192</v>
      </c>
      <c r="J1279">
        <v>44.241437011303979</v>
      </c>
      <c r="K1279">
        <v>25.670498084291182</v>
      </c>
      <c r="L1279">
        <v>13.072886992528209</v>
      </c>
      <c r="M1279">
        <v>77.357095527334849</v>
      </c>
      <c r="N1279">
        <v>47.877616908558494</v>
      </c>
      <c r="O1279">
        <v>6.1480952380952392</v>
      </c>
      <c r="P1279">
        <v>1.2919047619047612</v>
      </c>
      <c r="Q1279">
        <v>1278</v>
      </c>
      <c r="R1279">
        <v>25</v>
      </c>
      <c r="S1279" t="s">
        <v>24</v>
      </c>
      <c r="T1279" t="s">
        <v>384</v>
      </c>
      <c r="U1279">
        <v>5000</v>
      </c>
      <c r="V1279">
        <v>1000</v>
      </c>
    </row>
    <row r="1280" spans="1:22" x14ac:dyDescent="0.3">
      <c r="A1280" t="s">
        <v>1446</v>
      </c>
      <c r="B1280" t="s">
        <v>383</v>
      </c>
      <c r="C1280">
        <v>4.95</v>
      </c>
      <c r="D1280">
        <v>10.36</v>
      </c>
      <c r="E1280">
        <v>7.23</v>
      </c>
      <c r="F1280">
        <v>2.09</v>
      </c>
      <c r="G1280">
        <v>62.921589688506984</v>
      </c>
      <c r="H1280">
        <v>37.457103637611532</v>
      </c>
      <c r="I1280">
        <v>42.593905031892277</v>
      </c>
      <c r="J1280">
        <v>45.118401544930997</v>
      </c>
      <c r="K1280">
        <v>24.521072796934874</v>
      </c>
      <c r="L1280">
        <v>13.466263660838409</v>
      </c>
      <c r="M1280">
        <v>76.675747151309409</v>
      </c>
      <c r="N1280">
        <v>47.858405759526569</v>
      </c>
      <c r="O1280">
        <v>6.1480952380952392</v>
      </c>
      <c r="P1280">
        <v>1.0819047619047613</v>
      </c>
      <c r="Q1280">
        <v>1279</v>
      </c>
      <c r="R1280">
        <v>26</v>
      </c>
      <c r="S1280" t="s">
        <v>24</v>
      </c>
      <c r="T1280" t="s">
        <v>816</v>
      </c>
      <c r="U1280">
        <v>1000</v>
      </c>
      <c r="V1280">
        <v>1000</v>
      </c>
    </row>
    <row r="1281" spans="1:22" x14ac:dyDescent="0.3">
      <c r="A1281" t="s">
        <v>1447</v>
      </c>
      <c r="B1281" t="s">
        <v>445</v>
      </c>
      <c r="C1281">
        <v>2.86</v>
      </c>
      <c r="D1281">
        <v>6.8</v>
      </c>
      <c r="E1281">
        <v>6.19</v>
      </c>
      <c r="F1281">
        <v>1.83</v>
      </c>
      <c r="G1281">
        <v>58.431793770139627</v>
      </c>
      <c r="H1281">
        <v>31.348661633493485</v>
      </c>
      <c r="I1281">
        <v>38.908575478384122</v>
      </c>
      <c r="J1281">
        <v>40.545244983268034</v>
      </c>
      <c r="K1281">
        <v>34.482758620689658</v>
      </c>
      <c r="L1281">
        <v>13.975003852955586</v>
      </c>
      <c r="M1281">
        <v>75.794583290710108</v>
      </c>
      <c r="N1281">
        <v>47.841957969483957</v>
      </c>
      <c r="O1281">
        <v>5.7759259259259252</v>
      </c>
      <c r="P1281">
        <v>0.41407407407407515</v>
      </c>
      <c r="Q1281">
        <v>1280</v>
      </c>
      <c r="R1281">
        <v>27</v>
      </c>
      <c r="S1281" t="s">
        <v>24</v>
      </c>
      <c r="T1281" t="s">
        <v>612</v>
      </c>
      <c r="U1281">
        <v>5000</v>
      </c>
      <c r="V1281">
        <v>1000</v>
      </c>
    </row>
    <row r="1282" spans="1:22" x14ac:dyDescent="0.3">
      <c r="A1282" t="s">
        <v>1448</v>
      </c>
      <c r="B1282" t="s">
        <v>884</v>
      </c>
      <c r="C1282">
        <v>15.67</v>
      </c>
      <c r="D1282">
        <v>20.54</v>
      </c>
      <c r="E1282">
        <v>7.2</v>
      </c>
      <c r="F1282">
        <v>2.2000000000000002</v>
      </c>
      <c r="G1282">
        <v>85.950590762620834</v>
      </c>
      <c r="H1282">
        <v>54.924502402196296</v>
      </c>
      <c r="I1282">
        <v>42.487597448617997</v>
      </c>
      <c r="J1282">
        <v>54.911267597492056</v>
      </c>
      <c r="K1282">
        <v>20.306513409961681</v>
      </c>
      <c r="L1282">
        <v>22.384245023327853</v>
      </c>
      <c r="M1282">
        <v>61.229350330525364</v>
      </c>
      <c r="N1282">
        <v>47.839599733867793</v>
      </c>
      <c r="O1282">
        <v>9.6316666666666659</v>
      </c>
      <c r="P1282">
        <v>-2.4316666666666658</v>
      </c>
      <c r="Q1282">
        <v>1281</v>
      </c>
      <c r="R1282">
        <v>6</v>
      </c>
      <c r="S1282" t="s">
        <v>24</v>
      </c>
      <c r="T1282" t="s">
        <v>186</v>
      </c>
      <c r="U1282">
        <v>5000</v>
      </c>
      <c r="V1282">
        <v>1000</v>
      </c>
    </row>
    <row r="1283" spans="1:22" x14ac:dyDescent="0.3">
      <c r="A1283" t="s">
        <v>1449</v>
      </c>
      <c r="B1283" t="s">
        <v>1331</v>
      </c>
      <c r="C1283">
        <v>5.21</v>
      </c>
      <c r="D1283">
        <v>3.71</v>
      </c>
      <c r="E1283">
        <v>6.53</v>
      </c>
      <c r="F1283">
        <v>1.61</v>
      </c>
      <c r="G1283">
        <v>63.480128893662723</v>
      </c>
      <c r="H1283">
        <v>26.046671242278656</v>
      </c>
      <c r="I1283">
        <v>40.113394755492557</v>
      </c>
      <c r="J1283">
        <v>40.566724529162421</v>
      </c>
      <c r="K1283">
        <v>42.911877394636001</v>
      </c>
      <c r="L1283">
        <v>18.908290626156102</v>
      </c>
      <c r="M1283">
        <v>67.249879951219285</v>
      </c>
      <c r="N1283">
        <v>47.823801601045034</v>
      </c>
      <c r="O1283">
        <v>4.7778125000000005</v>
      </c>
      <c r="P1283">
        <v>1.7521874999999998</v>
      </c>
      <c r="Q1283">
        <v>1282</v>
      </c>
      <c r="R1283">
        <v>12</v>
      </c>
      <c r="S1283" t="s">
        <v>24</v>
      </c>
      <c r="T1283" t="s">
        <v>1422</v>
      </c>
      <c r="U1283">
        <v>1000</v>
      </c>
      <c r="V1283">
        <v>1000</v>
      </c>
    </row>
    <row r="1284" spans="1:22" x14ac:dyDescent="0.3">
      <c r="A1284" t="s">
        <v>1450</v>
      </c>
      <c r="B1284" t="s">
        <v>272</v>
      </c>
      <c r="C1284">
        <v>1.4</v>
      </c>
      <c r="D1284">
        <v>13.31</v>
      </c>
      <c r="E1284">
        <v>9.48</v>
      </c>
      <c r="F1284">
        <v>2.62</v>
      </c>
      <c r="G1284">
        <v>55.295381310418904</v>
      </c>
      <c r="H1284">
        <v>42.518874399450937</v>
      </c>
      <c r="I1284">
        <v>50.566973777462799</v>
      </c>
      <c r="J1284">
        <v>49.098225470650462</v>
      </c>
      <c r="K1284">
        <v>4.2145593869731712</v>
      </c>
      <c r="L1284">
        <v>6.4597325827271828</v>
      </c>
      <c r="M1284">
        <v>88.811414963408396</v>
      </c>
      <c r="N1284">
        <v>47.805606322920625</v>
      </c>
      <c r="O1284">
        <v>10.044583333333334</v>
      </c>
      <c r="P1284">
        <v>-0.56458333333333321</v>
      </c>
      <c r="Q1284">
        <v>1283</v>
      </c>
      <c r="R1284">
        <v>38</v>
      </c>
      <c r="S1284" t="s">
        <v>24</v>
      </c>
      <c r="T1284" t="s">
        <v>291</v>
      </c>
      <c r="U1284">
        <v>1000</v>
      </c>
      <c r="V1284">
        <v>1000</v>
      </c>
    </row>
    <row r="1285" spans="1:22" x14ac:dyDescent="0.3">
      <c r="A1285" t="s">
        <v>1451</v>
      </c>
      <c r="B1285" t="s">
        <v>202</v>
      </c>
      <c r="C1285">
        <v>-0.65</v>
      </c>
      <c r="D1285">
        <v>6.16</v>
      </c>
      <c r="E1285">
        <v>5.08</v>
      </c>
      <c r="F1285">
        <v>1.78</v>
      </c>
      <c r="G1285">
        <v>50.891514500537049</v>
      </c>
      <c r="H1285">
        <v>30.250514756348668</v>
      </c>
      <c r="I1285">
        <v>34.975194897236001</v>
      </c>
      <c r="J1285">
        <v>36.741054775630012</v>
      </c>
      <c r="K1285">
        <v>36.398467432950184</v>
      </c>
      <c r="L1285">
        <v>10.814363154216904</v>
      </c>
      <c r="M1285">
        <v>81.268973565395498</v>
      </c>
      <c r="N1285">
        <v>47.787387637401423</v>
      </c>
      <c r="O1285">
        <v>10.023387096774194</v>
      </c>
      <c r="P1285">
        <v>-4.9433870967741935</v>
      </c>
      <c r="Q1285">
        <v>1284</v>
      </c>
      <c r="R1285">
        <v>53</v>
      </c>
      <c r="S1285" t="s">
        <v>24</v>
      </c>
      <c r="T1285" t="s">
        <v>78</v>
      </c>
      <c r="U1285">
        <v>1000</v>
      </c>
      <c r="V1285">
        <v>1000</v>
      </c>
    </row>
    <row r="1286" spans="1:22" x14ac:dyDescent="0.3">
      <c r="A1286" t="s">
        <v>1452</v>
      </c>
      <c r="B1286" t="s">
        <v>185</v>
      </c>
      <c r="C1286">
        <v>7.12</v>
      </c>
      <c r="D1286">
        <v>14.01</v>
      </c>
      <c r="E1286">
        <v>7.74</v>
      </c>
      <c r="F1286">
        <v>2.29</v>
      </c>
      <c r="G1286">
        <v>67.583243823845322</v>
      </c>
      <c r="H1286">
        <v>43.71997254632808</v>
      </c>
      <c r="I1286">
        <v>44.401133947554925</v>
      </c>
      <c r="J1286">
        <v>48.833207502444949</v>
      </c>
      <c r="K1286">
        <v>16.858237547892706</v>
      </c>
      <c r="L1286">
        <v>13.58510161436234</v>
      </c>
      <c r="M1286">
        <v>76.469913777938444</v>
      </c>
      <c r="N1286">
        <v>47.748641582680264</v>
      </c>
      <c r="O1286">
        <v>9.4014285714285712</v>
      </c>
      <c r="P1286">
        <v>-1.661428571428571</v>
      </c>
      <c r="Q1286">
        <v>1285</v>
      </c>
      <c r="R1286">
        <v>24</v>
      </c>
      <c r="S1286" t="s">
        <v>24</v>
      </c>
      <c r="T1286" t="s">
        <v>186</v>
      </c>
      <c r="U1286">
        <v>5000</v>
      </c>
      <c r="V1286">
        <v>1000</v>
      </c>
    </row>
    <row r="1287" spans="1:22" x14ac:dyDescent="0.3">
      <c r="A1287" t="s">
        <v>1453</v>
      </c>
      <c r="B1287" t="s">
        <v>185</v>
      </c>
      <c r="C1287">
        <v>7.12</v>
      </c>
      <c r="D1287">
        <v>14.01</v>
      </c>
      <c r="E1287">
        <v>7.74</v>
      </c>
      <c r="F1287">
        <v>2.29</v>
      </c>
      <c r="G1287">
        <v>67.583243823845322</v>
      </c>
      <c r="H1287">
        <v>43.71997254632808</v>
      </c>
      <c r="I1287">
        <v>44.401133947554925</v>
      </c>
      <c r="J1287">
        <v>48.833207502444949</v>
      </c>
      <c r="K1287">
        <v>16.858237547892706</v>
      </c>
      <c r="L1287">
        <v>13.58510161436234</v>
      </c>
      <c r="M1287">
        <v>76.469913777938444</v>
      </c>
      <c r="N1287">
        <v>47.748641582680264</v>
      </c>
      <c r="O1287">
        <v>9.4014285714285712</v>
      </c>
      <c r="P1287">
        <v>-1.661428571428571</v>
      </c>
      <c r="Q1287">
        <v>1285</v>
      </c>
      <c r="R1287">
        <v>24</v>
      </c>
      <c r="S1287" t="s">
        <v>24</v>
      </c>
      <c r="T1287" t="s">
        <v>186</v>
      </c>
      <c r="U1287">
        <v>5000</v>
      </c>
      <c r="V1287">
        <v>1000</v>
      </c>
    </row>
    <row r="1288" spans="1:22" x14ac:dyDescent="0.3">
      <c r="A1288" t="s">
        <v>1454</v>
      </c>
      <c r="B1288" t="s">
        <v>585</v>
      </c>
      <c r="C1288">
        <v>1.73</v>
      </c>
      <c r="D1288">
        <v>6.49</v>
      </c>
      <c r="E1288">
        <v>6.59</v>
      </c>
      <c r="F1288">
        <v>1.9</v>
      </c>
      <c r="G1288">
        <v>56.004296455424274</v>
      </c>
      <c r="H1288">
        <v>30.816746739876464</v>
      </c>
      <c r="I1288">
        <v>40.326009922041109</v>
      </c>
      <c r="J1288">
        <v>40.608888274068349</v>
      </c>
      <c r="K1288">
        <v>31.800766283524908</v>
      </c>
      <c r="L1288">
        <v>12.719063222604936</v>
      </c>
      <c r="M1288">
        <v>77.969936273767516</v>
      </c>
      <c r="N1288">
        <v>47.74711977635728</v>
      </c>
      <c r="O1288">
        <v>6.6483333333333334</v>
      </c>
      <c r="P1288">
        <v>-5.833333333333357E-2</v>
      </c>
      <c r="Q1288">
        <v>1287</v>
      </c>
      <c r="R1288">
        <v>5</v>
      </c>
      <c r="S1288" t="s">
        <v>24</v>
      </c>
      <c r="T1288" t="s">
        <v>112</v>
      </c>
      <c r="U1288">
        <v>1000</v>
      </c>
      <c r="V1288">
        <v>1000</v>
      </c>
    </row>
    <row r="1289" spans="1:22" x14ac:dyDescent="0.3">
      <c r="A1289" t="s">
        <v>1455</v>
      </c>
      <c r="B1289" t="s">
        <v>138</v>
      </c>
      <c r="C1289">
        <v>2.0099999999999998</v>
      </c>
      <c r="D1289">
        <v>12.79</v>
      </c>
      <c r="E1289">
        <v>8.36</v>
      </c>
      <c r="F1289">
        <v>2.4700000000000002</v>
      </c>
      <c r="G1289">
        <v>56.605800214822764</v>
      </c>
      <c r="H1289">
        <v>41.626630061770761</v>
      </c>
      <c r="I1289">
        <v>46.598157335223242</v>
      </c>
      <c r="J1289">
        <v>47.108227729107398</v>
      </c>
      <c r="K1289">
        <v>9.9616858237547845</v>
      </c>
      <c r="L1289">
        <v>7.6293789383580108</v>
      </c>
      <c r="M1289">
        <v>86.785528048568025</v>
      </c>
      <c r="N1289">
        <v>47.740917332634396</v>
      </c>
      <c r="O1289">
        <v>9.219019607843137</v>
      </c>
      <c r="P1289">
        <v>-0.85901960784313758</v>
      </c>
      <c r="Q1289">
        <v>1288</v>
      </c>
      <c r="R1289">
        <v>39</v>
      </c>
      <c r="S1289" t="s">
        <v>24</v>
      </c>
      <c r="T1289" t="s">
        <v>134</v>
      </c>
      <c r="U1289">
        <v>1000</v>
      </c>
      <c r="V1289">
        <v>1000</v>
      </c>
    </row>
    <row r="1290" spans="1:22" x14ac:dyDescent="0.3">
      <c r="A1290" t="s">
        <v>1456</v>
      </c>
      <c r="B1290" t="s">
        <v>383</v>
      </c>
      <c r="C1290">
        <v>6.41</v>
      </c>
      <c r="D1290">
        <v>9.18</v>
      </c>
      <c r="E1290">
        <v>7.91</v>
      </c>
      <c r="F1290">
        <v>2.0699999999999998</v>
      </c>
      <c r="G1290">
        <v>66.058002148227715</v>
      </c>
      <c r="H1290">
        <v>35.432395332875778</v>
      </c>
      <c r="I1290">
        <v>45.003543586109139</v>
      </c>
      <c r="J1290">
        <v>46.343090822562843</v>
      </c>
      <c r="K1290">
        <v>25.287356321839095</v>
      </c>
      <c r="L1290">
        <v>15.667508294970791</v>
      </c>
      <c r="M1290">
        <v>72.863079605103763</v>
      </c>
      <c r="N1290">
        <v>47.709154393017137</v>
      </c>
      <c r="O1290">
        <v>6.1480952380952392</v>
      </c>
      <c r="P1290">
        <v>1.761904761904761</v>
      </c>
      <c r="Q1290">
        <v>1289</v>
      </c>
      <c r="R1290">
        <v>27</v>
      </c>
      <c r="S1290" t="s">
        <v>24</v>
      </c>
      <c r="T1290" t="s">
        <v>816</v>
      </c>
      <c r="U1290">
        <v>5000</v>
      </c>
      <c r="V1290">
        <v>1000</v>
      </c>
    </row>
    <row r="1291" spans="1:22" x14ac:dyDescent="0.3">
      <c r="A1291" t="s">
        <v>1457</v>
      </c>
      <c r="B1291" t="s">
        <v>654</v>
      </c>
      <c r="C1291">
        <v>2.3199999999999998</v>
      </c>
      <c r="D1291">
        <v>9.36</v>
      </c>
      <c r="E1291">
        <v>6.7</v>
      </c>
      <c r="F1291">
        <v>2.0699999999999998</v>
      </c>
      <c r="G1291">
        <v>57.271750805585384</v>
      </c>
      <c r="H1291">
        <v>35.741249142072753</v>
      </c>
      <c r="I1291">
        <v>40.715804394046771</v>
      </c>
      <c r="J1291">
        <v>42.534627100762286</v>
      </c>
      <c r="K1291">
        <v>25.287356321839095</v>
      </c>
      <c r="L1291">
        <v>11.272444746809219</v>
      </c>
      <c r="M1291">
        <v>80.475552973013549</v>
      </c>
      <c r="N1291">
        <v>47.708040874094308</v>
      </c>
      <c r="O1291">
        <v>6.7733333333333334</v>
      </c>
      <c r="P1291">
        <v>-7.333333333333325E-2</v>
      </c>
      <c r="Q1291">
        <v>1290</v>
      </c>
      <c r="R1291">
        <v>3</v>
      </c>
      <c r="S1291" t="s">
        <v>24</v>
      </c>
      <c r="T1291" t="s">
        <v>655</v>
      </c>
      <c r="U1291">
        <v>5000</v>
      </c>
      <c r="V1291">
        <v>1000</v>
      </c>
    </row>
    <row r="1292" spans="1:22" x14ac:dyDescent="0.3">
      <c r="A1292" t="s">
        <v>1458</v>
      </c>
      <c r="B1292" t="s">
        <v>272</v>
      </c>
      <c r="C1292">
        <v>3.89</v>
      </c>
      <c r="D1292">
        <v>8.8699999999999992</v>
      </c>
      <c r="E1292">
        <v>7.54</v>
      </c>
      <c r="F1292">
        <v>2.09</v>
      </c>
      <c r="G1292">
        <v>60.644468313641241</v>
      </c>
      <c r="H1292">
        <v>34.90048043925875</v>
      </c>
      <c r="I1292">
        <v>43.692416725726432</v>
      </c>
      <c r="J1292">
        <v>44.445246157369091</v>
      </c>
      <c r="K1292">
        <v>24.521072796934874</v>
      </c>
      <c r="L1292">
        <v>13.085762672850374</v>
      </c>
      <c r="M1292">
        <v>77.334794194834842</v>
      </c>
      <c r="N1292">
        <v>47.686589826626971</v>
      </c>
      <c r="O1292">
        <v>10.044583333333334</v>
      </c>
      <c r="P1292">
        <v>-2.5045833333333336</v>
      </c>
      <c r="Q1292">
        <v>1291</v>
      </c>
      <c r="R1292">
        <v>39</v>
      </c>
      <c r="S1292" t="s">
        <v>24</v>
      </c>
      <c r="T1292" t="s">
        <v>291</v>
      </c>
      <c r="U1292">
        <v>1000</v>
      </c>
      <c r="V1292">
        <v>1000</v>
      </c>
    </row>
    <row r="1293" spans="1:22" x14ac:dyDescent="0.3">
      <c r="A1293" t="s">
        <v>1459</v>
      </c>
      <c r="B1293" t="s">
        <v>654</v>
      </c>
      <c r="C1293">
        <v>2.3199999999999998</v>
      </c>
      <c r="D1293">
        <v>9.36</v>
      </c>
      <c r="E1293">
        <v>6.62</v>
      </c>
      <c r="F1293">
        <v>2.0699999999999998</v>
      </c>
      <c r="G1293">
        <v>57.271750805585384</v>
      </c>
      <c r="H1293">
        <v>35.741249142072753</v>
      </c>
      <c r="I1293">
        <v>40.432317505315375</v>
      </c>
      <c r="J1293">
        <v>42.392883656396592</v>
      </c>
      <c r="K1293">
        <v>25.287356321839095</v>
      </c>
      <c r="L1293">
        <v>11.322066493838323</v>
      </c>
      <c r="M1293">
        <v>80.389605585998808</v>
      </c>
      <c r="N1293">
        <v>47.615682305157776</v>
      </c>
      <c r="O1293">
        <v>6.7733333333333334</v>
      </c>
      <c r="P1293">
        <v>-0.15333333333333332</v>
      </c>
      <c r="Q1293">
        <v>1292</v>
      </c>
      <c r="R1293">
        <v>4</v>
      </c>
      <c r="S1293" t="s">
        <v>24</v>
      </c>
      <c r="T1293" t="s">
        <v>655</v>
      </c>
      <c r="U1293">
        <v>5000</v>
      </c>
      <c r="V1293">
        <v>1000</v>
      </c>
    </row>
    <row r="1294" spans="1:22" x14ac:dyDescent="0.3">
      <c r="A1294" t="s">
        <v>1460</v>
      </c>
      <c r="B1294" t="s">
        <v>1019</v>
      </c>
      <c r="C1294">
        <v>5.27</v>
      </c>
      <c r="D1294">
        <v>9.06</v>
      </c>
      <c r="E1294">
        <v>7.84</v>
      </c>
      <c r="F1294">
        <v>2.1</v>
      </c>
      <c r="G1294">
        <v>63.609022556390968</v>
      </c>
      <c r="H1294">
        <v>35.226492793411126</v>
      </c>
      <c r="I1294">
        <v>44.755492558469165</v>
      </c>
      <c r="J1294">
        <v>45.667498628536109</v>
      </c>
      <c r="K1294">
        <v>24.137931034482762</v>
      </c>
      <c r="L1294">
        <v>14.444291984791374</v>
      </c>
      <c r="M1294">
        <v>74.981752402981442</v>
      </c>
      <c r="N1294">
        <v>47.613670173634105</v>
      </c>
      <c r="O1294">
        <v>8.7813636363636363</v>
      </c>
      <c r="P1294">
        <v>-0.9413636363636364</v>
      </c>
      <c r="Q1294">
        <v>1293</v>
      </c>
      <c r="R1294">
        <v>10</v>
      </c>
      <c r="S1294" t="s">
        <v>24</v>
      </c>
      <c r="T1294" t="s">
        <v>1020</v>
      </c>
      <c r="U1294">
        <v>1000</v>
      </c>
      <c r="V1294">
        <v>1000</v>
      </c>
    </row>
    <row r="1295" spans="1:22" x14ac:dyDescent="0.3">
      <c r="A1295" t="s">
        <v>1461</v>
      </c>
      <c r="B1295" t="s">
        <v>138</v>
      </c>
      <c r="C1295">
        <v>0.93</v>
      </c>
      <c r="D1295">
        <v>12.41</v>
      </c>
      <c r="E1295">
        <v>8.14</v>
      </c>
      <c r="F1295">
        <v>2.4700000000000002</v>
      </c>
      <c r="G1295">
        <v>54.285714285714285</v>
      </c>
      <c r="H1295">
        <v>40.974605353466032</v>
      </c>
      <c r="I1295">
        <v>45.818568391211905</v>
      </c>
      <c r="J1295">
        <v>46.058808658788621</v>
      </c>
      <c r="K1295">
        <v>9.9616858237547845</v>
      </c>
      <c r="L1295">
        <v>6.7372368039626842</v>
      </c>
      <c r="M1295">
        <v>88.330763552913666</v>
      </c>
      <c r="N1295">
        <v>47.602516673561425</v>
      </c>
      <c r="O1295">
        <v>9.219019607843137</v>
      </c>
      <c r="P1295">
        <v>-1.0790196078431364</v>
      </c>
      <c r="Q1295">
        <v>1294</v>
      </c>
      <c r="R1295">
        <v>40</v>
      </c>
      <c r="S1295" t="s">
        <v>24</v>
      </c>
      <c r="T1295" t="s">
        <v>134</v>
      </c>
      <c r="U1295">
        <v>1000</v>
      </c>
      <c r="V1295">
        <v>1000</v>
      </c>
    </row>
    <row r="1296" spans="1:22" x14ac:dyDescent="0.3">
      <c r="A1296" t="s">
        <v>1462</v>
      </c>
      <c r="B1296" t="s">
        <v>965</v>
      </c>
      <c r="C1296">
        <v>6.08</v>
      </c>
      <c r="D1296">
        <v>3.49</v>
      </c>
      <c r="E1296">
        <v>5.3</v>
      </c>
      <c r="F1296">
        <v>1.46</v>
      </c>
      <c r="G1296">
        <v>65.349087003222337</v>
      </c>
      <c r="H1296">
        <v>25.66918325326013</v>
      </c>
      <c r="I1296">
        <v>35.754783841247338</v>
      </c>
      <c r="J1296">
        <v>38.647964297246176</v>
      </c>
      <c r="K1296">
        <v>48.659003831417614</v>
      </c>
      <c r="L1296">
        <v>20.623760085839326</v>
      </c>
      <c r="M1296">
        <v>64.278599688215223</v>
      </c>
      <c r="N1296">
        <v>47.558383028531296</v>
      </c>
      <c r="O1296">
        <v>4.3271875</v>
      </c>
      <c r="P1296">
        <v>0.97281249999999986</v>
      </c>
      <c r="Q1296">
        <v>1295</v>
      </c>
      <c r="R1296">
        <v>13</v>
      </c>
      <c r="S1296" t="s">
        <v>24</v>
      </c>
      <c r="T1296" t="s">
        <v>966</v>
      </c>
      <c r="U1296">
        <v>5000</v>
      </c>
      <c r="V1296">
        <v>1000</v>
      </c>
    </row>
    <row r="1297" spans="1:22" x14ac:dyDescent="0.3">
      <c r="A1297" t="s">
        <v>1463</v>
      </c>
      <c r="B1297" t="s">
        <v>965</v>
      </c>
      <c r="C1297">
        <v>6.08</v>
      </c>
      <c r="D1297">
        <v>3.49</v>
      </c>
      <c r="E1297">
        <v>5.3</v>
      </c>
      <c r="F1297">
        <v>1.46</v>
      </c>
      <c r="G1297">
        <v>65.349087003222337</v>
      </c>
      <c r="H1297">
        <v>25.66918325326013</v>
      </c>
      <c r="I1297">
        <v>35.754783841247338</v>
      </c>
      <c r="J1297">
        <v>38.647964297246176</v>
      </c>
      <c r="K1297">
        <v>48.659003831417614</v>
      </c>
      <c r="L1297">
        <v>20.623760085839326</v>
      </c>
      <c r="M1297">
        <v>64.278599688215223</v>
      </c>
      <c r="N1297">
        <v>47.558383028531296</v>
      </c>
      <c r="O1297">
        <v>4.3271875</v>
      </c>
      <c r="P1297">
        <v>0.97281249999999986</v>
      </c>
      <c r="Q1297">
        <v>1295</v>
      </c>
      <c r="R1297">
        <v>13</v>
      </c>
      <c r="S1297" t="s">
        <v>24</v>
      </c>
      <c r="T1297" t="s">
        <v>966</v>
      </c>
      <c r="U1297">
        <v>5000</v>
      </c>
      <c r="V1297">
        <v>1000</v>
      </c>
    </row>
    <row r="1298" spans="1:22" x14ac:dyDescent="0.3">
      <c r="A1298" t="s">
        <v>1464</v>
      </c>
      <c r="B1298" t="s">
        <v>272</v>
      </c>
      <c r="C1298">
        <v>-1.28</v>
      </c>
      <c r="D1298">
        <v>9.85</v>
      </c>
      <c r="E1298">
        <v>10.210000000000001</v>
      </c>
      <c r="F1298">
        <v>2.46</v>
      </c>
      <c r="G1298">
        <v>49.538131041890438</v>
      </c>
      <c r="H1298">
        <v>36.582017844886764</v>
      </c>
      <c r="I1298">
        <v>53.153791637136784</v>
      </c>
      <c r="J1298">
        <v>47.459127380412511</v>
      </c>
      <c r="K1298">
        <v>10.344827586206895</v>
      </c>
      <c r="L1298">
        <v>8.7135675561648736</v>
      </c>
      <c r="M1298">
        <v>84.907658277538658</v>
      </c>
      <c r="N1298">
        <v>47.542685156142639</v>
      </c>
      <c r="O1298">
        <v>10.044583333333334</v>
      </c>
      <c r="P1298">
        <v>0.16541666666666721</v>
      </c>
      <c r="Q1298">
        <v>1297</v>
      </c>
      <c r="R1298">
        <v>40</v>
      </c>
      <c r="S1298" t="s">
        <v>24</v>
      </c>
      <c r="T1298" t="s">
        <v>273</v>
      </c>
      <c r="U1298">
        <v>5000</v>
      </c>
      <c r="V1298">
        <v>1000</v>
      </c>
    </row>
    <row r="1299" spans="1:22" x14ac:dyDescent="0.3">
      <c r="A1299" t="s">
        <v>1465</v>
      </c>
      <c r="B1299" t="s">
        <v>123</v>
      </c>
      <c r="C1299">
        <v>4.33</v>
      </c>
      <c r="D1299">
        <v>8.6999999999999993</v>
      </c>
      <c r="E1299">
        <v>6.25</v>
      </c>
      <c r="F1299">
        <v>1.93</v>
      </c>
      <c r="G1299">
        <v>61.58968850698173</v>
      </c>
      <c r="H1299">
        <v>34.608785175017168</v>
      </c>
      <c r="I1299">
        <v>39.121190644932668</v>
      </c>
      <c r="J1299">
        <v>42.26116857636783</v>
      </c>
      <c r="K1299">
        <v>30.651340996168575</v>
      </c>
      <c r="L1299">
        <v>14.452014530338225</v>
      </c>
      <c r="M1299">
        <v>74.968376561730523</v>
      </c>
      <c r="N1299">
        <v>47.535513677658685</v>
      </c>
      <c r="O1299">
        <v>10.563571428571427</v>
      </c>
      <c r="P1299">
        <v>-4.3135714285714268</v>
      </c>
      <c r="Q1299">
        <v>1298</v>
      </c>
      <c r="R1299">
        <v>13</v>
      </c>
      <c r="S1299" t="s">
        <v>24</v>
      </c>
      <c r="T1299" t="s">
        <v>45</v>
      </c>
      <c r="U1299">
        <v>5000</v>
      </c>
      <c r="V1299">
        <v>1000</v>
      </c>
    </row>
    <row r="1300" spans="1:22" x14ac:dyDescent="0.3">
      <c r="A1300" t="s">
        <v>1466</v>
      </c>
      <c r="B1300" t="s">
        <v>976</v>
      </c>
      <c r="C1300">
        <v>4.05</v>
      </c>
      <c r="D1300">
        <v>3.49</v>
      </c>
      <c r="E1300">
        <v>3.07</v>
      </c>
      <c r="F1300">
        <v>1.25</v>
      </c>
      <c r="G1300">
        <v>60.98818474758324</v>
      </c>
      <c r="H1300">
        <v>25.66918325326013</v>
      </c>
      <c r="I1300">
        <v>27.85258681785967</v>
      </c>
      <c r="J1300">
        <v>33.824685334424522</v>
      </c>
      <c r="K1300">
        <v>56.704980842911866</v>
      </c>
      <c r="L1300">
        <v>19.791273194020832</v>
      </c>
      <c r="M1300">
        <v>65.720509281479934</v>
      </c>
      <c r="N1300">
        <v>47.518715198310211</v>
      </c>
      <c r="O1300">
        <v>4.3111111111111109</v>
      </c>
      <c r="P1300">
        <v>-1.2411111111111111</v>
      </c>
      <c r="Q1300">
        <v>1299</v>
      </c>
      <c r="R1300">
        <v>26</v>
      </c>
      <c r="S1300" t="s">
        <v>24</v>
      </c>
      <c r="T1300" t="s">
        <v>977</v>
      </c>
      <c r="U1300">
        <v>1000</v>
      </c>
      <c r="V1300">
        <v>1000</v>
      </c>
    </row>
    <row r="1301" spans="1:22" x14ac:dyDescent="0.3">
      <c r="A1301" t="s">
        <v>1467</v>
      </c>
      <c r="B1301" t="s">
        <v>976</v>
      </c>
      <c r="C1301">
        <v>4.05</v>
      </c>
      <c r="D1301">
        <v>3.49</v>
      </c>
      <c r="E1301">
        <v>3.07</v>
      </c>
      <c r="F1301">
        <v>1.25</v>
      </c>
      <c r="G1301">
        <v>60.98818474758324</v>
      </c>
      <c r="H1301">
        <v>25.66918325326013</v>
      </c>
      <c r="I1301">
        <v>27.85258681785967</v>
      </c>
      <c r="J1301">
        <v>33.824685334424522</v>
      </c>
      <c r="K1301">
        <v>56.704980842911866</v>
      </c>
      <c r="L1301">
        <v>19.791273194020832</v>
      </c>
      <c r="M1301">
        <v>65.720509281479934</v>
      </c>
      <c r="N1301">
        <v>47.518715198310211</v>
      </c>
      <c r="O1301">
        <v>4.3111111111111109</v>
      </c>
      <c r="P1301">
        <v>-1.2411111111111111</v>
      </c>
      <c r="Q1301">
        <v>1299</v>
      </c>
      <c r="R1301">
        <v>26</v>
      </c>
      <c r="S1301" t="s">
        <v>24</v>
      </c>
      <c r="T1301" t="s">
        <v>977</v>
      </c>
      <c r="U1301">
        <v>1000</v>
      </c>
      <c r="V1301">
        <v>1000</v>
      </c>
    </row>
    <row r="1302" spans="1:22" x14ac:dyDescent="0.3">
      <c r="A1302" t="s">
        <v>1468</v>
      </c>
      <c r="B1302" t="s">
        <v>442</v>
      </c>
      <c r="C1302">
        <v>-4.28</v>
      </c>
      <c r="D1302">
        <v>9.3699999999999992</v>
      </c>
      <c r="E1302">
        <v>9.09</v>
      </c>
      <c r="F1302">
        <v>2.37</v>
      </c>
      <c r="G1302">
        <v>43.09344790547798</v>
      </c>
      <c r="H1302">
        <v>35.758407687028146</v>
      </c>
      <c r="I1302">
        <v>49.184975194897234</v>
      </c>
      <c r="J1302">
        <v>43.938699484652659</v>
      </c>
      <c r="K1302">
        <v>13.793103448275845</v>
      </c>
      <c r="L1302">
        <v>6.7228743204002406</v>
      </c>
      <c r="M1302">
        <v>88.355640104166696</v>
      </c>
      <c r="N1302">
        <v>47.506535630436964</v>
      </c>
      <c r="O1302">
        <v>8.6269999999999989</v>
      </c>
      <c r="P1302">
        <v>0.46300000000000097</v>
      </c>
      <c r="Q1302">
        <v>1301</v>
      </c>
      <c r="R1302">
        <v>5</v>
      </c>
      <c r="S1302" t="s">
        <v>24</v>
      </c>
      <c r="T1302" t="s">
        <v>176</v>
      </c>
      <c r="U1302">
        <v>5000</v>
      </c>
      <c r="V1302">
        <v>1000</v>
      </c>
    </row>
    <row r="1303" spans="1:22" x14ac:dyDescent="0.3">
      <c r="A1303" t="s">
        <v>1469</v>
      </c>
      <c r="B1303" t="s">
        <v>442</v>
      </c>
      <c r="C1303">
        <v>-4.28</v>
      </c>
      <c r="D1303">
        <v>9.3699999999999992</v>
      </c>
      <c r="E1303">
        <v>9.09</v>
      </c>
      <c r="F1303">
        <v>2.37</v>
      </c>
      <c r="G1303">
        <v>43.09344790547798</v>
      </c>
      <c r="H1303">
        <v>35.758407687028146</v>
      </c>
      <c r="I1303">
        <v>49.184975194897234</v>
      </c>
      <c r="J1303">
        <v>43.938699484652659</v>
      </c>
      <c r="K1303">
        <v>13.793103448275845</v>
      </c>
      <c r="L1303">
        <v>6.7228743204002406</v>
      </c>
      <c r="M1303">
        <v>88.355640104166696</v>
      </c>
      <c r="N1303">
        <v>47.506535630436964</v>
      </c>
      <c r="O1303">
        <v>8.6269999999999989</v>
      </c>
      <c r="P1303">
        <v>0.46300000000000097</v>
      </c>
      <c r="Q1303">
        <v>1301</v>
      </c>
      <c r="R1303">
        <v>5</v>
      </c>
      <c r="S1303" t="s">
        <v>24</v>
      </c>
      <c r="T1303" t="s">
        <v>176</v>
      </c>
      <c r="U1303">
        <v>5000</v>
      </c>
      <c r="V1303">
        <v>1000</v>
      </c>
    </row>
    <row r="1304" spans="1:22" x14ac:dyDescent="0.3">
      <c r="A1304" t="s">
        <v>1470</v>
      </c>
      <c r="B1304" t="s">
        <v>44</v>
      </c>
      <c r="C1304">
        <v>4.71</v>
      </c>
      <c r="D1304">
        <v>4.21</v>
      </c>
      <c r="E1304">
        <v>4.07</v>
      </c>
      <c r="F1304">
        <v>1.4</v>
      </c>
      <c r="G1304">
        <v>62.406015037593974</v>
      </c>
      <c r="H1304">
        <v>26.904598490048048</v>
      </c>
      <c r="I1304">
        <v>31.396172927002127</v>
      </c>
      <c r="J1304">
        <v>36.250669018034273</v>
      </c>
      <c r="K1304">
        <v>50.957854406130274</v>
      </c>
      <c r="L1304">
        <v>19.331042071966799</v>
      </c>
      <c r="M1304">
        <v>66.51765296810197</v>
      </c>
      <c r="N1304">
        <v>47.494211352575199</v>
      </c>
      <c r="O1304">
        <v>7.5967647058823538</v>
      </c>
      <c r="P1304">
        <v>-3.5267647058823535</v>
      </c>
      <c r="Q1304">
        <v>1303</v>
      </c>
      <c r="R1304">
        <v>33</v>
      </c>
      <c r="S1304" t="s">
        <v>24</v>
      </c>
      <c r="T1304" t="s">
        <v>45</v>
      </c>
      <c r="U1304">
        <v>5000</v>
      </c>
      <c r="V1304">
        <v>1000</v>
      </c>
    </row>
    <row r="1305" spans="1:22" x14ac:dyDescent="0.3">
      <c r="A1305" t="s">
        <v>1471</v>
      </c>
      <c r="B1305" t="s">
        <v>44</v>
      </c>
      <c r="C1305">
        <v>4.71</v>
      </c>
      <c r="D1305">
        <v>4.21</v>
      </c>
      <c r="E1305">
        <v>4.07</v>
      </c>
      <c r="F1305">
        <v>1.4</v>
      </c>
      <c r="G1305">
        <v>62.406015037593974</v>
      </c>
      <c r="H1305">
        <v>26.904598490048048</v>
      </c>
      <c r="I1305">
        <v>31.396172927002127</v>
      </c>
      <c r="J1305">
        <v>36.250669018034273</v>
      </c>
      <c r="K1305">
        <v>50.957854406130274</v>
      </c>
      <c r="L1305">
        <v>19.331042071966799</v>
      </c>
      <c r="M1305">
        <v>66.51765296810197</v>
      </c>
      <c r="N1305">
        <v>47.494211352575199</v>
      </c>
      <c r="O1305">
        <v>7.5967647058823538</v>
      </c>
      <c r="P1305">
        <v>-3.5267647058823535</v>
      </c>
      <c r="Q1305">
        <v>1303</v>
      </c>
      <c r="R1305">
        <v>33</v>
      </c>
      <c r="S1305" t="s">
        <v>24</v>
      </c>
      <c r="T1305" t="s">
        <v>45</v>
      </c>
      <c r="U1305">
        <v>5000</v>
      </c>
      <c r="V1305">
        <v>1000</v>
      </c>
    </row>
    <row r="1306" spans="1:22" x14ac:dyDescent="0.3">
      <c r="A1306" t="s">
        <v>1472</v>
      </c>
      <c r="B1306" t="s">
        <v>272</v>
      </c>
      <c r="C1306">
        <v>-1.28</v>
      </c>
      <c r="D1306">
        <v>9.85</v>
      </c>
      <c r="E1306">
        <v>9.9</v>
      </c>
      <c r="F1306">
        <v>2.46</v>
      </c>
      <c r="G1306">
        <v>49.538131041890438</v>
      </c>
      <c r="H1306">
        <v>36.582017844886764</v>
      </c>
      <c r="I1306">
        <v>52.055279943302615</v>
      </c>
      <c r="J1306">
        <v>46.909871533495419</v>
      </c>
      <c r="K1306">
        <v>10.344827586206895</v>
      </c>
      <c r="L1306">
        <v>8.3027982003230481</v>
      </c>
      <c r="M1306">
        <v>85.619131672049036</v>
      </c>
      <c r="N1306">
        <v>47.445925581311691</v>
      </c>
      <c r="O1306">
        <v>10.044583333333334</v>
      </c>
      <c r="P1306">
        <v>-0.14458333333333329</v>
      </c>
      <c r="Q1306">
        <v>1305</v>
      </c>
      <c r="R1306">
        <v>41</v>
      </c>
      <c r="S1306" t="s">
        <v>24</v>
      </c>
      <c r="T1306" t="s">
        <v>273</v>
      </c>
      <c r="U1306">
        <v>5000</v>
      </c>
      <c r="V1306">
        <v>1000</v>
      </c>
    </row>
    <row r="1307" spans="1:22" x14ac:dyDescent="0.3">
      <c r="A1307" t="s">
        <v>1473</v>
      </c>
      <c r="B1307" t="s">
        <v>202</v>
      </c>
      <c r="C1307">
        <v>-0.65</v>
      </c>
      <c r="D1307">
        <v>6.16</v>
      </c>
      <c r="E1307">
        <v>4.75</v>
      </c>
      <c r="F1307">
        <v>1.78</v>
      </c>
      <c r="G1307">
        <v>50.891514500537049</v>
      </c>
      <c r="H1307">
        <v>30.250514756348668</v>
      </c>
      <c r="I1307">
        <v>33.805811481218996</v>
      </c>
      <c r="J1307">
        <v>36.156363067621513</v>
      </c>
      <c r="K1307">
        <v>36.398467432950184</v>
      </c>
      <c r="L1307">
        <v>11.03488599024168</v>
      </c>
      <c r="M1307">
        <v>80.887016809171399</v>
      </c>
      <c r="N1307">
        <v>47.399552594341152</v>
      </c>
      <c r="O1307">
        <v>10.023387096774194</v>
      </c>
      <c r="P1307">
        <v>-5.2733870967741936</v>
      </c>
      <c r="Q1307">
        <v>1306</v>
      </c>
      <c r="R1307">
        <v>54</v>
      </c>
      <c r="S1307" t="s">
        <v>24</v>
      </c>
      <c r="T1307" t="s">
        <v>78</v>
      </c>
      <c r="U1307">
        <v>1000</v>
      </c>
      <c r="V1307">
        <v>1000</v>
      </c>
    </row>
    <row r="1308" spans="1:22" x14ac:dyDescent="0.3">
      <c r="A1308" t="s">
        <v>1474</v>
      </c>
      <c r="B1308" t="s">
        <v>199</v>
      </c>
      <c r="C1308">
        <v>-12.45</v>
      </c>
      <c r="D1308">
        <v>5.42</v>
      </c>
      <c r="E1308">
        <v>8.3000000000000007</v>
      </c>
      <c r="F1308">
        <v>1.82</v>
      </c>
      <c r="G1308">
        <v>25.542427497314712</v>
      </c>
      <c r="H1308">
        <v>28.98078242964997</v>
      </c>
      <c r="I1308">
        <v>46.385542168674696</v>
      </c>
      <c r="J1308">
        <v>36.995491312695279</v>
      </c>
      <c r="K1308">
        <v>34.865900383141771</v>
      </c>
      <c r="L1308">
        <v>11.174251469467295</v>
      </c>
      <c r="M1308">
        <v>80.645628718331466</v>
      </c>
      <c r="N1308">
        <v>47.375627931715947</v>
      </c>
      <c r="O1308">
        <v>9.83</v>
      </c>
      <c r="P1308">
        <v>-1.5299999999999994</v>
      </c>
      <c r="Q1308">
        <v>1307</v>
      </c>
      <c r="R1308">
        <v>24</v>
      </c>
      <c r="S1308" t="s">
        <v>24</v>
      </c>
      <c r="T1308" t="s">
        <v>78</v>
      </c>
      <c r="U1308">
        <v>1000</v>
      </c>
      <c r="V1308">
        <v>1000</v>
      </c>
    </row>
    <row r="1309" spans="1:22" x14ac:dyDescent="0.3">
      <c r="A1309" t="s">
        <v>1475</v>
      </c>
      <c r="B1309" t="s">
        <v>185</v>
      </c>
      <c r="C1309">
        <v>6.1</v>
      </c>
      <c r="D1309">
        <v>15.39</v>
      </c>
      <c r="E1309">
        <v>9.0500000000000007</v>
      </c>
      <c r="F1309">
        <v>2.61</v>
      </c>
      <c r="G1309">
        <v>65.392051557465081</v>
      </c>
      <c r="H1309">
        <v>46.087851750171595</v>
      </c>
      <c r="I1309">
        <v>49.043231750531532</v>
      </c>
      <c r="J1309">
        <v>51.426381711810258</v>
      </c>
      <c r="K1309">
        <v>4.5977011494252817</v>
      </c>
      <c r="L1309">
        <v>10.397678508734694</v>
      </c>
      <c r="M1309">
        <v>81.990692542104512</v>
      </c>
      <c r="N1309">
        <v>47.360289278787576</v>
      </c>
      <c r="O1309">
        <v>9.4014285714285712</v>
      </c>
      <c r="P1309">
        <v>-0.35142857142857054</v>
      </c>
      <c r="Q1309">
        <v>1308</v>
      </c>
      <c r="R1309">
        <v>26</v>
      </c>
      <c r="S1309" t="s">
        <v>24</v>
      </c>
      <c r="T1309" t="s">
        <v>186</v>
      </c>
      <c r="U1309">
        <v>5000</v>
      </c>
      <c r="V1309">
        <v>1000</v>
      </c>
    </row>
    <row r="1310" spans="1:22" x14ac:dyDescent="0.3">
      <c r="A1310" t="s">
        <v>1476</v>
      </c>
      <c r="B1310" t="s">
        <v>185</v>
      </c>
      <c r="C1310">
        <v>6.1</v>
      </c>
      <c r="D1310">
        <v>15.39</v>
      </c>
      <c r="E1310">
        <v>9.0500000000000007</v>
      </c>
      <c r="F1310">
        <v>2.61</v>
      </c>
      <c r="G1310">
        <v>65.392051557465081</v>
      </c>
      <c r="H1310">
        <v>46.087851750171595</v>
      </c>
      <c r="I1310">
        <v>49.043231750531532</v>
      </c>
      <c r="J1310">
        <v>51.426381711810258</v>
      </c>
      <c r="K1310">
        <v>4.5977011494252817</v>
      </c>
      <c r="L1310">
        <v>10.397678508734694</v>
      </c>
      <c r="M1310">
        <v>81.990692542104512</v>
      </c>
      <c r="N1310">
        <v>47.360289278787576</v>
      </c>
      <c r="O1310">
        <v>9.4014285714285712</v>
      </c>
      <c r="P1310">
        <v>-0.35142857142857054</v>
      </c>
      <c r="Q1310">
        <v>1308</v>
      </c>
      <c r="R1310">
        <v>26</v>
      </c>
      <c r="S1310" t="s">
        <v>24</v>
      </c>
      <c r="T1310" t="s">
        <v>186</v>
      </c>
      <c r="U1310">
        <v>5000</v>
      </c>
      <c r="V1310">
        <v>1000</v>
      </c>
    </row>
    <row r="1311" spans="1:22" x14ac:dyDescent="0.3">
      <c r="A1311" t="s">
        <v>1477</v>
      </c>
      <c r="B1311" t="s">
        <v>202</v>
      </c>
      <c r="C1311">
        <v>7.5</v>
      </c>
      <c r="D1311">
        <v>12.47</v>
      </c>
      <c r="E1311">
        <v>9.4</v>
      </c>
      <c r="F1311">
        <v>2.44</v>
      </c>
      <c r="G1311">
        <v>68.399570354457566</v>
      </c>
      <c r="H1311">
        <v>41.077556623198355</v>
      </c>
      <c r="I1311">
        <v>50.283486888731389</v>
      </c>
      <c r="J1311">
        <v>51.14492450221671</v>
      </c>
      <c r="K1311">
        <v>11.111111111111116</v>
      </c>
      <c r="L1311">
        <v>13.901043525110692</v>
      </c>
      <c r="M1311">
        <v>75.922686336281913</v>
      </c>
      <c r="N1311">
        <v>47.330911612956612</v>
      </c>
      <c r="O1311">
        <v>10.023387096774194</v>
      </c>
      <c r="P1311">
        <v>-0.62338709677419324</v>
      </c>
      <c r="Q1311">
        <v>1310</v>
      </c>
      <c r="R1311">
        <v>55</v>
      </c>
      <c r="S1311" t="s">
        <v>24</v>
      </c>
      <c r="T1311" t="s">
        <v>107</v>
      </c>
      <c r="U1311">
        <v>1000</v>
      </c>
      <c r="V1311">
        <v>1000</v>
      </c>
    </row>
    <row r="1312" spans="1:22" x14ac:dyDescent="0.3">
      <c r="A1312" t="s">
        <v>1478</v>
      </c>
      <c r="B1312" t="s">
        <v>202</v>
      </c>
      <c r="C1312">
        <v>7.51</v>
      </c>
      <c r="D1312">
        <v>12.47</v>
      </c>
      <c r="E1312">
        <v>9.4</v>
      </c>
      <c r="F1312">
        <v>2.44</v>
      </c>
      <c r="G1312">
        <v>68.421052631578931</v>
      </c>
      <c r="H1312">
        <v>41.077556623198355</v>
      </c>
      <c r="I1312">
        <v>50.283486888731389</v>
      </c>
      <c r="J1312">
        <v>51.149220957640992</v>
      </c>
      <c r="K1312">
        <v>11.111111111111116</v>
      </c>
      <c r="L1312">
        <v>13.912747255007417</v>
      </c>
      <c r="M1312">
        <v>75.902414881462718</v>
      </c>
      <c r="N1312">
        <v>47.327991976963958</v>
      </c>
      <c r="O1312">
        <v>10.023387096774194</v>
      </c>
      <c r="P1312">
        <v>-0.62338709677419324</v>
      </c>
      <c r="Q1312">
        <v>1311</v>
      </c>
      <c r="R1312">
        <v>56</v>
      </c>
      <c r="S1312" t="s">
        <v>24</v>
      </c>
      <c r="T1312" t="s">
        <v>107</v>
      </c>
      <c r="U1312">
        <v>1000</v>
      </c>
      <c r="V1312">
        <v>1000</v>
      </c>
    </row>
    <row r="1313" spans="1:22" x14ac:dyDescent="0.3">
      <c r="A1313" t="s">
        <v>1479</v>
      </c>
      <c r="B1313" t="s">
        <v>199</v>
      </c>
      <c r="C1313">
        <v>3.53</v>
      </c>
      <c r="D1313">
        <v>12.09</v>
      </c>
      <c r="E1313">
        <v>8.48</v>
      </c>
      <c r="F1313">
        <v>2.44</v>
      </c>
      <c r="G1313">
        <v>59.871106337271755</v>
      </c>
      <c r="H1313">
        <v>40.425531914893618</v>
      </c>
      <c r="I1313">
        <v>47.023387668320339</v>
      </c>
      <c r="J1313">
        <v>47.613574676082607</v>
      </c>
      <c r="K1313">
        <v>11.111111111111116</v>
      </c>
      <c r="L1313">
        <v>9.8887641640718993</v>
      </c>
      <c r="M1313">
        <v>82.87215804376109</v>
      </c>
      <c r="N1313">
        <v>47.302604626759354</v>
      </c>
      <c r="O1313">
        <v>9.83</v>
      </c>
      <c r="P1313">
        <v>-1.3499999999999996</v>
      </c>
      <c r="Q1313">
        <v>1312</v>
      </c>
      <c r="R1313">
        <v>25</v>
      </c>
      <c r="S1313" t="s">
        <v>24</v>
      </c>
      <c r="T1313" t="s">
        <v>78</v>
      </c>
      <c r="U1313">
        <v>5000</v>
      </c>
      <c r="V1313">
        <v>1000</v>
      </c>
    </row>
    <row r="1314" spans="1:22" x14ac:dyDescent="0.3">
      <c r="A1314" t="s">
        <v>1480</v>
      </c>
      <c r="B1314" t="s">
        <v>199</v>
      </c>
      <c r="C1314">
        <v>3.53</v>
      </c>
      <c r="D1314">
        <v>12.09</v>
      </c>
      <c r="E1314">
        <v>8.48</v>
      </c>
      <c r="F1314">
        <v>2.44</v>
      </c>
      <c r="G1314">
        <v>59.871106337271755</v>
      </c>
      <c r="H1314">
        <v>40.425531914893618</v>
      </c>
      <c r="I1314">
        <v>47.023387668320339</v>
      </c>
      <c r="J1314">
        <v>47.613574676082607</v>
      </c>
      <c r="K1314">
        <v>11.111111111111116</v>
      </c>
      <c r="L1314">
        <v>9.8887641640718993</v>
      </c>
      <c r="M1314">
        <v>82.87215804376109</v>
      </c>
      <c r="N1314">
        <v>47.302604626759354</v>
      </c>
      <c r="O1314">
        <v>9.83</v>
      </c>
      <c r="P1314">
        <v>-1.3499999999999996</v>
      </c>
      <c r="Q1314">
        <v>1312</v>
      </c>
      <c r="R1314">
        <v>25</v>
      </c>
      <c r="S1314" t="s">
        <v>24</v>
      </c>
      <c r="T1314" t="s">
        <v>78</v>
      </c>
      <c r="U1314">
        <v>5000</v>
      </c>
      <c r="V1314">
        <v>1000</v>
      </c>
    </row>
    <row r="1315" spans="1:22" x14ac:dyDescent="0.3">
      <c r="A1315" t="s">
        <v>1481</v>
      </c>
      <c r="B1315" t="s">
        <v>494</v>
      </c>
      <c r="C1315">
        <v>2.63</v>
      </c>
      <c r="D1315">
        <v>10</v>
      </c>
      <c r="E1315">
        <v>5.5</v>
      </c>
      <c r="F1315">
        <v>1.98</v>
      </c>
      <c r="G1315">
        <v>57.937701396348004</v>
      </c>
      <c r="H1315">
        <v>36.839396019217574</v>
      </c>
      <c r="I1315">
        <v>36.463501063075832</v>
      </c>
      <c r="J1315">
        <v>40.871109616572795</v>
      </c>
      <c r="K1315">
        <v>28.735632183908045</v>
      </c>
      <c r="L1315">
        <v>12.291060889648014</v>
      </c>
      <c r="M1315">
        <v>78.711258060206916</v>
      </c>
      <c r="N1315">
        <v>47.29727736931514</v>
      </c>
      <c r="O1315">
        <v>7.1099999999999994</v>
      </c>
      <c r="P1315">
        <v>-1.6099999999999994</v>
      </c>
      <c r="Q1315">
        <v>1314</v>
      </c>
      <c r="R1315">
        <v>5</v>
      </c>
      <c r="S1315" t="s">
        <v>24</v>
      </c>
      <c r="T1315" t="s">
        <v>107</v>
      </c>
      <c r="U1315">
        <v>1000</v>
      </c>
      <c r="V1315">
        <v>1000</v>
      </c>
    </row>
    <row r="1316" spans="1:22" x14ac:dyDescent="0.3">
      <c r="A1316" t="s">
        <v>1482</v>
      </c>
      <c r="B1316" t="s">
        <v>170</v>
      </c>
      <c r="C1316">
        <v>-1.21</v>
      </c>
      <c r="D1316">
        <v>9.49</v>
      </c>
      <c r="E1316">
        <v>7.59</v>
      </c>
      <c r="F1316">
        <v>2.3199999999999998</v>
      </c>
      <c r="G1316">
        <v>49.688506981740062</v>
      </c>
      <c r="H1316">
        <v>35.964310226492799</v>
      </c>
      <c r="I1316">
        <v>43.869596031183555</v>
      </c>
      <c r="J1316">
        <v>42.66179247988763</v>
      </c>
      <c r="K1316">
        <v>15.708812260536398</v>
      </c>
      <c r="L1316">
        <v>6.8884788461252597</v>
      </c>
      <c r="M1316">
        <v>88.068804651647611</v>
      </c>
      <c r="N1316">
        <v>47.275300467989815</v>
      </c>
      <c r="O1316">
        <v>6.9120588235294118</v>
      </c>
      <c r="P1316">
        <v>0.67794117647058805</v>
      </c>
      <c r="Q1316">
        <v>1315</v>
      </c>
      <c r="R1316">
        <v>18</v>
      </c>
      <c r="S1316" t="s">
        <v>24</v>
      </c>
      <c r="T1316" t="s">
        <v>205</v>
      </c>
      <c r="U1316">
        <v>1000</v>
      </c>
    </row>
    <row r="1317" spans="1:22" x14ac:dyDescent="0.3">
      <c r="A1317" t="s">
        <v>1483</v>
      </c>
      <c r="B1317" t="s">
        <v>170</v>
      </c>
      <c r="C1317">
        <v>-1.21</v>
      </c>
      <c r="D1317">
        <v>9.4700000000000006</v>
      </c>
      <c r="E1317">
        <v>7.58</v>
      </c>
      <c r="F1317">
        <v>2.3199999999999998</v>
      </c>
      <c r="G1317">
        <v>49.688506981740062</v>
      </c>
      <c r="H1317">
        <v>35.92999313658202</v>
      </c>
      <c r="I1317">
        <v>43.834160170092126</v>
      </c>
      <c r="J1317">
        <v>42.633779422368676</v>
      </c>
      <c r="K1317">
        <v>15.708812260536398</v>
      </c>
      <c r="L1317">
        <v>6.9046594933190564</v>
      </c>
      <c r="M1317">
        <v>88.040778948608619</v>
      </c>
      <c r="N1317">
        <v>47.254287513470594</v>
      </c>
      <c r="O1317">
        <v>6.9120588235294118</v>
      </c>
      <c r="P1317">
        <v>0.66794117647058826</v>
      </c>
      <c r="Q1317">
        <v>1316</v>
      </c>
      <c r="R1317">
        <v>19</v>
      </c>
      <c r="S1317" t="s">
        <v>24</v>
      </c>
      <c r="T1317" t="s">
        <v>205</v>
      </c>
      <c r="U1317">
        <v>1000</v>
      </c>
    </row>
    <row r="1318" spans="1:22" x14ac:dyDescent="0.3">
      <c r="A1318" t="s">
        <v>1484</v>
      </c>
      <c r="B1318" t="s">
        <v>199</v>
      </c>
      <c r="C1318">
        <v>-12.42</v>
      </c>
      <c r="D1318">
        <v>5.04</v>
      </c>
      <c r="E1318">
        <v>7.82</v>
      </c>
      <c r="F1318">
        <v>1.82</v>
      </c>
      <c r="G1318">
        <v>25.606874328678835</v>
      </c>
      <c r="H1318">
        <v>28.328757721345234</v>
      </c>
      <c r="I1318">
        <v>44.684620836286321</v>
      </c>
      <c r="J1318">
        <v>35.962312600282495</v>
      </c>
      <c r="K1318">
        <v>34.865900383141771</v>
      </c>
      <c r="L1318">
        <v>10.318941477096807</v>
      </c>
      <c r="M1318">
        <v>82.12706908133849</v>
      </c>
      <c r="N1318">
        <v>47.229398666261318</v>
      </c>
      <c r="O1318">
        <v>9.83</v>
      </c>
      <c r="P1318">
        <v>-2.0099999999999998</v>
      </c>
      <c r="Q1318">
        <v>1317</v>
      </c>
      <c r="R1318">
        <v>27</v>
      </c>
      <c r="S1318" t="s">
        <v>24</v>
      </c>
      <c r="T1318" t="s">
        <v>78</v>
      </c>
      <c r="U1318">
        <v>1000</v>
      </c>
      <c r="V1318">
        <v>1000</v>
      </c>
    </row>
    <row r="1319" spans="1:22" x14ac:dyDescent="0.3">
      <c r="A1319" t="s">
        <v>1485</v>
      </c>
      <c r="B1319" t="s">
        <v>195</v>
      </c>
      <c r="C1319">
        <v>3.56</v>
      </c>
      <c r="D1319">
        <v>14.37</v>
      </c>
      <c r="E1319">
        <v>8.4</v>
      </c>
      <c r="F1319">
        <v>2.57</v>
      </c>
      <c r="G1319">
        <v>59.93555316863587</v>
      </c>
      <c r="H1319">
        <v>44.337680164722038</v>
      </c>
      <c r="I1319">
        <v>46.739900779588943</v>
      </c>
      <c r="J1319">
        <v>48.658365072938253</v>
      </c>
      <c r="K1319">
        <v>6.1302681992337238</v>
      </c>
      <c r="L1319">
        <v>8.3983088387015492</v>
      </c>
      <c r="M1319">
        <v>85.453702393714138</v>
      </c>
      <c r="N1319">
        <v>47.225175184706089</v>
      </c>
      <c r="O1319">
        <v>10.412619047619048</v>
      </c>
      <c r="P1319">
        <v>-2.0126190476190473</v>
      </c>
      <c r="Q1319">
        <v>1318</v>
      </c>
      <c r="R1319">
        <v>40</v>
      </c>
      <c r="S1319" t="s">
        <v>24</v>
      </c>
      <c r="T1319" t="s">
        <v>1072</v>
      </c>
      <c r="U1319">
        <v>5000</v>
      </c>
      <c r="V1319">
        <v>1000</v>
      </c>
    </row>
    <row r="1320" spans="1:22" x14ac:dyDescent="0.3">
      <c r="A1320" t="s">
        <v>1486</v>
      </c>
      <c r="B1320" t="s">
        <v>976</v>
      </c>
      <c r="C1320">
        <v>3.83</v>
      </c>
      <c r="D1320">
        <v>1.34</v>
      </c>
      <c r="E1320">
        <v>3.59</v>
      </c>
      <c r="F1320">
        <v>1.24</v>
      </c>
      <c r="G1320">
        <v>60.515574650912995</v>
      </c>
      <c r="H1320">
        <v>21.980096087851752</v>
      </c>
      <c r="I1320">
        <v>29.695251594613747</v>
      </c>
      <c r="J1320">
        <v>33.544769553845001</v>
      </c>
      <c r="K1320">
        <v>57.088122605363978</v>
      </c>
      <c r="L1320">
        <v>20.389535902321413</v>
      </c>
      <c r="M1320">
        <v>64.684287874429572</v>
      </c>
      <c r="N1320">
        <v>47.215487396870884</v>
      </c>
      <c r="O1320">
        <v>4.3111111111111109</v>
      </c>
      <c r="P1320">
        <v>-0.72111111111111104</v>
      </c>
      <c r="Q1320">
        <v>1319</v>
      </c>
      <c r="R1320">
        <v>28</v>
      </c>
      <c r="S1320" t="s">
        <v>24</v>
      </c>
      <c r="T1320" t="s">
        <v>1119</v>
      </c>
      <c r="U1320">
        <v>1000</v>
      </c>
      <c r="V1320">
        <v>1000</v>
      </c>
    </row>
    <row r="1321" spans="1:22" x14ac:dyDescent="0.3">
      <c r="A1321" t="s">
        <v>1487</v>
      </c>
      <c r="B1321" t="s">
        <v>195</v>
      </c>
      <c r="C1321">
        <v>3.54</v>
      </c>
      <c r="D1321">
        <v>14.35</v>
      </c>
      <c r="E1321">
        <v>8.3699999999999992</v>
      </c>
      <c r="F1321">
        <v>2.57</v>
      </c>
      <c r="G1321">
        <v>59.892588614393127</v>
      </c>
      <c r="H1321">
        <v>44.303363074811266</v>
      </c>
      <c r="I1321">
        <v>46.633593196314663</v>
      </c>
      <c r="J1321">
        <v>48.586323243479342</v>
      </c>
      <c r="K1321">
        <v>6.1302681992337238</v>
      </c>
      <c r="L1321">
        <v>8.4088731393266833</v>
      </c>
      <c r="M1321">
        <v>85.435404488284973</v>
      </c>
      <c r="N1321">
        <v>47.184579793619349</v>
      </c>
      <c r="O1321">
        <v>10.412619047619048</v>
      </c>
      <c r="P1321">
        <v>-2.0426190476190484</v>
      </c>
      <c r="Q1321">
        <v>1320</v>
      </c>
      <c r="R1321">
        <v>41</v>
      </c>
      <c r="S1321" t="s">
        <v>24</v>
      </c>
      <c r="T1321" t="s">
        <v>1072</v>
      </c>
      <c r="U1321">
        <v>5000</v>
      </c>
      <c r="V1321">
        <v>1000</v>
      </c>
    </row>
    <row r="1322" spans="1:22" x14ac:dyDescent="0.3">
      <c r="A1322" t="s">
        <v>1488</v>
      </c>
      <c r="B1322" t="s">
        <v>123</v>
      </c>
      <c r="C1322">
        <v>4.33</v>
      </c>
      <c r="D1322">
        <v>8.66</v>
      </c>
      <c r="E1322">
        <v>5.96</v>
      </c>
      <c r="F1322">
        <v>1.93</v>
      </c>
      <c r="G1322">
        <v>61.58968850698173</v>
      </c>
      <c r="H1322">
        <v>34.54015099519561</v>
      </c>
      <c r="I1322">
        <v>38.093550673281356</v>
      </c>
      <c r="J1322">
        <v>41.726758336595708</v>
      </c>
      <c r="K1322">
        <v>30.651340996168575</v>
      </c>
      <c r="L1322">
        <v>14.699051114351965</v>
      </c>
      <c r="M1322">
        <v>74.540496646890475</v>
      </c>
      <c r="N1322">
        <v>47.161338579062615</v>
      </c>
      <c r="O1322">
        <v>10.563571428571427</v>
      </c>
      <c r="P1322">
        <v>-4.6035714285714269</v>
      </c>
      <c r="Q1322">
        <v>1321</v>
      </c>
      <c r="R1322">
        <v>14</v>
      </c>
      <c r="S1322" t="s">
        <v>24</v>
      </c>
      <c r="T1322" t="s">
        <v>45</v>
      </c>
      <c r="U1322">
        <v>5000</v>
      </c>
      <c r="V1322">
        <v>1000</v>
      </c>
    </row>
    <row r="1323" spans="1:22" x14ac:dyDescent="0.3">
      <c r="A1323" t="s">
        <v>1489</v>
      </c>
      <c r="B1323" t="s">
        <v>976</v>
      </c>
      <c r="C1323">
        <v>4.05</v>
      </c>
      <c r="D1323">
        <v>3.49</v>
      </c>
      <c r="E1323">
        <v>2.77</v>
      </c>
      <c r="F1323">
        <v>1.25</v>
      </c>
      <c r="G1323">
        <v>60.98818474758324</v>
      </c>
      <c r="H1323">
        <v>25.66918325326013</v>
      </c>
      <c r="I1323">
        <v>26.789510985116937</v>
      </c>
      <c r="J1323">
        <v>33.293147418053159</v>
      </c>
      <c r="K1323">
        <v>56.704980842911866</v>
      </c>
      <c r="L1323">
        <v>20.075840737456744</v>
      </c>
      <c r="M1323">
        <v>65.227623838063877</v>
      </c>
      <c r="N1323">
        <v>47.129724879270512</v>
      </c>
      <c r="O1323">
        <v>4.3111111111111109</v>
      </c>
      <c r="P1323">
        <v>-1.5411111111111109</v>
      </c>
      <c r="Q1323">
        <v>1322</v>
      </c>
      <c r="R1323">
        <v>29</v>
      </c>
      <c r="S1323" t="s">
        <v>24</v>
      </c>
      <c r="T1323" t="s">
        <v>977</v>
      </c>
      <c r="U1323">
        <v>1000</v>
      </c>
      <c r="V1323">
        <v>1000</v>
      </c>
    </row>
    <row r="1324" spans="1:22" x14ac:dyDescent="0.3">
      <c r="A1324" t="s">
        <v>1490</v>
      </c>
      <c r="B1324" t="s">
        <v>170</v>
      </c>
      <c r="C1324">
        <v>-6.98</v>
      </c>
      <c r="D1324">
        <v>5.88</v>
      </c>
      <c r="E1324">
        <v>5.86</v>
      </c>
      <c r="F1324">
        <v>2.06</v>
      </c>
      <c r="G1324">
        <v>37.293233082706763</v>
      </c>
      <c r="H1324">
        <v>29.770075497597809</v>
      </c>
      <c r="I1324">
        <v>37.73919206236711</v>
      </c>
      <c r="J1324">
        <v>35.259265297004248</v>
      </c>
      <c r="K1324">
        <v>25.670498084291182</v>
      </c>
      <c r="L1324">
        <v>4.4777896013696044</v>
      </c>
      <c r="M1324">
        <v>92.244240904824252</v>
      </c>
      <c r="N1324">
        <v>47.108317395780986</v>
      </c>
      <c r="O1324">
        <v>6.9120588235294118</v>
      </c>
      <c r="P1324">
        <v>-1.0520588235294115</v>
      </c>
      <c r="Q1324">
        <v>1323</v>
      </c>
      <c r="R1324">
        <v>20</v>
      </c>
      <c r="S1324" t="s">
        <v>24</v>
      </c>
      <c r="T1324" t="s">
        <v>1491</v>
      </c>
      <c r="U1324">
        <v>5000</v>
      </c>
      <c r="V1324">
        <v>1000</v>
      </c>
    </row>
    <row r="1325" spans="1:22" x14ac:dyDescent="0.3">
      <c r="A1325" t="s">
        <v>1492</v>
      </c>
      <c r="B1325" t="s">
        <v>170</v>
      </c>
      <c r="C1325">
        <v>-6.98</v>
      </c>
      <c r="D1325">
        <v>5.88</v>
      </c>
      <c r="E1325">
        <v>5.86</v>
      </c>
      <c r="F1325">
        <v>2.06</v>
      </c>
      <c r="G1325">
        <v>37.293233082706763</v>
      </c>
      <c r="H1325">
        <v>29.770075497597809</v>
      </c>
      <c r="I1325">
        <v>37.73919206236711</v>
      </c>
      <c r="J1325">
        <v>35.259265297004248</v>
      </c>
      <c r="K1325">
        <v>25.670498084291182</v>
      </c>
      <c r="L1325">
        <v>4.4777896013696044</v>
      </c>
      <c r="M1325">
        <v>92.244240904824252</v>
      </c>
      <c r="N1325">
        <v>47.108317395780986</v>
      </c>
      <c r="O1325">
        <v>6.9120588235294118</v>
      </c>
      <c r="P1325">
        <v>-1.0520588235294115</v>
      </c>
      <c r="Q1325">
        <v>1323</v>
      </c>
      <c r="R1325">
        <v>20</v>
      </c>
      <c r="S1325" t="s">
        <v>24</v>
      </c>
      <c r="T1325" t="s">
        <v>1491</v>
      </c>
      <c r="U1325">
        <v>5000</v>
      </c>
      <c r="V1325">
        <v>1000</v>
      </c>
    </row>
    <row r="1326" spans="1:22" x14ac:dyDescent="0.3">
      <c r="A1326" t="s">
        <v>1493</v>
      </c>
      <c r="B1326" t="s">
        <v>921</v>
      </c>
      <c r="C1326">
        <v>5.41</v>
      </c>
      <c r="D1326">
        <v>2.78</v>
      </c>
      <c r="E1326">
        <v>4.8899999999999997</v>
      </c>
      <c r="F1326">
        <v>1.45</v>
      </c>
      <c r="G1326">
        <v>63.909774436090231</v>
      </c>
      <c r="H1326">
        <v>24.450926561427593</v>
      </c>
      <c r="I1326">
        <v>34.301913536498937</v>
      </c>
      <c r="J1326">
        <v>37.268189623895793</v>
      </c>
      <c r="K1326">
        <v>49.042145593869726</v>
      </c>
      <c r="L1326">
        <v>20.537234668719563</v>
      </c>
      <c r="M1326">
        <v>64.428466106812735</v>
      </c>
      <c r="N1326">
        <v>47.001747737118507</v>
      </c>
      <c r="O1326">
        <v>3.5597297297297299</v>
      </c>
      <c r="P1326">
        <v>1.3302702702702698</v>
      </c>
      <c r="Q1326">
        <v>1325</v>
      </c>
      <c r="R1326">
        <v>17</v>
      </c>
      <c r="S1326" t="s">
        <v>24</v>
      </c>
      <c r="T1326" t="s">
        <v>221</v>
      </c>
      <c r="U1326">
        <v>5000</v>
      </c>
      <c r="V1326">
        <v>1000</v>
      </c>
    </row>
    <row r="1327" spans="1:22" x14ac:dyDescent="0.3">
      <c r="A1327" t="s">
        <v>1494</v>
      </c>
      <c r="B1327" t="s">
        <v>442</v>
      </c>
      <c r="C1327">
        <v>-2.61</v>
      </c>
      <c r="D1327">
        <v>13.28</v>
      </c>
      <c r="E1327">
        <v>9.27</v>
      </c>
      <c r="F1327">
        <v>2.72</v>
      </c>
      <c r="G1327">
        <v>46.680988184747576</v>
      </c>
      <c r="H1327">
        <v>42.467398764584765</v>
      </c>
      <c r="I1327">
        <v>49.822820694542877</v>
      </c>
      <c r="J1327">
        <v>46.98782761359638</v>
      </c>
      <c r="K1327">
        <v>0.38314176245208831</v>
      </c>
      <c r="L1327">
        <v>3.6907018097064621</v>
      </c>
      <c r="M1327">
        <v>93.607516950002008</v>
      </c>
      <c r="N1327">
        <v>46.991578484911713</v>
      </c>
      <c r="O1327">
        <v>8.6269999999999989</v>
      </c>
      <c r="P1327">
        <v>0.64300000000000068</v>
      </c>
      <c r="Q1327">
        <v>1326</v>
      </c>
      <c r="R1327">
        <v>7</v>
      </c>
      <c r="S1327" t="s">
        <v>24</v>
      </c>
      <c r="T1327" t="s">
        <v>78</v>
      </c>
      <c r="U1327">
        <v>1000</v>
      </c>
      <c r="V1327">
        <v>1000</v>
      </c>
    </row>
    <row r="1328" spans="1:22" x14ac:dyDescent="0.3">
      <c r="A1328" t="s">
        <v>1495</v>
      </c>
      <c r="B1328" t="s">
        <v>442</v>
      </c>
      <c r="C1328">
        <v>-2.61</v>
      </c>
      <c r="D1328">
        <v>13.28</v>
      </c>
      <c r="E1328">
        <v>9.27</v>
      </c>
      <c r="F1328">
        <v>2.72</v>
      </c>
      <c r="G1328">
        <v>46.680988184747576</v>
      </c>
      <c r="H1328">
        <v>42.467398764584765</v>
      </c>
      <c r="I1328">
        <v>49.822820694542877</v>
      </c>
      <c r="J1328">
        <v>46.98782761359638</v>
      </c>
      <c r="K1328">
        <v>0.38314176245208831</v>
      </c>
      <c r="L1328">
        <v>3.6907018097064621</v>
      </c>
      <c r="M1328">
        <v>93.607516950002008</v>
      </c>
      <c r="N1328">
        <v>46.991578484911713</v>
      </c>
      <c r="O1328">
        <v>8.6269999999999989</v>
      </c>
      <c r="P1328">
        <v>0.64300000000000068</v>
      </c>
      <c r="Q1328">
        <v>1326</v>
      </c>
      <c r="R1328">
        <v>7</v>
      </c>
      <c r="S1328" t="s">
        <v>24</v>
      </c>
      <c r="T1328" t="s">
        <v>78</v>
      </c>
      <c r="U1328">
        <v>1000</v>
      </c>
      <c r="V1328">
        <v>1000</v>
      </c>
    </row>
    <row r="1329" spans="1:22" x14ac:dyDescent="0.3">
      <c r="A1329" t="s">
        <v>1496</v>
      </c>
      <c r="B1329" t="s">
        <v>272</v>
      </c>
      <c r="C1329">
        <v>3.53</v>
      </c>
      <c r="D1329">
        <v>11.42</v>
      </c>
      <c r="E1329">
        <v>9.15</v>
      </c>
      <c r="F1329">
        <v>2.5</v>
      </c>
      <c r="G1329">
        <v>59.871106337271755</v>
      </c>
      <c r="H1329">
        <v>39.275909402882633</v>
      </c>
      <c r="I1329">
        <v>49.397590361445779</v>
      </c>
      <c r="J1329">
        <v>48.455789269042029</v>
      </c>
      <c r="K1329">
        <v>8.812260536398453</v>
      </c>
      <c r="L1329">
        <v>10.298099331827313</v>
      </c>
      <c r="M1329">
        <v>82.163168735883986</v>
      </c>
      <c r="N1329">
        <v>46.971751952591625</v>
      </c>
      <c r="O1329">
        <v>10.044583333333334</v>
      </c>
      <c r="P1329">
        <v>-0.89458333333333329</v>
      </c>
      <c r="Q1329">
        <v>1328</v>
      </c>
      <c r="R1329">
        <v>42</v>
      </c>
      <c r="S1329" t="s">
        <v>24</v>
      </c>
      <c r="T1329" t="s">
        <v>273</v>
      </c>
      <c r="U1329">
        <v>5000</v>
      </c>
      <c r="V1329">
        <v>1000</v>
      </c>
    </row>
    <row r="1330" spans="1:22" x14ac:dyDescent="0.3">
      <c r="A1330" t="s">
        <v>1497</v>
      </c>
      <c r="B1330" t="s">
        <v>424</v>
      </c>
      <c r="C1330">
        <v>1.77</v>
      </c>
      <c r="D1330">
        <v>7.21</v>
      </c>
      <c r="E1330">
        <v>6.78</v>
      </c>
      <c r="F1330">
        <v>2.0499999999999998</v>
      </c>
      <c r="G1330">
        <v>56.090225563909769</v>
      </c>
      <c r="H1330">
        <v>32.052161976664387</v>
      </c>
      <c r="I1330">
        <v>40.999291282778174</v>
      </c>
      <c r="J1330">
        <v>41.333339347170359</v>
      </c>
      <c r="K1330">
        <v>26.053639846743295</v>
      </c>
      <c r="L1330">
        <v>12.149183246362732</v>
      </c>
      <c r="M1330">
        <v>78.956997346835152</v>
      </c>
      <c r="N1330">
        <v>46.919328971979795</v>
      </c>
      <c r="O1330">
        <v>7.9378947368421047</v>
      </c>
      <c r="P1330">
        <v>-1.1578947368421044</v>
      </c>
      <c r="Q1330">
        <v>1329</v>
      </c>
      <c r="R1330">
        <v>14</v>
      </c>
      <c r="S1330" t="s">
        <v>24</v>
      </c>
      <c r="T1330" t="s">
        <v>425</v>
      </c>
      <c r="U1330">
        <v>1000</v>
      </c>
      <c r="V1330">
        <v>1000</v>
      </c>
    </row>
    <row r="1331" spans="1:22" x14ac:dyDescent="0.3">
      <c r="A1331" t="s">
        <v>1498</v>
      </c>
      <c r="B1331" t="s">
        <v>921</v>
      </c>
      <c r="C1331">
        <v>5.41</v>
      </c>
      <c r="D1331">
        <v>2.78</v>
      </c>
      <c r="E1331">
        <v>4.78</v>
      </c>
      <c r="F1331">
        <v>1.45</v>
      </c>
      <c r="G1331">
        <v>63.909774436090231</v>
      </c>
      <c r="H1331">
        <v>24.450926561427593</v>
      </c>
      <c r="I1331">
        <v>33.912119064493261</v>
      </c>
      <c r="J1331">
        <v>37.073292387892955</v>
      </c>
      <c r="K1331">
        <v>49.042145593869726</v>
      </c>
      <c r="L1331">
        <v>20.600866353015896</v>
      </c>
      <c r="M1331">
        <v>64.318252796640309</v>
      </c>
      <c r="N1331">
        <v>46.876745791573988</v>
      </c>
      <c r="O1331">
        <v>3.5597297297297299</v>
      </c>
      <c r="P1331">
        <v>1.2202702702702704</v>
      </c>
      <c r="Q1331">
        <v>1330</v>
      </c>
      <c r="R1331">
        <v>18</v>
      </c>
      <c r="S1331" t="s">
        <v>24</v>
      </c>
      <c r="T1331" t="s">
        <v>221</v>
      </c>
      <c r="U1331">
        <v>5000</v>
      </c>
      <c r="V1331">
        <v>1000</v>
      </c>
    </row>
    <row r="1332" spans="1:22" x14ac:dyDescent="0.3">
      <c r="A1332" t="s">
        <v>1499</v>
      </c>
      <c r="B1332" t="s">
        <v>195</v>
      </c>
      <c r="C1332">
        <v>3.58</v>
      </c>
      <c r="D1332">
        <v>14.36</v>
      </c>
      <c r="E1332">
        <v>8.11</v>
      </c>
      <c r="F1332">
        <v>2.57</v>
      </c>
      <c r="G1332">
        <v>59.978517722878621</v>
      </c>
      <c r="H1332">
        <v>44.320521619766652</v>
      </c>
      <c r="I1332">
        <v>45.712260807937625</v>
      </c>
      <c r="J1332">
        <v>48.147990434474536</v>
      </c>
      <c r="K1332">
        <v>6.1302681992337238</v>
      </c>
      <c r="L1332">
        <v>8.6663705041966885</v>
      </c>
      <c r="M1332">
        <v>84.989405969515033</v>
      </c>
      <c r="N1332">
        <v>46.853913759424458</v>
      </c>
      <c r="O1332">
        <v>10.412619047619048</v>
      </c>
      <c r="P1332">
        <v>-2.3026190476190482</v>
      </c>
      <c r="Q1332">
        <v>1331</v>
      </c>
      <c r="R1332">
        <v>42</v>
      </c>
      <c r="S1332" t="s">
        <v>24</v>
      </c>
      <c r="T1332" t="s">
        <v>1072</v>
      </c>
      <c r="U1332">
        <v>5000</v>
      </c>
      <c r="V1332">
        <v>1000</v>
      </c>
    </row>
    <row r="1333" spans="1:22" x14ac:dyDescent="0.3">
      <c r="A1333" t="s">
        <v>1500</v>
      </c>
      <c r="B1333" t="s">
        <v>424</v>
      </c>
      <c r="C1333">
        <v>1.78</v>
      </c>
      <c r="D1333">
        <v>7.21</v>
      </c>
      <c r="E1333">
        <v>6.7</v>
      </c>
      <c r="F1333">
        <v>2.0499999999999998</v>
      </c>
      <c r="G1333">
        <v>56.111707841031148</v>
      </c>
      <c r="H1333">
        <v>32.052161976664387</v>
      </c>
      <c r="I1333">
        <v>40.715804394046771</v>
      </c>
      <c r="J1333">
        <v>41.195892358228932</v>
      </c>
      <c r="K1333">
        <v>26.053639846743295</v>
      </c>
      <c r="L1333">
        <v>12.185745019521105</v>
      </c>
      <c r="M1333">
        <v>78.893670498110041</v>
      </c>
      <c r="N1333">
        <v>46.834773765327796</v>
      </c>
      <c r="O1333">
        <v>7.9378947368421047</v>
      </c>
      <c r="P1333">
        <v>-1.2378947368421045</v>
      </c>
      <c r="Q1333">
        <v>1332</v>
      </c>
      <c r="R1333">
        <v>15</v>
      </c>
      <c r="S1333" t="s">
        <v>24</v>
      </c>
      <c r="T1333" t="s">
        <v>425</v>
      </c>
      <c r="U1333">
        <v>1000</v>
      </c>
      <c r="V1333">
        <v>1000</v>
      </c>
    </row>
    <row r="1334" spans="1:22" x14ac:dyDescent="0.3">
      <c r="A1334" t="s">
        <v>1501</v>
      </c>
      <c r="B1334" t="s">
        <v>51</v>
      </c>
      <c r="C1334">
        <v>-2.31</v>
      </c>
      <c r="D1334">
        <v>16.86</v>
      </c>
      <c r="E1334">
        <v>3.94</v>
      </c>
      <c r="F1334">
        <v>2.0699999999999998</v>
      </c>
      <c r="G1334">
        <v>47.325456498388824</v>
      </c>
      <c r="H1334">
        <v>48.610157858613597</v>
      </c>
      <c r="I1334">
        <v>30.935506732813607</v>
      </c>
      <c r="J1334">
        <v>39.515892023668648</v>
      </c>
      <c r="K1334">
        <v>25.287356321839095</v>
      </c>
      <c r="L1334">
        <v>9.8545607319807793</v>
      </c>
      <c r="M1334">
        <v>82.931400125936136</v>
      </c>
      <c r="N1334">
        <v>46.812635123778136</v>
      </c>
      <c r="O1334">
        <v>12.127586206896551</v>
      </c>
      <c r="P1334">
        <v>-8.187586206896551</v>
      </c>
      <c r="Q1334">
        <v>1333</v>
      </c>
      <c r="R1334">
        <v>28</v>
      </c>
      <c r="S1334" t="s">
        <v>24</v>
      </c>
      <c r="T1334" t="s">
        <v>120</v>
      </c>
      <c r="U1334">
        <v>1000</v>
      </c>
      <c r="V1334">
        <v>1000</v>
      </c>
    </row>
    <row r="1335" spans="1:22" x14ac:dyDescent="0.3">
      <c r="A1335" t="s">
        <v>1502</v>
      </c>
      <c r="B1335" t="s">
        <v>199</v>
      </c>
      <c r="C1335">
        <v>-4.1900000000000004</v>
      </c>
      <c r="D1335">
        <v>8.67</v>
      </c>
      <c r="E1335">
        <v>5.75</v>
      </c>
      <c r="F1335">
        <v>2.2200000000000002</v>
      </c>
      <c r="G1335">
        <v>43.286788399570355</v>
      </c>
      <c r="H1335">
        <v>34.557309540150996</v>
      </c>
      <c r="I1335">
        <v>37.349397590361441</v>
      </c>
      <c r="J1335">
        <v>37.699249337140088</v>
      </c>
      <c r="K1335">
        <v>19.540229885057457</v>
      </c>
      <c r="L1335">
        <v>4.4581791211669959</v>
      </c>
      <c r="M1335">
        <v>92.278207252895996</v>
      </c>
      <c r="N1335">
        <v>46.804233953058407</v>
      </c>
      <c r="O1335">
        <v>9.83</v>
      </c>
      <c r="P1335">
        <v>-4.08</v>
      </c>
      <c r="Q1335">
        <v>1334</v>
      </c>
      <c r="R1335">
        <v>28</v>
      </c>
      <c r="S1335" t="s">
        <v>24</v>
      </c>
      <c r="T1335" t="s">
        <v>107</v>
      </c>
      <c r="U1335">
        <v>1000</v>
      </c>
      <c r="V1335">
        <v>1000</v>
      </c>
    </row>
    <row r="1336" spans="1:22" x14ac:dyDescent="0.3">
      <c r="A1336" t="s">
        <v>1503</v>
      </c>
      <c r="B1336" t="s">
        <v>494</v>
      </c>
      <c r="C1336">
        <v>2.63</v>
      </c>
      <c r="D1336">
        <v>9.6</v>
      </c>
      <c r="E1336">
        <v>5.27</v>
      </c>
      <c r="F1336">
        <v>1.98</v>
      </c>
      <c r="G1336">
        <v>57.937701396348004</v>
      </c>
      <c r="H1336">
        <v>36.153054221002066</v>
      </c>
      <c r="I1336">
        <v>35.648476257973059</v>
      </c>
      <c r="J1336">
        <v>40.257694674556753</v>
      </c>
      <c r="K1336">
        <v>28.735632183908045</v>
      </c>
      <c r="L1336">
        <v>12.725532135201314</v>
      </c>
      <c r="M1336">
        <v>77.958731788480861</v>
      </c>
      <c r="N1336">
        <v>46.802438330375601</v>
      </c>
      <c r="O1336">
        <v>7.1099999999999994</v>
      </c>
      <c r="P1336">
        <v>-1.8399999999999999</v>
      </c>
      <c r="Q1336">
        <v>1335</v>
      </c>
      <c r="R1336">
        <v>6</v>
      </c>
      <c r="S1336" t="s">
        <v>24</v>
      </c>
      <c r="T1336" t="s">
        <v>107</v>
      </c>
      <c r="U1336">
        <v>1000</v>
      </c>
      <c r="V1336">
        <v>1000</v>
      </c>
    </row>
    <row r="1337" spans="1:22" x14ac:dyDescent="0.3">
      <c r="A1337" t="s">
        <v>1504</v>
      </c>
      <c r="B1337" t="s">
        <v>976</v>
      </c>
      <c r="C1337">
        <v>6.07</v>
      </c>
      <c r="D1337">
        <v>2.81</v>
      </c>
      <c r="E1337">
        <v>5.07</v>
      </c>
      <c r="F1337">
        <v>1.48</v>
      </c>
      <c r="G1337">
        <v>65.327604726100958</v>
      </c>
      <c r="H1337">
        <v>24.502402196293758</v>
      </c>
      <c r="I1337">
        <v>34.939759036144579</v>
      </c>
      <c r="J1337">
        <v>37.886121122180612</v>
      </c>
      <c r="K1337">
        <v>47.892720306513411</v>
      </c>
      <c r="L1337">
        <v>21.209497656626844</v>
      </c>
      <c r="M1337">
        <v>63.264072455709261</v>
      </c>
      <c r="N1337">
        <v>46.732258751645972</v>
      </c>
      <c r="O1337">
        <v>4.3111111111111109</v>
      </c>
      <c r="P1337">
        <v>0.75888888888888939</v>
      </c>
      <c r="Q1337">
        <v>1336</v>
      </c>
      <c r="R1337">
        <v>30</v>
      </c>
      <c r="S1337" t="s">
        <v>24</v>
      </c>
      <c r="T1337" t="s">
        <v>977</v>
      </c>
      <c r="U1337">
        <v>5000</v>
      </c>
      <c r="V1337">
        <v>1000</v>
      </c>
    </row>
    <row r="1338" spans="1:22" x14ac:dyDescent="0.3">
      <c r="A1338" t="s">
        <v>1505</v>
      </c>
      <c r="B1338" t="s">
        <v>1019</v>
      </c>
      <c r="C1338">
        <v>9.85</v>
      </c>
      <c r="D1338">
        <v>10.57</v>
      </c>
      <c r="E1338">
        <v>10.72</v>
      </c>
      <c r="F1338">
        <v>2.46</v>
      </c>
      <c r="G1338">
        <v>73.447905477980655</v>
      </c>
      <c r="H1338">
        <v>37.817433081674679</v>
      </c>
      <c r="I1338">
        <v>54.961020552799432</v>
      </c>
      <c r="J1338">
        <v>53.515321296498257</v>
      </c>
      <c r="K1338">
        <v>10.344827586206895</v>
      </c>
      <c r="L1338">
        <v>17.819455981225129</v>
      </c>
      <c r="M1338">
        <v>69.135796877280953</v>
      </c>
      <c r="N1338">
        <v>46.627816764121093</v>
      </c>
      <c r="O1338">
        <v>8.7813636363636363</v>
      </c>
      <c r="P1338">
        <v>1.9386363636363644</v>
      </c>
      <c r="Q1338">
        <v>1337</v>
      </c>
      <c r="R1338">
        <v>11</v>
      </c>
      <c r="S1338" t="s">
        <v>24</v>
      </c>
      <c r="T1338" t="s">
        <v>1020</v>
      </c>
      <c r="U1338">
        <v>1000</v>
      </c>
      <c r="V1338">
        <v>1000</v>
      </c>
    </row>
    <row r="1339" spans="1:22" x14ac:dyDescent="0.3">
      <c r="A1339" t="s">
        <v>1506</v>
      </c>
      <c r="B1339" t="s">
        <v>1331</v>
      </c>
      <c r="C1339">
        <v>5.47</v>
      </c>
      <c r="D1339">
        <v>4.24</v>
      </c>
      <c r="E1339">
        <v>5.72</v>
      </c>
      <c r="F1339">
        <v>1.67</v>
      </c>
      <c r="G1339">
        <v>64.038668098818476</v>
      </c>
      <c r="H1339">
        <v>26.95607412491421</v>
      </c>
      <c r="I1339">
        <v>37.243090007087162</v>
      </c>
      <c r="J1339">
        <v>39.516100860781535</v>
      </c>
      <c r="K1339">
        <v>40.613026819923384</v>
      </c>
      <c r="L1339">
        <v>19.143948029179661</v>
      </c>
      <c r="M1339">
        <v>66.841709356002752</v>
      </c>
      <c r="N1339">
        <v>46.621734474372303</v>
      </c>
      <c r="O1339">
        <v>4.7778125000000005</v>
      </c>
      <c r="P1339">
        <v>0.94218749999999929</v>
      </c>
      <c r="Q1339">
        <v>1338</v>
      </c>
      <c r="R1339">
        <v>13</v>
      </c>
      <c r="S1339" t="s">
        <v>24</v>
      </c>
      <c r="T1339" t="s">
        <v>1422</v>
      </c>
      <c r="U1339">
        <v>5000</v>
      </c>
      <c r="V1339">
        <v>1000</v>
      </c>
    </row>
    <row r="1340" spans="1:22" x14ac:dyDescent="0.3">
      <c r="A1340" t="s">
        <v>1507</v>
      </c>
      <c r="B1340" t="s">
        <v>202</v>
      </c>
      <c r="C1340">
        <v>2.73</v>
      </c>
      <c r="D1340">
        <v>11.01</v>
      </c>
      <c r="E1340">
        <v>8.09</v>
      </c>
      <c r="F1340">
        <v>2.4300000000000002</v>
      </c>
      <c r="G1340">
        <v>58.152524167561758</v>
      </c>
      <c r="H1340">
        <v>38.572409059711745</v>
      </c>
      <c r="I1340">
        <v>45.641389085754781</v>
      </c>
      <c r="J1340">
        <v>46.022922094303269</v>
      </c>
      <c r="K1340">
        <v>11.494252873563205</v>
      </c>
      <c r="L1340">
        <v>9.9153070828263061</v>
      </c>
      <c r="M1340">
        <v>82.826184359897283</v>
      </c>
      <c r="N1340">
        <v>46.591570355516751</v>
      </c>
      <c r="O1340">
        <v>10.023387096774194</v>
      </c>
      <c r="P1340">
        <v>-1.9333870967741937</v>
      </c>
      <c r="Q1340">
        <v>1339</v>
      </c>
      <c r="R1340">
        <v>57</v>
      </c>
      <c r="S1340" t="s">
        <v>24</v>
      </c>
      <c r="T1340" t="s">
        <v>78</v>
      </c>
      <c r="U1340">
        <v>1000</v>
      </c>
      <c r="V1340">
        <v>1000</v>
      </c>
    </row>
    <row r="1341" spans="1:22" x14ac:dyDescent="0.3">
      <c r="A1341" t="s">
        <v>1508</v>
      </c>
      <c r="B1341" t="s">
        <v>976</v>
      </c>
      <c r="C1341">
        <v>4.03</v>
      </c>
      <c r="D1341">
        <v>3.54</v>
      </c>
      <c r="E1341">
        <v>2.34</v>
      </c>
      <c r="F1341">
        <v>1.25</v>
      </c>
      <c r="G1341">
        <v>60.945220193340489</v>
      </c>
      <c r="H1341">
        <v>25.754975978037066</v>
      </c>
      <c r="I1341">
        <v>25.265768958185681</v>
      </c>
      <c r="J1341">
        <v>32.548421311172063</v>
      </c>
      <c r="K1341">
        <v>56.704980842911866</v>
      </c>
      <c r="L1341">
        <v>20.459781083395288</v>
      </c>
      <c r="M1341">
        <v>64.562619651822757</v>
      </c>
      <c r="N1341">
        <v>46.591110779269684</v>
      </c>
      <c r="O1341">
        <v>4.3111111111111109</v>
      </c>
      <c r="P1341">
        <v>-1.971111111111111</v>
      </c>
      <c r="Q1341">
        <v>1340</v>
      </c>
      <c r="R1341">
        <v>31</v>
      </c>
      <c r="S1341" t="s">
        <v>24</v>
      </c>
      <c r="T1341" t="s">
        <v>977</v>
      </c>
      <c r="U1341">
        <v>1000</v>
      </c>
      <c r="V1341">
        <v>1000</v>
      </c>
    </row>
    <row r="1342" spans="1:22" x14ac:dyDescent="0.3">
      <c r="A1342" t="s">
        <v>1509</v>
      </c>
      <c r="B1342" t="s">
        <v>1019</v>
      </c>
      <c r="C1342">
        <v>9.8800000000000008</v>
      </c>
      <c r="D1342">
        <v>9.19</v>
      </c>
      <c r="E1342">
        <v>11.36</v>
      </c>
      <c r="F1342">
        <v>2.4300000000000002</v>
      </c>
      <c r="G1342">
        <v>73.512352309344791</v>
      </c>
      <c r="H1342">
        <v>35.449553877831164</v>
      </c>
      <c r="I1342">
        <v>57.228915662650607</v>
      </c>
      <c r="J1342">
        <v>53.95179445654361</v>
      </c>
      <c r="K1342">
        <v>11.494252873563205</v>
      </c>
      <c r="L1342">
        <v>19.097414891458445</v>
      </c>
      <c r="M1342">
        <v>66.922307114771499</v>
      </c>
      <c r="N1342">
        <v>46.580037225355483</v>
      </c>
      <c r="O1342">
        <v>8.7813636363636363</v>
      </c>
      <c r="P1342">
        <v>2.5786363636363632</v>
      </c>
      <c r="Q1342">
        <v>1341</v>
      </c>
      <c r="R1342">
        <v>12</v>
      </c>
      <c r="S1342" t="s">
        <v>24</v>
      </c>
      <c r="T1342" t="s">
        <v>1510</v>
      </c>
      <c r="U1342">
        <v>5000</v>
      </c>
      <c r="V1342">
        <v>1000</v>
      </c>
    </row>
    <row r="1343" spans="1:22" x14ac:dyDescent="0.3">
      <c r="A1343" t="s">
        <v>1511</v>
      </c>
      <c r="B1343" t="s">
        <v>1331</v>
      </c>
      <c r="C1343">
        <v>5.47</v>
      </c>
      <c r="D1343">
        <v>4.24</v>
      </c>
      <c r="E1343">
        <v>5.67</v>
      </c>
      <c r="F1343">
        <v>1.67</v>
      </c>
      <c r="G1343">
        <v>64.038668098818476</v>
      </c>
      <c r="H1343">
        <v>26.95607412491421</v>
      </c>
      <c r="I1343">
        <v>37.065910701630045</v>
      </c>
      <c r="J1343">
        <v>39.427511208052977</v>
      </c>
      <c r="K1343">
        <v>40.613026819923384</v>
      </c>
      <c r="L1343">
        <v>19.169668807123951</v>
      </c>
      <c r="M1343">
        <v>66.797159661793046</v>
      </c>
      <c r="N1343">
        <v>46.566302224455598</v>
      </c>
      <c r="O1343">
        <v>4.7778125000000005</v>
      </c>
      <c r="P1343">
        <v>0.89218749999999947</v>
      </c>
      <c r="Q1343">
        <v>1342</v>
      </c>
      <c r="R1343">
        <v>14</v>
      </c>
      <c r="S1343" t="s">
        <v>24</v>
      </c>
      <c r="T1343" t="s">
        <v>1422</v>
      </c>
      <c r="U1343">
        <v>5000</v>
      </c>
      <c r="V1343">
        <v>1000</v>
      </c>
    </row>
    <row r="1344" spans="1:22" x14ac:dyDescent="0.3">
      <c r="A1344" t="s">
        <v>1512</v>
      </c>
      <c r="B1344" t="s">
        <v>51</v>
      </c>
      <c r="C1344">
        <v>-2.31</v>
      </c>
      <c r="D1344">
        <v>16.86</v>
      </c>
      <c r="E1344">
        <v>3.8</v>
      </c>
      <c r="F1344">
        <v>2.0699999999999998</v>
      </c>
      <c r="G1344">
        <v>47.325456498388824</v>
      </c>
      <c r="H1344">
        <v>48.610157858613597</v>
      </c>
      <c r="I1344">
        <v>30.439404677533659</v>
      </c>
      <c r="J1344">
        <v>39.267840996028674</v>
      </c>
      <c r="K1344">
        <v>25.287356321839095</v>
      </c>
      <c r="L1344">
        <v>10.140393441161411</v>
      </c>
      <c r="M1344">
        <v>82.43632335117023</v>
      </c>
      <c r="N1344">
        <v>46.564840416266669</v>
      </c>
      <c r="O1344">
        <v>12.127586206896551</v>
      </c>
      <c r="P1344">
        <v>-8.3275862068965516</v>
      </c>
      <c r="Q1344">
        <v>1343</v>
      </c>
      <c r="R1344">
        <v>29</v>
      </c>
      <c r="S1344" t="s">
        <v>24</v>
      </c>
      <c r="T1344" t="s">
        <v>120</v>
      </c>
      <c r="U1344">
        <v>1000</v>
      </c>
      <c r="V1344">
        <v>1000</v>
      </c>
    </row>
    <row r="1345" spans="1:22" x14ac:dyDescent="0.3">
      <c r="A1345" t="s">
        <v>1513</v>
      </c>
      <c r="B1345" t="s">
        <v>1331</v>
      </c>
      <c r="C1345">
        <v>5.47</v>
      </c>
      <c r="D1345">
        <v>4.24</v>
      </c>
      <c r="E1345">
        <v>5.65</v>
      </c>
      <c r="F1345">
        <v>1.67</v>
      </c>
      <c r="G1345">
        <v>64.038668098818476</v>
      </c>
      <c r="H1345">
        <v>26.95607412491421</v>
      </c>
      <c r="I1345">
        <v>36.995038979447202</v>
      </c>
      <c r="J1345">
        <v>39.392075346961562</v>
      </c>
      <c r="K1345">
        <v>40.613026819923384</v>
      </c>
      <c r="L1345">
        <v>19.180100221888377</v>
      </c>
      <c r="M1345">
        <v>66.779091921426229</v>
      </c>
      <c r="N1345">
        <v>46.544067358818182</v>
      </c>
      <c r="O1345">
        <v>4.7778125000000005</v>
      </c>
      <c r="P1345">
        <v>0.87218749999999989</v>
      </c>
      <c r="Q1345">
        <v>1344</v>
      </c>
      <c r="R1345">
        <v>15</v>
      </c>
      <c r="S1345" t="s">
        <v>24</v>
      </c>
      <c r="T1345" t="s">
        <v>1422</v>
      </c>
      <c r="U1345">
        <v>5000</v>
      </c>
      <c r="V1345">
        <v>1000</v>
      </c>
    </row>
    <row r="1346" spans="1:22" x14ac:dyDescent="0.3">
      <c r="A1346" t="s">
        <v>1514</v>
      </c>
      <c r="B1346" t="s">
        <v>442</v>
      </c>
      <c r="C1346">
        <v>1.62</v>
      </c>
      <c r="D1346">
        <v>9.77</v>
      </c>
      <c r="E1346">
        <v>7.89</v>
      </c>
      <c r="F1346">
        <v>2.37</v>
      </c>
      <c r="G1346">
        <v>55.767991407089148</v>
      </c>
      <c r="H1346">
        <v>36.444749485243655</v>
      </c>
      <c r="I1346">
        <v>44.932671863926288</v>
      </c>
      <c r="J1346">
        <v>44.553359058954072</v>
      </c>
      <c r="K1346">
        <v>13.793103448275845</v>
      </c>
      <c r="L1346">
        <v>9.6853553908220604</v>
      </c>
      <c r="M1346">
        <v>83.224472373735068</v>
      </c>
      <c r="N1346">
        <v>46.531073484979764</v>
      </c>
      <c r="O1346">
        <v>8.6269999999999989</v>
      </c>
      <c r="P1346">
        <v>-0.73699999999999921</v>
      </c>
      <c r="Q1346">
        <v>1345</v>
      </c>
      <c r="R1346">
        <v>9</v>
      </c>
      <c r="S1346" t="s">
        <v>24</v>
      </c>
      <c r="T1346" t="s">
        <v>176</v>
      </c>
      <c r="U1346">
        <v>5000</v>
      </c>
      <c r="V1346">
        <v>1000</v>
      </c>
    </row>
    <row r="1347" spans="1:22" x14ac:dyDescent="0.3">
      <c r="A1347" t="s">
        <v>1515</v>
      </c>
      <c r="B1347" t="s">
        <v>1019</v>
      </c>
      <c r="C1347">
        <v>9.89</v>
      </c>
      <c r="D1347">
        <v>9.15</v>
      </c>
      <c r="E1347">
        <v>11.33</v>
      </c>
      <c r="F1347">
        <v>2.4300000000000002</v>
      </c>
      <c r="G1347">
        <v>73.533834586466156</v>
      </c>
      <c r="H1347">
        <v>35.380919698009613</v>
      </c>
      <c r="I1347">
        <v>57.122608079376327</v>
      </c>
      <c r="J1347">
        <v>53.882346866384282</v>
      </c>
      <c r="K1347">
        <v>11.494252873563205</v>
      </c>
      <c r="L1347">
        <v>19.138418097399764</v>
      </c>
      <c r="M1347">
        <v>66.851287478807919</v>
      </c>
      <c r="N1347">
        <v>46.527558521284917</v>
      </c>
      <c r="O1347">
        <v>8.7813636363636363</v>
      </c>
      <c r="P1347">
        <v>2.5486363636363638</v>
      </c>
      <c r="Q1347">
        <v>1346</v>
      </c>
      <c r="R1347">
        <v>13</v>
      </c>
      <c r="S1347" t="s">
        <v>24</v>
      </c>
      <c r="T1347" t="s">
        <v>1510</v>
      </c>
      <c r="U1347">
        <v>5000</v>
      </c>
      <c r="V1347">
        <v>1000</v>
      </c>
    </row>
    <row r="1348" spans="1:22" x14ac:dyDescent="0.3">
      <c r="A1348" t="s">
        <v>1516</v>
      </c>
      <c r="B1348" t="s">
        <v>272</v>
      </c>
      <c r="C1348">
        <v>3.55</v>
      </c>
      <c r="D1348">
        <v>11.44</v>
      </c>
      <c r="E1348">
        <v>8.64</v>
      </c>
      <c r="F1348">
        <v>2.5</v>
      </c>
      <c r="G1348">
        <v>59.914070891514491</v>
      </c>
      <c r="H1348">
        <v>39.310226492793419</v>
      </c>
      <c r="I1348">
        <v>47.590361445783131</v>
      </c>
      <c r="J1348">
        <v>47.571062849032486</v>
      </c>
      <c r="K1348">
        <v>8.812260536398453</v>
      </c>
      <c r="L1348">
        <v>10.367841734173673</v>
      </c>
      <c r="M1348">
        <v>82.042371351578183</v>
      </c>
      <c r="N1348">
        <v>46.499189396510403</v>
      </c>
      <c r="O1348">
        <v>10.044583333333334</v>
      </c>
      <c r="P1348">
        <v>-1.4045833333333331</v>
      </c>
      <c r="Q1348">
        <v>1347</v>
      </c>
      <c r="R1348">
        <v>43</v>
      </c>
      <c r="S1348" t="s">
        <v>24</v>
      </c>
      <c r="T1348" t="s">
        <v>273</v>
      </c>
      <c r="U1348">
        <v>5000</v>
      </c>
      <c r="V1348">
        <v>1000</v>
      </c>
    </row>
    <row r="1349" spans="1:22" x14ac:dyDescent="0.3">
      <c r="A1349" t="s">
        <v>1517</v>
      </c>
      <c r="B1349" t="s">
        <v>202</v>
      </c>
      <c r="C1349">
        <v>2.71</v>
      </c>
      <c r="D1349">
        <v>11.01</v>
      </c>
      <c r="E1349">
        <v>7.96</v>
      </c>
      <c r="F1349">
        <v>2.4300000000000002</v>
      </c>
      <c r="G1349">
        <v>58.109559613319007</v>
      </c>
      <c r="H1349">
        <v>38.572409059711745</v>
      </c>
      <c r="I1349">
        <v>45.180722891566262</v>
      </c>
      <c r="J1349">
        <v>45.78399608636046</v>
      </c>
      <c r="K1349">
        <v>11.494252873563205</v>
      </c>
      <c r="L1349">
        <v>9.9375121168256406</v>
      </c>
      <c r="M1349">
        <v>82.787724112826652</v>
      </c>
      <c r="N1349">
        <v>46.462492289777693</v>
      </c>
      <c r="O1349">
        <v>10.023387096774194</v>
      </c>
      <c r="P1349">
        <v>-2.0633870967741936</v>
      </c>
      <c r="Q1349">
        <v>1348</v>
      </c>
      <c r="R1349">
        <v>58</v>
      </c>
      <c r="S1349" t="s">
        <v>24</v>
      </c>
      <c r="T1349" t="s">
        <v>78</v>
      </c>
      <c r="U1349">
        <v>1000</v>
      </c>
      <c r="V1349">
        <v>1000</v>
      </c>
    </row>
    <row r="1350" spans="1:22" x14ac:dyDescent="0.3">
      <c r="A1350" t="s">
        <v>1518</v>
      </c>
      <c r="B1350" t="s">
        <v>199</v>
      </c>
      <c r="C1350">
        <v>-4.17</v>
      </c>
      <c r="D1350">
        <v>8.3800000000000008</v>
      </c>
      <c r="E1350">
        <v>5.58</v>
      </c>
      <c r="F1350">
        <v>2.2200000000000002</v>
      </c>
      <c r="G1350">
        <v>43.329752953813099</v>
      </c>
      <c r="H1350">
        <v>34.059711736444754</v>
      </c>
      <c r="I1350">
        <v>36.746987951807228</v>
      </c>
      <c r="J1350">
        <v>37.257358087599656</v>
      </c>
      <c r="K1350">
        <v>19.540229885057457</v>
      </c>
      <c r="L1350">
        <v>4.7694848202049762</v>
      </c>
      <c r="M1350">
        <v>91.73900996547647</v>
      </c>
      <c r="N1350">
        <v>46.448489006433306</v>
      </c>
      <c r="O1350">
        <v>9.83</v>
      </c>
      <c r="P1350">
        <v>-4.25</v>
      </c>
      <c r="Q1350">
        <v>1349</v>
      </c>
      <c r="R1350">
        <v>29</v>
      </c>
      <c r="S1350" t="s">
        <v>24</v>
      </c>
      <c r="T1350" t="s">
        <v>107</v>
      </c>
      <c r="U1350">
        <v>1000</v>
      </c>
      <c r="V1350">
        <v>1000</v>
      </c>
    </row>
    <row r="1351" spans="1:22" x14ac:dyDescent="0.3">
      <c r="A1351" t="s">
        <v>1519</v>
      </c>
      <c r="B1351" t="s">
        <v>185</v>
      </c>
      <c r="C1351">
        <v>9.1300000000000008</v>
      </c>
      <c r="D1351">
        <v>19.38</v>
      </c>
      <c r="E1351">
        <v>7.35</v>
      </c>
      <c r="F1351">
        <v>2.5299999999999998</v>
      </c>
      <c r="G1351">
        <v>71.901181525241668</v>
      </c>
      <c r="H1351">
        <v>52.934111187371315</v>
      </c>
      <c r="I1351">
        <v>43.019135364989367</v>
      </c>
      <c r="J1351">
        <v>51.77003734375441</v>
      </c>
      <c r="K1351">
        <v>7.6628352490421436</v>
      </c>
      <c r="L1351">
        <v>14.675541404908399</v>
      </c>
      <c r="M1351">
        <v>74.58121665811791</v>
      </c>
      <c r="N1351">
        <v>46.446031648667216</v>
      </c>
      <c r="O1351">
        <v>9.4014285714285712</v>
      </c>
      <c r="P1351">
        <v>-2.0514285714285716</v>
      </c>
      <c r="Q1351">
        <v>1350</v>
      </c>
      <c r="R1351">
        <v>28</v>
      </c>
      <c r="S1351" t="s">
        <v>24</v>
      </c>
      <c r="T1351" t="s">
        <v>186</v>
      </c>
      <c r="U1351">
        <v>1000</v>
      </c>
      <c r="V1351">
        <v>1000</v>
      </c>
    </row>
    <row r="1352" spans="1:22" x14ac:dyDescent="0.3">
      <c r="A1352" t="s">
        <v>1520</v>
      </c>
      <c r="B1352" t="s">
        <v>727</v>
      </c>
      <c r="C1352">
        <v>4.5599999999999996</v>
      </c>
      <c r="D1352">
        <v>8.57</v>
      </c>
      <c r="E1352">
        <v>11.08</v>
      </c>
      <c r="F1352">
        <v>2.4900000000000002</v>
      </c>
      <c r="G1352">
        <v>62.083780880773354</v>
      </c>
      <c r="H1352">
        <v>34.385724090597122</v>
      </c>
      <c r="I1352">
        <v>56.236711552090711</v>
      </c>
      <c r="J1352">
        <v>50.850829179379161</v>
      </c>
      <c r="K1352">
        <v>9.1954022988505635</v>
      </c>
      <c r="L1352">
        <v>14.599293491630561</v>
      </c>
      <c r="M1352">
        <v>74.713281917886235</v>
      </c>
      <c r="N1352">
        <v>46.402585643873778</v>
      </c>
      <c r="O1352">
        <v>8.7869230769230775</v>
      </c>
      <c r="P1352">
        <v>2.2930769230769226</v>
      </c>
      <c r="Q1352">
        <v>1351</v>
      </c>
      <c r="R1352">
        <v>3</v>
      </c>
      <c r="S1352" t="s">
        <v>24</v>
      </c>
      <c r="T1352" t="s">
        <v>1521</v>
      </c>
      <c r="U1352">
        <v>1000</v>
      </c>
      <c r="V1352">
        <v>1000</v>
      </c>
    </row>
    <row r="1353" spans="1:22" x14ac:dyDescent="0.3">
      <c r="A1353" t="s">
        <v>1522</v>
      </c>
      <c r="B1353" t="s">
        <v>185</v>
      </c>
      <c r="C1353">
        <v>5.91</v>
      </c>
      <c r="D1353">
        <v>20.53</v>
      </c>
      <c r="E1353">
        <v>6.01</v>
      </c>
      <c r="F1353">
        <v>2.4300000000000002</v>
      </c>
      <c r="G1353">
        <v>64.983888292158966</v>
      </c>
      <c r="H1353">
        <v>54.907343857240917</v>
      </c>
      <c r="I1353">
        <v>38.27072997873848</v>
      </c>
      <c r="J1353">
        <v>48.604345804973306</v>
      </c>
      <c r="K1353">
        <v>11.494252873563205</v>
      </c>
      <c r="L1353">
        <v>13.490159970444653</v>
      </c>
      <c r="M1353">
        <v>76.634357528957992</v>
      </c>
      <c r="N1353">
        <v>46.334325503116951</v>
      </c>
      <c r="O1353">
        <v>9.4014285714285712</v>
      </c>
      <c r="P1353">
        <v>-3.3914285714285715</v>
      </c>
      <c r="Q1353">
        <v>1352</v>
      </c>
      <c r="R1353">
        <v>29</v>
      </c>
      <c r="S1353" t="s">
        <v>24</v>
      </c>
      <c r="T1353" t="s">
        <v>666</v>
      </c>
      <c r="U1353">
        <v>1000</v>
      </c>
      <c r="V1353">
        <v>1000</v>
      </c>
    </row>
    <row r="1354" spans="1:22" x14ac:dyDescent="0.3">
      <c r="A1354" t="s">
        <v>1523</v>
      </c>
      <c r="B1354" t="s">
        <v>185</v>
      </c>
      <c r="C1354">
        <v>5.86</v>
      </c>
      <c r="D1354">
        <v>20.52</v>
      </c>
      <c r="E1354">
        <v>6</v>
      </c>
      <c r="F1354">
        <v>2.4300000000000002</v>
      </c>
      <c r="G1354">
        <v>64.876476906552099</v>
      </c>
      <c r="H1354">
        <v>54.890185312285524</v>
      </c>
      <c r="I1354">
        <v>38.235294117647058</v>
      </c>
      <c r="J1354">
        <v>48.55999803381961</v>
      </c>
      <c r="K1354">
        <v>11.494252873563205</v>
      </c>
      <c r="L1354">
        <v>13.458974954175964</v>
      </c>
      <c r="M1354">
        <v>76.688371561570222</v>
      </c>
      <c r="N1354">
        <v>46.32565512569316</v>
      </c>
      <c r="O1354">
        <v>9.4014285714285712</v>
      </c>
      <c r="P1354">
        <v>-3.4014285714285712</v>
      </c>
      <c r="Q1354">
        <v>1353</v>
      </c>
      <c r="R1354">
        <v>30</v>
      </c>
      <c r="S1354" t="s">
        <v>24</v>
      </c>
      <c r="T1354" t="s">
        <v>666</v>
      </c>
      <c r="U1354">
        <v>1000</v>
      </c>
      <c r="V1354">
        <v>1000</v>
      </c>
    </row>
    <row r="1355" spans="1:22" x14ac:dyDescent="0.3">
      <c r="A1355" t="s">
        <v>1524</v>
      </c>
      <c r="B1355" t="s">
        <v>976</v>
      </c>
      <c r="C1355">
        <v>6.07</v>
      </c>
      <c r="D1355">
        <v>2.81</v>
      </c>
      <c r="E1355">
        <v>4.7</v>
      </c>
      <c r="F1355">
        <v>1.48</v>
      </c>
      <c r="G1355">
        <v>65.327604726100958</v>
      </c>
      <c r="H1355">
        <v>24.502402196293758</v>
      </c>
      <c r="I1355">
        <v>33.628632175761872</v>
      </c>
      <c r="J1355">
        <v>37.230557691989262</v>
      </c>
      <c r="K1355">
        <v>47.892720306513411</v>
      </c>
      <c r="L1355">
        <v>21.427436057482744</v>
      </c>
      <c r="M1355">
        <v>62.886592072506531</v>
      </c>
      <c r="N1355">
        <v>46.31010694074962</v>
      </c>
      <c r="O1355">
        <v>4.3111111111111109</v>
      </c>
      <c r="P1355">
        <v>0.38888888888888928</v>
      </c>
      <c r="Q1355">
        <v>1354</v>
      </c>
      <c r="R1355">
        <v>32</v>
      </c>
      <c r="S1355" t="s">
        <v>24</v>
      </c>
      <c r="T1355" t="s">
        <v>977</v>
      </c>
      <c r="U1355">
        <v>5000</v>
      </c>
      <c r="V1355">
        <v>1000</v>
      </c>
    </row>
    <row r="1356" spans="1:22" x14ac:dyDescent="0.3">
      <c r="A1356" t="s">
        <v>1525</v>
      </c>
      <c r="B1356" t="s">
        <v>383</v>
      </c>
      <c r="C1356">
        <v>1.67</v>
      </c>
      <c r="D1356">
        <v>7.38</v>
      </c>
      <c r="E1356">
        <v>7.68</v>
      </c>
      <c r="F1356">
        <v>2.2200000000000002</v>
      </c>
      <c r="G1356">
        <v>55.875402792696029</v>
      </c>
      <c r="H1356">
        <v>32.343857240905969</v>
      </c>
      <c r="I1356">
        <v>44.188518781006373</v>
      </c>
      <c r="J1356">
        <v>42.972497121314184</v>
      </c>
      <c r="K1356">
        <v>19.540229885057457</v>
      </c>
      <c r="L1356">
        <v>11.765860932929298</v>
      </c>
      <c r="M1356">
        <v>79.620931069376709</v>
      </c>
      <c r="N1356">
        <v>46.276538799265637</v>
      </c>
      <c r="O1356">
        <v>6.1480952380952392</v>
      </c>
      <c r="P1356">
        <v>1.5319047619047605</v>
      </c>
      <c r="Q1356">
        <v>1355</v>
      </c>
      <c r="R1356">
        <v>28</v>
      </c>
      <c r="S1356" t="s">
        <v>24</v>
      </c>
      <c r="T1356" t="s">
        <v>384</v>
      </c>
      <c r="U1356">
        <v>1000</v>
      </c>
      <c r="V1356">
        <v>1000</v>
      </c>
    </row>
    <row r="1357" spans="1:22" x14ac:dyDescent="0.3">
      <c r="A1357" t="s">
        <v>1526</v>
      </c>
      <c r="B1357" t="s">
        <v>410</v>
      </c>
      <c r="C1357">
        <v>4.95</v>
      </c>
      <c r="D1357">
        <v>4.0199999999999996</v>
      </c>
      <c r="E1357">
        <v>3.45</v>
      </c>
      <c r="F1357">
        <v>1.43</v>
      </c>
      <c r="G1357">
        <v>62.921589688506984</v>
      </c>
      <c r="H1357">
        <v>26.578586135895677</v>
      </c>
      <c r="I1357">
        <v>29.199149539333803</v>
      </c>
      <c r="J1357">
        <v>35.157468548137004</v>
      </c>
      <c r="K1357">
        <v>49.808429118773944</v>
      </c>
      <c r="L1357">
        <v>20.26854800502133</v>
      </c>
      <c r="M1357">
        <v>64.89384505965424</v>
      </c>
      <c r="N1357">
        <v>46.254302818675548</v>
      </c>
      <c r="O1357">
        <v>4.4264935064935065</v>
      </c>
      <c r="P1357">
        <v>-0.9764935064935063</v>
      </c>
      <c r="Q1357">
        <v>1356</v>
      </c>
      <c r="R1357">
        <v>75</v>
      </c>
      <c r="S1357" t="s">
        <v>24</v>
      </c>
      <c r="T1357" t="s">
        <v>499</v>
      </c>
      <c r="U1357">
        <v>1000</v>
      </c>
      <c r="V1357">
        <v>1000</v>
      </c>
    </row>
    <row r="1358" spans="1:22" x14ac:dyDescent="0.3">
      <c r="A1358" t="s">
        <v>1527</v>
      </c>
      <c r="B1358" t="s">
        <v>1019</v>
      </c>
      <c r="C1358">
        <v>9.85</v>
      </c>
      <c r="D1358">
        <v>10.42</v>
      </c>
      <c r="E1358">
        <v>10.41</v>
      </c>
      <c r="F1358">
        <v>2.46</v>
      </c>
      <c r="G1358">
        <v>73.447905477980655</v>
      </c>
      <c r="H1358">
        <v>37.560054907343869</v>
      </c>
      <c r="I1358">
        <v>53.862508858965263</v>
      </c>
      <c r="J1358">
        <v>52.888851997281918</v>
      </c>
      <c r="K1358">
        <v>10.344827586206895</v>
      </c>
      <c r="L1358">
        <v>17.968934229892575</v>
      </c>
      <c r="M1358">
        <v>68.876892955962518</v>
      </c>
      <c r="N1358">
        <v>46.249856134183311</v>
      </c>
      <c r="O1358">
        <v>8.7813636363636363</v>
      </c>
      <c r="P1358">
        <v>1.6286363636363639</v>
      </c>
      <c r="Q1358">
        <v>1357</v>
      </c>
      <c r="R1358">
        <v>14</v>
      </c>
      <c r="S1358" t="s">
        <v>24</v>
      </c>
      <c r="T1358" t="s">
        <v>1020</v>
      </c>
      <c r="U1358">
        <v>1000</v>
      </c>
      <c r="V1358">
        <v>1000</v>
      </c>
    </row>
    <row r="1359" spans="1:22" x14ac:dyDescent="0.3">
      <c r="A1359" t="s">
        <v>1528</v>
      </c>
      <c r="B1359" t="s">
        <v>86</v>
      </c>
      <c r="C1359">
        <v>12.51</v>
      </c>
      <c r="D1359">
        <v>14.35</v>
      </c>
      <c r="E1359">
        <v>9.11</v>
      </c>
      <c r="F1359">
        <v>2.4700000000000002</v>
      </c>
      <c r="G1359">
        <v>79.162191192266377</v>
      </c>
      <c r="H1359">
        <v>44.303363074811266</v>
      </c>
      <c r="I1359">
        <v>49.255846917080085</v>
      </c>
      <c r="J1359">
        <v>53.751370619436699</v>
      </c>
      <c r="K1359">
        <v>9.9616858237547845</v>
      </c>
      <c r="L1359">
        <v>18.859367353458516</v>
      </c>
      <c r="M1359">
        <v>67.334617545204054</v>
      </c>
      <c r="N1359">
        <v>46.199761151958057</v>
      </c>
      <c r="O1359">
        <v>8.6526315789473696</v>
      </c>
      <c r="P1359">
        <v>0.45736842105262987</v>
      </c>
      <c r="Q1359">
        <v>1358</v>
      </c>
      <c r="R1359">
        <v>9</v>
      </c>
      <c r="S1359" t="s">
        <v>24</v>
      </c>
      <c r="T1359" t="s">
        <v>1529</v>
      </c>
      <c r="U1359">
        <v>1000</v>
      </c>
      <c r="V1359">
        <v>1000</v>
      </c>
    </row>
    <row r="1360" spans="1:22" x14ac:dyDescent="0.3">
      <c r="A1360" t="s">
        <v>1530</v>
      </c>
      <c r="B1360" t="s">
        <v>976</v>
      </c>
      <c r="C1360">
        <v>3.47</v>
      </c>
      <c r="D1360">
        <v>2.46</v>
      </c>
      <c r="E1360">
        <v>3.91</v>
      </c>
      <c r="F1360">
        <v>1.46</v>
      </c>
      <c r="G1360">
        <v>59.742212674543495</v>
      </c>
      <c r="H1360">
        <v>23.901853122855186</v>
      </c>
      <c r="I1360">
        <v>30.829199149539331</v>
      </c>
      <c r="J1360">
        <v>34.533598046534919</v>
      </c>
      <c r="K1360">
        <v>48.659003831417614</v>
      </c>
      <c r="L1360">
        <v>19.010882176904126</v>
      </c>
      <c r="M1360">
        <v>67.072186172896437</v>
      </c>
      <c r="N1360">
        <v>46.199596524345971</v>
      </c>
      <c r="O1360">
        <v>4.3111111111111109</v>
      </c>
      <c r="P1360">
        <v>-0.40111111111111075</v>
      </c>
      <c r="Q1360">
        <v>1359</v>
      </c>
      <c r="R1360">
        <v>33</v>
      </c>
      <c r="S1360" t="s">
        <v>24</v>
      </c>
      <c r="T1360" t="s">
        <v>1119</v>
      </c>
      <c r="U1360">
        <v>5000</v>
      </c>
      <c r="V1360">
        <v>1000</v>
      </c>
    </row>
    <row r="1361" spans="1:22" x14ac:dyDescent="0.3">
      <c r="A1361" t="s">
        <v>1531</v>
      </c>
      <c r="B1361" t="s">
        <v>126</v>
      </c>
      <c r="C1361">
        <v>-1.99</v>
      </c>
      <c r="D1361">
        <v>12.94</v>
      </c>
      <c r="E1361">
        <v>6.5</v>
      </c>
      <c r="F1361">
        <v>2.5299999999999998</v>
      </c>
      <c r="G1361">
        <v>48.012889366272823</v>
      </c>
      <c r="H1361">
        <v>41.884008236101586</v>
      </c>
      <c r="I1361">
        <v>40.007087172218277</v>
      </c>
      <c r="J1361">
        <v>42.171323930194177</v>
      </c>
      <c r="K1361">
        <v>7.6628352490421436</v>
      </c>
      <c r="L1361">
        <v>4.1868620978434139</v>
      </c>
      <c r="M1361">
        <v>92.748142122250798</v>
      </c>
      <c r="N1361">
        <v>46.188406307920324</v>
      </c>
      <c r="O1361">
        <v>11.362272727272726</v>
      </c>
      <c r="P1361">
        <v>-4.8622727272727264</v>
      </c>
      <c r="Q1361">
        <v>1360</v>
      </c>
      <c r="R1361">
        <v>44</v>
      </c>
      <c r="S1361" t="s">
        <v>24</v>
      </c>
      <c r="T1361" t="s">
        <v>127</v>
      </c>
      <c r="U1361">
        <v>5000</v>
      </c>
      <c r="V1361">
        <v>1000</v>
      </c>
    </row>
    <row r="1362" spans="1:22" x14ac:dyDescent="0.3">
      <c r="A1362" t="s">
        <v>1532</v>
      </c>
      <c r="B1362" t="s">
        <v>185</v>
      </c>
      <c r="C1362">
        <v>5.42</v>
      </c>
      <c r="D1362">
        <v>16.690000000000001</v>
      </c>
      <c r="E1362">
        <v>7.45</v>
      </c>
      <c r="F1362">
        <v>2.59</v>
      </c>
      <c r="G1362">
        <v>63.931256713211596</v>
      </c>
      <c r="H1362">
        <v>48.318462594372001</v>
      </c>
      <c r="I1362">
        <v>43.373493975903607</v>
      </c>
      <c r="J1362">
        <v>48.968537108905721</v>
      </c>
      <c r="K1362">
        <v>5.3639846743295028</v>
      </c>
      <c r="L1362">
        <v>10.730281633445589</v>
      </c>
      <c r="M1362">
        <v>81.414607031349078</v>
      </c>
      <c r="N1362">
        <v>46.178916480872502</v>
      </c>
      <c r="O1362">
        <v>9.4014285714285712</v>
      </c>
      <c r="P1362">
        <v>-1.9514285714285711</v>
      </c>
      <c r="Q1362">
        <v>1361</v>
      </c>
      <c r="R1362">
        <v>31</v>
      </c>
      <c r="S1362" t="s">
        <v>24</v>
      </c>
      <c r="T1362" t="s">
        <v>291</v>
      </c>
      <c r="U1362">
        <v>1000</v>
      </c>
      <c r="V1362">
        <v>1000</v>
      </c>
    </row>
    <row r="1363" spans="1:22" x14ac:dyDescent="0.3">
      <c r="A1363" t="s">
        <v>1533</v>
      </c>
      <c r="B1363" t="s">
        <v>410</v>
      </c>
      <c r="C1363">
        <v>4.95</v>
      </c>
      <c r="D1363">
        <v>4.0199999999999996</v>
      </c>
      <c r="E1363">
        <v>3.39</v>
      </c>
      <c r="F1363">
        <v>1.43</v>
      </c>
      <c r="G1363">
        <v>62.921589688506984</v>
      </c>
      <c r="H1363">
        <v>26.578586135895677</v>
      </c>
      <c r="I1363">
        <v>28.986534372785254</v>
      </c>
      <c r="J1363">
        <v>35.051160964862731</v>
      </c>
      <c r="K1363">
        <v>49.808429118773944</v>
      </c>
      <c r="L1363">
        <v>20.32322194443978</v>
      </c>
      <c r="M1363">
        <v>64.79914701873156</v>
      </c>
      <c r="N1363">
        <v>46.177474516807742</v>
      </c>
      <c r="O1363">
        <v>4.4264935064935065</v>
      </c>
      <c r="P1363">
        <v>-1.0364935064935064</v>
      </c>
      <c r="Q1363">
        <v>1362</v>
      </c>
      <c r="R1363">
        <v>76</v>
      </c>
      <c r="S1363" t="s">
        <v>24</v>
      </c>
      <c r="T1363" t="s">
        <v>499</v>
      </c>
      <c r="U1363">
        <v>1000</v>
      </c>
      <c r="V1363">
        <v>1000</v>
      </c>
    </row>
    <row r="1364" spans="1:22" x14ac:dyDescent="0.3">
      <c r="A1364" t="s">
        <v>1534</v>
      </c>
      <c r="B1364" t="s">
        <v>410</v>
      </c>
      <c r="C1364">
        <v>4.95</v>
      </c>
      <c r="D1364">
        <v>4.0199999999999996</v>
      </c>
      <c r="E1364">
        <v>3.38</v>
      </c>
      <c r="F1364">
        <v>1.43</v>
      </c>
      <c r="G1364">
        <v>62.921589688506984</v>
      </c>
      <c r="H1364">
        <v>26.578586135895677</v>
      </c>
      <c r="I1364">
        <v>28.951098511693829</v>
      </c>
      <c r="J1364">
        <v>35.033443034317017</v>
      </c>
      <c r="K1364">
        <v>49.808429118773944</v>
      </c>
      <c r="L1364">
        <v>20.332392025994604</v>
      </c>
      <c r="M1364">
        <v>64.783263971569042</v>
      </c>
      <c r="N1364">
        <v>46.164644789744258</v>
      </c>
      <c r="O1364">
        <v>4.4264935064935065</v>
      </c>
      <c r="P1364">
        <v>-1.0464935064935066</v>
      </c>
      <c r="Q1364">
        <v>1363</v>
      </c>
      <c r="R1364">
        <v>77</v>
      </c>
      <c r="S1364" t="s">
        <v>24</v>
      </c>
      <c r="T1364" t="s">
        <v>499</v>
      </c>
      <c r="U1364">
        <v>1000</v>
      </c>
      <c r="V1364">
        <v>1000</v>
      </c>
    </row>
    <row r="1365" spans="1:22" x14ac:dyDescent="0.3">
      <c r="A1365" t="s">
        <v>1535</v>
      </c>
      <c r="B1365" t="s">
        <v>185</v>
      </c>
      <c r="C1365">
        <v>9.09</v>
      </c>
      <c r="D1365">
        <v>19.059999999999999</v>
      </c>
      <c r="E1365">
        <v>7.21</v>
      </c>
      <c r="F1365">
        <v>2.5299999999999998</v>
      </c>
      <c r="G1365">
        <v>71.815252416756167</v>
      </c>
      <c r="H1365">
        <v>52.385037748798901</v>
      </c>
      <c r="I1365">
        <v>42.523033309709426</v>
      </c>
      <c r="J1365">
        <v>51.340078462845611</v>
      </c>
      <c r="K1365">
        <v>7.6628352490421436</v>
      </c>
      <c r="L1365">
        <v>14.904286149822564</v>
      </c>
      <c r="M1365">
        <v>74.1850191379622</v>
      </c>
      <c r="N1365">
        <v>46.132002828173896</v>
      </c>
      <c r="O1365">
        <v>9.4014285714285712</v>
      </c>
      <c r="P1365">
        <v>-2.1914285714285713</v>
      </c>
      <c r="Q1365">
        <v>1364</v>
      </c>
      <c r="R1365">
        <v>32</v>
      </c>
      <c r="S1365" t="s">
        <v>24</v>
      </c>
      <c r="T1365" t="s">
        <v>186</v>
      </c>
      <c r="U1365">
        <v>1000</v>
      </c>
      <c r="V1365">
        <v>1000</v>
      </c>
    </row>
    <row r="1366" spans="1:22" x14ac:dyDescent="0.3">
      <c r="A1366" t="s">
        <v>1536</v>
      </c>
      <c r="B1366" t="s">
        <v>424</v>
      </c>
      <c r="C1366">
        <v>3.42</v>
      </c>
      <c r="D1366">
        <v>7.46</v>
      </c>
      <c r="E1366">
        <v>6.8</v>
      </c>
      <c r="F1366">
        <v>2.1</v>
      </c>
      <c r="G1366">
        <v>59.634801288936622</v>
      </c>
      <c r="H1366">
        <v>32.481125600549078</v>
      </c>
      <c r="I1366">
        <v>41.07016300496101</v>
      </c>
      <c r="J1366">
        <v>42.206379440432556</v>
      </c>
      <c r="K1366">
        <v>24.137931034482762</v>
      </c>
      <c r="L1366">
        <v>13.878877605552072</v>
      </c>
      <c r="M1366">
        <v>75.961078835153927</v>
      </c>
      <c r="N1366">
        <v>46.12794218762545</v>
      </c>
      <c r="O1366">
        <v>7.9378947368421047</v>
      </c>
      <c r="P1366">
        <v>-1.1378947368421048</v>
      </c>
      <c r="Q1366">
        <v>1365</v>
      </c>
      <c r="R1366">
        <v>16</v>
      </c>
      <c r="S1366" t="s">
        <v>24</v>
      </c>
      <c r="T1366" t="s">
        <v>425</v>
      </c>
      <c r="U1366">
        <v>5000</v>
      </c>
      <c r="V1366">
        <v>1000</v>
      </c>
    </row>
    <row r="1367" spans="1:22" x14ac:dyDescent="0.3">
      <c r="A1367" t="s">
        <v>1537</v>
      </c>
      <c r="B1367" t="s">
        <v>976</v>
      </c>
      <c r="C1367">
        <v>3.04</v>
      </c>
      <c r="D1367">
        <v>1.99</v>
      </c>
      <c r="E1367">
        <v>4.09</v>
      </c>
      <c r="F1367">
        <v>1.48</v>
      </c>
      <c r="G1367">
        <v>58.818474758324378</v>
      </c>
      <c r="H1367">
        <v>23.095401509951959</v>
      </c>
      <c r="I1367">
        <v>31.46704464918497</v>
      </c>
      <c r="J1367">
        <v>34.42583772924295</v>
      </c>
      <c r="K1367">
        <v>47.892720306513411</v>
      </c>
      <c r="L1367">
        <v>18.682982899662044</v>
      </c>
      <c r="M1367">
        <v>67.640124380844838</v>
      </c>
      <c r="N1367">
        <v>46.096130036461034</v>
      </c>
      <c r="O1367">
        <v>4.3111111111111109</v>
      </c>
      <c r="P1367">
        <v>-0.22111111111111104</v>
      </c>
      <c r="Q1367">
        <v>1366</v>
      </c>
      <c r="R1367">
        <v>34</v>
      </c>
      <c r="S1367" t="s">
        <v>24</v>
      </c>
      <c r="T1367" t="s">
        <v>977</v>
      </c>
      <c r="U1367">
        <v>10000</v>
      </c>
      <c r="V1367">
        <v>1000</v>
      </c>
    </row>
    <row r="1368" spans="1:22" x14ac:dyDescent="0.3">
      <c r="A1368" t="s">
        <v>1538</v>
      </c>
      <c r="B1368" t="s">
        <v>976</v>
      </c>
      <c r="C1368">
        <v>3.04</v>
      </c>
      <c r="D1368">
        <v>1.99</v>
      </c>
      <c r="E1368">
        <v>4.09</v>
      </c>
      <c r="F1368">
        <v>1.48</v>
      </c>
      <c r="G1368">
        <v>58.818474758324378</v>
      </c>
      <c r="H1368">
        <v>23.095401509951959</v>
      </c>
      <c r="I1368">
        <v>31.46704464918497</v>
      </c>
      <c r="J1368">
        <v>34.42583772924295</v>
      </c>
      <c r="K1368">
        <v>47.892720306513411</v>
      </c>
      <c r="L1368">
        <v>18.682982899662044</v>
      </c>
      <c r="M1368">
        <v>67.640124380844838</v>
      </c>
      <c r="N1368">
        <v>46.096130036461034</v>
      </c>
      <c r="O1368">
        <v>4.3111111111111109</v>
      </c>
      <c r="P1368">
        <v>-0.22111111111111104</v>
      </c>
      <c r="Q1368">
        <v>1366</v>
      </c>
      <c r="R1368">
        <v>34</v>
      </c>
      <c r="S1368" t="s">
        <v>24</v>
      </c>
      <c r="T1368" t="s">
        <v>977</v>
      </c>
      <c r="U1368">
        <v>10000</v>
      </c>
      <c r="V1368">
        <v>1000</v>
      </c>
    </row>
    <row r="1369" spans="1:22" x14ac:dyDescent="0.3">
      <c r="A1369" t="s">
        <v>1539</v>
      </c>
      <c r="B1369" t="s">
        <v>155</v>
      </c>
      <c r="C1369">
        <v>3.82</v>
      </c>
      <c r="D1369">
        <v>2.2799999999999998</v>
      </c>
      <c r="E1369">
        <v>3.81</v>
      </c>
      <c r="F1369">
        <v>1.44</v>
      </c>
      <c r="G1369">
        <v>60.494092373791617</v>
      </c>
      <c r="H1369">
        <v>23.592999313658204</v>
      </c>
      <c r="I1369">
        <v>30.474840538625088</v>
      </c>
      <c r="J1369">
        <v>34.414138538168331</v>
      </c>
      <c r="K1369">
        <v>49.425287356321832</v>
      </c>
      <c r="L1369">
        <v>19.622291271329779</v>
      </c>
      <c r="M1369">
        <v>66.013194557141532</v>
      </c>
      <c r="N1369">
        <v>46.066689747450006</v>
      </c>
      <c r="O1369">
        <v>5.2086538461538465</v>
      </c>
      <c r="P1369">
        <v>-1.3986538461538465</v>
      </c>
      <c r="Q1369">
        <v>1368</v>
      </c>
      <c r="R1369">
        <v>47</v>
      </c>
      <c r="S1369" t="s">
        <v>24</v>
      </c>
      <c r="T1369" t="s">
        <v>45</v>
      </c>
      <c r="U1369">
        <v>5000</v>
      </c>
      <c r="V1369">
        <v>1000</v>
      </c>
    </row>
    <row r="1370" spans="1:22" x14ac:dyDescent="0.3">
      <c r="A1370" t="s">
        <v>1540</v>
      </c>
      <c r="B1370" t="s">
        <v>155</v>
      </c>
      <c r="C1370">
        <v>3.82</v>
      </c>
      <c r="D1370">
        <v>2.2799999999999998</v>
      </c>
      <c r="E1370">
        <v>3.81</v>
      </c>
      <c r="F1370">
        <v>1.44</v>
      </c>
      <c r="G1370">
        <v>60.494092373791617</v>
      </c>
      <c r="H1370">
        <v>23.592999313658204</v>
      </c>
      <c r="I1370">
        <v>30.474840538625088</v>
      </c>
      <c r="J1370">
        <v>34.414138538168331</v>
      </c>
      <c r="K1370">
        <v>49.425287356321832</v>
      </c>
      <c r="L1370">
        <v>19.622291271329779</v>
      </c>
      <c r="M1370">
        <v>66.013194557141532</v>
      </c>
      <c r="N1370">
        <v>46.066689747450006</v>
      </c>
      <c r="O1370">
        <v>5.2086538461538465</v>
      </c>
      <c r="P1370">
        <v>-1.3986538461538465</v>
      </c>
      <c r="Q1370">
        <v>1368</v>
      </c>
      <c r="R1370">
        <v>47</v>
      </c>
      <c r="S1370" t="s">
        <v>24</v>
      </c>
      <c r="T1370" t="s">
        <v>45</v>
      </c>
      <c r="U1370">
        <v>5000</v>
      </c>
      <c r="V1370">
        <v>1000</v>
      </c>
    </row>
    <row r="1371" spans="1:22" x14ac:dyDescent="0.3">
      <c r="A1371" t="s">
        <v>1541</v>
      </c>
      <c r="B1371" t="s">
        <v>727</v>
      </c>
      <c r="C1371">
        <v>-0.91</v>
      </c>
      <c r="D1371">
        <v>10.89</v>
      </c>
      <c r="E1371">
        <v>7.79</v>
      </c>
      <c r="F1371">
        <v>2.5499999999999998</v>
      </c>
      <c r="G1371">
        <v>50.33297529538131</v>
      </c>
      <c r="H1371">
        <v>38.366506520247093</v>
      </c>
      <c r="I1371">
        <v>44.578313253012048</v>
      </c>
      <c r="J1371">
        <v>43.86570364165641</v>
      </c>
      <c r="K1371">
        <v>6.8965517241379448</v>
      </c>
      <c r="L1371">
        <v>5.9846895359933781</v>
      </c>
      <c r="M1371">
        <v>89.634213656133653</v>
      </c>
      <c r="N1371">
        <v>46.065543165896102</v>
      </c>
      <c r="O1371">
        <v>8.7869230769230775</v>
      </c>
      <c r="P1371">
        <v>-0.99692307692307747</v>
      </c>
      <c r="Q1371">
        <v>1370</v>
      </c>
      <c r="R1371">
        <v>4</v>
      </c>
      <c r="S1371" t="s">
        <v>24</v>
      </c>
      <c r="T1371" t="s">
        <v>45</v>
      </c>
      <c r="U1371">
        <v>1000</v>
      </c>
    </row>
    <row r="1372" spans="1:22" x14ac:dyDescent="0.3">
      <c r="A1372" t="s">
        <v>1542</v>
      </c>
      <c r="B1372" t="s">
        <v>202</v>
      </c>
      <c r="C1372">
        <v>-0.08</v>
      </c>
      <c r="D1372">
        <v>9.26</v>
      </c>
      <c r="E1372">
        <v>8.77</v>
      </c>
      <c r="F1372">
        <v>2.5</v>
      </c>
      <c r="G1372">
        <v>52.116004296455422</v>
      </c>
      <c r="H1372">
        <v>35.56966369251888</v>
      </c>
      <c r="I1372">
        <v>48.051027639971643</v>
      </c>
      <c r="J1372">
        <v>45.119613787032577</v>
      </c>
      <c r="K1372">
        <v>8.812260536398453</v>
      </c>
      <c r="L1372">
        <v>8.622546690585974</v>
      </c>
      <c r="M1372">
        <v>85.065311041270206</v>
      </c>
      <c r="N1372">
        <v>46.02919978793345</v>
      </c>
      <c r="O1372">
        <v>10.023387096774194</v>
      </c>
      <c r="P1372">
        <v>-1.253387096774194</v>
      </c>
      <c r="Q1372">
        <v>1371</v>
      </c>
      <c r="R1372">
        <v>59</v>
      </c>
      <c r="S1372" t="s">
        <v>24</v>
      </c>
      <c r="T1372" t="s">
        <v>78</v>
      </c>
      <c r="U1372">
        <v>1000</v>
      </c>
      <c r="V1372">
        <v>1000</v>
      </c>
    </row>
    <row r="1373" spans="1:22" x14ac:dyDescent="0.3">
      <c r="A1373" t="s">
        <v>1543</v>
      </c>
      <c r="B1373" t="s">
        <v>1331</v>
      </c>
      <c r="C1373">
        <v>4.2699999999999996</v>
      </c>
      <c r="D1373">
        <v>2.5099999999999998</v>
      </c>
      <c r="E1373">
        <v>4.28</v>
      </c>
      <c r="F1373">
        <v>1.5</v>
      </c>
      <c r="G1373">
        <v>61.460794844253485</v>
      </c>
      <c r="H1373">
        <v>23.987645847632123</v>
      </c>
      <c r="I1373">
        <v>32.140326009922035</v>
      </c>
      <c r="J1373">
        <v>35.558615728101351</v>
      </c>
      <c r="K1373">
        <v>47.126436781609193</v>
      </c>
      <c r="L1373">
        <v>19.707836775491884</v>
      </c>
      <c r="M1373">
        <v>65.86502539757366</v>
      </c>
      <c r="N1373">
        <v>46.027173408846394</v>
      </c>
      <c r="O1373">
        <v>4.7778125000000005</v>
      </c>
      <c r="P1373">
        <v>-0.49781250000000021</v>
      </c>
      <c r="Q1373">
        <v>1372</v>
      </c>
      <c r="R1373">
        <v>16</v>
      </c>
      <c r="S1373" t="s">
        <v>24</v>
      </c>
      <c r="T1373" t="s">
        <v>1422</v>
      </c>
      <c r="U1373">
        <v>1000</v>
      </c>
      <c r="V1373">
        <v>1000</v>
      </c>
    </row>
    <row r="1374" spans="1:22" x14ac:dyDescent="0.3">
      <c r="A1374" t="s">
        <v>1544</v>
      </c>
      <c r="B1374" t="s">
        <v>383</v>
      </c>
      <c r="C1374">
        <v>1.73</v>
      </c>
      <c r="D1374">
        <v>7.39</v>
      </c>
      <c r="E1374">
        <v>7.4</v>
      </c>
      <c r="F1374">
        <v>2.2200000000000002</v>
      </c>
      <c r="G1374">
        <v>56.004296455424274</v>
      </c>
      <c r="H1374">
        <v>32.361015785861362</v>
      </c>
      <c r="I1374">
        <v>43.19631467044649</v>
      </c>
      <c r="J1374">
        <v>42.507321362066506</v>
      </c>
      <c r="K1374">
        <v>19.540229885057457</v>
      </c>
      <c r="L1374">
        <v>11.835348327097247</v>
      </c>
      <c r="M1374">
        <v>79.500575372192259</v>
      </c>
      <c r="N1374">
        <v>46.013861995345678</v>
      </c>
      <c r="O1374">
        <v>6.1480952380952392</v>
      </c>
      <c r="P1374">
        <v>1.2519047619047612</v>
      </c>
      <c r="Q1374">
        <v>1373</v>
      </c>
      <c r="R1374">
        <v>29</v>
      </c>
      <c r="S1374" t="s">
        <v>24</v>
      </c>
      <c r="T1374" t="s">
        <v>384</v>
      </c>
      <c r="U1374">
        <v>1000</v>
      </c>
      <c r="V1374">
        <v>1000</v>
      </c>
    </row>
    <row r="1375" spans="1:22" x14ac:dyDescent="0.3">
      <c r="A1375" t="s">
        <v>1545</v>
      </c>
      <c r="B1375" t="s">
        <v>976</v>
      </c>
      <c r="C1375">
        <v>3.83</v>
      </c>
      <c r="D1375">
        <v>1.34</v>
      </c>
      <c r="E1375">
        <v>2.59</v>
      </c>
      <c r="F1375">
        <v>1.24</v>
      </c>
      <c r="G1375">
        <v>60.515574650912995</v>
      </c>
      <c r="H1375">
        <v>21.980096087851752</v>
      </c>
      <c r="I1375">
        <v>26.151665485471291</v>
      </c>
      <c r="J1375">
        <v>31.772976499273771</v>
      </c>
      <c r="K1375">
        <v>57.088122605363978</v>
      </c>
      <c r="L1375">
        <v>21.147353468988488</v>
      </c>
      <c r="M1375">
        <v>63.371709346093994</v>
      </c>
      <c r="N1375">
        <v>46.001446237501384</v>
      </c>
      <c r="O1375">
        <v>4.3111111111111109</v>
      </c>
      <c r="P1375">
        <v>-1.721111111111111</v>
      </c>
      <c r="Q1375">
        <v>1374</v>
      </c>
      <c r="R1375">
        <v>36</v>
      </c>
      <c r="S1375" t="s">
        <v>24</v>
      </c>
      <c r="T1375" t="s">
        <v>1119</v>
      </c>
      <c r="U1375">
        <v>1000</v>
      </c>
      <c r="V1375">
        <v>1000</v>
      </c>
    </row>
    <row r="1376" spans="1:22" x14ac:dyDescent="0.3">
      <c r="A1376" t="s">
        <v>1546</v>
      </c>
      <c r="B1376" t="s">
        <v>138</v>
      </c>
      <c r="C1376">
        <v>1.98</v>
      </c>
      <c r="D1376">
        <v>9.09</v>
      </c>
      <c r="E1376">
        <v>7.67</v>
      </c>
      <c r="F1376">
        <v>2.35</v>
      </c>
      <c r="G1376">
        <v>56.541353383458649</v>
      </c>
      <c r="H1376">
        <v>35.277968428277283</v>
      </c>
      <c r="I1376">
        <v>44.153082919914951</v>
      </c>
      <c r="J1376">
        <v>43.968202665132388</v>
      </c>
      <c r="K1376">
        <v>14.559386973180066</v>
      </c>
      <c r="L1376">
        <v>10.67995351167956</v>
      </c>
      <c r="M1376">
        <v>81.501777895297352</v>
      </c>
      <c r="N1376">
        <v>45.999392549685552</v>
      </c>
      <c r="O1376">
        <v>9.219019607843137</v>
      </c>
      <c r="P1376">
        <v>-1.5490196078431371</v>
      </c>
      <c r="Q1376">
        <v>1375</v>
      </c>
      <c r="R1376">
        <v>41</v>
      </c>
      <c r="S1376" t="s">
        <v>24</v>
      </c>
      <c r="T1376" t="s">
        <v>134</v>
      </c>
      <c r="U1376">
        <v>5000</v>
      </c>
      <c r="V1376">
        <v>1000</v>
      </c>
    </row>
    <row r="1377" spans="1:22" x14ac:dyDescent="0.3">
      <c r="A1377" t="s">
        <v>1547</v>
      </c>
      <c r="B1377" t="s">
        <v>138</v>
      </c>
      <c r="C1377">
        <v>1.98</v>
      </c>
      <c r="D1377">
        <v>9.09</v>
      </c>
      <c r="E1377">
        <v>7.67</v>
      </c>
      <c r="F1377">
        <v>2.35</v>
      </c>
      <c r="G1377">
        <v>56.541353383458649</v>
      </c>
      <c r="H1377">
        <v>35.277968428277283</v>
      </c>
      <c r="I1377">
        <v>44.153082919914951</v>
      </c>
      <c r="J1377">
        <v>43.968202665132388</v>
      </c>
      <c r="K1377">
        <v>14.559386973180066</v>
      </c>
      <c r="L1377">
        <v>10.67995351167956</v>
      </c>
      <c r="M1377">
        <v>81.501777895297352</v>
      </c>
      <c r="N1377">
        <v>45.999392549685552</v>
      </c>
      <c r="O1377">
        <v>9.219019607843137</v>
      </c>
      <c r="P1377">
        <v>-1.5490196078431371</v>
      </c>
      <c r="Q1377">
        <v>1375</v>
      </c>
      <c r="R1377">
        <v>41</v>
      </c>
      <c r="S1377" t="s">
        <v>24</v>
      </c>
      <c r="T1377" t="s">
        <v>134</v>
      </c>
      <c r="U1377">
        <v>5000</v>
      </c>
      <c r="V1377">
        <v>1000</v>
      </c>
    </row>
    <row r="1378" spans="1:22" x14ac:dyDescent="0.3">
      <c r="A1378" t="s">
        <v>1548</v>
      </c>
      <c r="B1378" t="s">
        <v>976</v>
      </c>
      <c r="C1378">
        <v>3.47</v>
      </c>
      <c r="D1378">
        <v>2.46</v>
      </c>
      <c r="E1378">
        <v>3.74</v>
      </c>
      <c r="F1378">
        <v>1.46</v>
      </c>
      <c r="G1378">
        <v>59.742212674543495</v>
      </c>
      <c r="H1378">
        <v>23.901853122855186</v>
      </c>
      <c r="I1378">
        <v>30.226789510985121</v>
      </c>
      <c r="J1378">
        <v>34.232393227257816</v>
      </c>
      <c r="K1378">
        <v>48.659003831417614</v>
      </c>
      <c r="L1378">
        <v>19.129803961498158</v>
      </c>
      <c r="M1378">
        <v>66.8662075998528</v>
      </c>
      <c r="N1378">
        <v>45.99749947144651</v>
      </c>
      <c r="O1378">
        <v>4.3111111111111109</v>
      </c>
      <c r="P1378">
        <v>-0.57111111111111068</v>
      </c>
      <c r="Q1378">
        <v>1377</v>
      </c>
      <c r="R1378">
        <v>37</v>
      </c>
      <c r="S1378" t="s">
        <v>24</v>
      </c>
      <c r="T1378" t="s">
        <v>1119</v>
      </c>
      <c r="U1378">
        <v>5000</v>
      </c>
      <c r="V1378">
        <v>1000</v>
      </c>
    </row>
    <row r="1379" spans="1:22" x14ac:dyDescent="0.3">
      <c r="A1379" t="s">
        <v>1549</v>
      </c>
      <c r="B1379" t="s">
        <v>272</v>
      </c>
      <c r="C1379">
        <v>5.31</v>
      </c>
      <c r="D1379">
        <v>12.71</v>
      </c>
      <c r="E1379">
        <v>8.23</v>
      </c>
      <c r="F1379">
        <v>2.5299999999999998</v>
      </c>
      <c r="G1379">
        <v>63.694951664876477</v>
      </c>
      <c r="H1379">
        <v>41.489361702127667</v>
      </c>
      <c r="I1379">
        <v>46.137491141034722</v>
      </c>
      <c r="J1379">
        <v>48.254544414130962</v>
      </c>
      <c r="K1379">
        <v>7.6628352490421436</v>
      </c>
      <c r="L1379">
        <v>11.711516788478102</v>
      </c>
      <c r="M1379">
        <v>79.715057888660041</v>
      </c>
      <c r="N1379">
        <v>45.971745491491028</v>
      </c>
      <c r="O1379">
        <v>10.044583333333334</v>
      </c>
      <c r="P1379">
        <v>-1.8145833333333332</v>
      </c>
      <c r="Q1379">
        <v>1378</v>
      </c>
      <c r="R1379">
        <v>44</v>
      </c>
      <c r="S1379" t="s">
        <v>24</v>
      </c>
      <c r="T1379" t="s">
        <v>291</v>
      </c>
      <c r="U1379">
        <v>5000</v>
      </c>
      <c r="V1379">
        <v>1000</v>
      </c>
    </row>
    <row r="1380" spans="1:22" x14ac:dyDescent="0.3">
      <c r="A1380" t="s">
        <v>1550</v>
      </c>
      <c r="B1380" t="s">
        <v>383</v>
      </c>
      <c r="C1380">
        <v>1.64</v>
      </c>
      <c r="D1380">
        <v>7.35</v>
      </c>
      <c r="E1380">
        <v>7.34</v>
      </c>
      <c r="F1380">
        <v>2.2200000000000002</v>
      </c>
      <c r="G1380">
        <v>55.810955961331899</v>
      </c>
      <c r="H1380">
        <v>32.292381606039811</v>
      </c>
      <c r="I1380">
        <v>42.983699503897945</v>
      </c>
      <c r="J1380">
        <v>42.341755426027291</v>
      </c>
      <c r="K1380">
        <v>19.540229885057457</v>
      </c>
      <c r="L1380">
        <v>11.775441437749766</v>
      </c>
      <c r="M1380">
        <v>79.6043371482655</v>
      </c>
      <c r="N1380">
        <v>45.957019471344381</v>
      </c>
      <c r="O1380">
        <v>6.1480952380952392</v>
      </c>
      <c r="P1380">
        <v>1.1919047619047607</v>
      </c>
      <c r="Q1380">
        <v>1379</v>
      </c>
      <c r="R1380">
        <v>30</v>
      </c>
      <c r="S1380" t="s">
        <v>24</v>
      </c>
      <c r="T1380" t="s">
        <v>384</v>
      </c>
      <c r="U1380">
        <v>1000</v>
      </c>
      <c r="V1380">
        <v>1000</v>
      </c>
    </row>
    <row r="1381" spans="1:22" x14ac:dyDescent="0.3">
      <c r="A1381" t="s">
        <v>1551</v>
      </c>
      <c r="B1381" t="s">
        <v>86</v>
      </c>
      <c r="C1381">
        <v>12.49</v>
      </c>
      <c r="D1381">
        <v>14.33</v>
      </c>
      <c r="E1381">
        <v>8.8699999999999992</v>
      </c>
      <c r="F1381">
        <v>2.4700000000000002</v>
      </c>
      <c r="G1381">
        <v>79.119226638023619</v>
      </c>
      <c r="H1381">
        <v>44.269045984900487</v>
      </c>
      <c r="I1381">
        <v>48.40538625088589</v>
      </c>
      <c r="J1381">
        <v>53.307252248517813</v>
      </c>
      <c r="K1381">
        <v>9.9616858237547845</v>
      </c>
      <c r="L1381">
        <v>19.039364457521085</v>
      </c>
      <c r="M1381">
        <v>67.022853415752422</v>
      </c>
      <c r="N1381">
        <v>45.899760934135706</v>
      </c>
      <c r="O1381">
        <v>8.6526315789473696</v>
      </c>
      <c r="P1381">
        <v>0.21736842105262966</v>
      </c>
      <c r="Q1381">
        <v>1380</v>
      </c>
      <c r="R1381">
        <v>10</v>
      </c>
      <c r="S1381" t="s">
        <v>24</v>
      </c>
      <c r="T1381" t="s">
        <v>1529</v>
      </c>
      <c r="U1381">
        <v>1000</v>
      </c>
      <c r="V1381">
        <v>1000</v>
      </c>
    </row>
    <row r="1382" spans="1:22" x14ac:dyDescent="0.3">
      <c r="A1382" t="s">
        <v>1552</v>
      </c>
      <c r="B1382" t="s">
        <v>148</v>
      </c>
      <c r="C1382">
        <v>-2.88</v>
      </c>
      <c r="D1382">
        <v>5.22</v>
      </c>
      <c r="E1382">
        <v>3.89</v>
      </c>
      <c r="F1382">
        <v>1.85</v>
      </c>
      <c r="G1382">
        <v>46.100966702470458</v>
      </c>
      <c r="H1382">
        <v>28.637611530542213</v>
      </c>
      <c r="I1382">
        <v>30.75832742735648</v>
      </c>
      <c r="J1382">
        <v>33.190640513334998</v>
      </c>
      <c r="K1382">
        <v>33.716475095785434</v>
      </c>
      <c r="L1382">
        <v>9.5294525000318853</v>
      </c>
      <c r="M1382">
        <v>83.494504101630511</v>
      </c>
      <c r="N1382">
        <v>45.89806505602148</v>
      </c>
      <c r="O1382">
        <v>10.461</v>
      </c>
      <c r="P1382">
        <v>-6.5709999999999997</v>
      </c>
      <c r="Q1382">
        <v>1381</v>
      </c>
      <c r="R1382">
        <v>35</v>
      </c>
      <c r="S1382" t="s">
        <v>24</v>
      </c>
      <c r="T1382" t="s">
        <v>78</v>
      </c>
      <c r="U1382">
        <v>1000</v>
      </c>
      <c r="V1382">
        <v>1000</v>
      </c>
    </row>
    <row r="1383" spans="1:22" x14ac:dyDescent="0.3">
      <c r="A1383" t="s">
        <v>1553</v>
      </c>
      <c r="B1383" t="s">
        <v>202</v>
      </c>
      <c r="C1383">
        <v>-0.08</v>
      </c>
      <c r="D1383">
        <v>9.26</v>
      </c>
      <c r="E1383">
        <v>8.51</v>
      </c>
      <c r="F1383">
        <v>2.5</v>
      </c>
      <c r="G1383">
        <v>52.116004296455422</v>
      </c>
      <c r="H1383">
        <v>35.56966369251888</v>
      </c>
      <c r="I1383">
        <v>47.129695251594612</v>
      </c>
      <c r="J1383">
        <v>44.658947592844058</v>
      </c>
      <c r="K1383">
        <v>8.812260536398453</v>
      </c>
      <c r="L1383">
        <v>8.4880209208739839</v>
      </c>
      <c r="M1383">
        <v>85.29831650933869</v>
      </c>
      <c r="N1383">
        <v>45.857118057856312</v>
      </c>
      <c r="O1383">
        <v>10.023387096774194</v>
      </c>
      <c r="P1383">
        <v>-1.5133870967741938</v>
      </c>
      <c r="Q1383">
        <v>1382</v>
      </c>
      <c r="R1383">
        <v>60</v>
      </c>
      <c r="S1383" t="s">
        <v>24</v>
      </c>
      <c r="T1383" t="s">
        <v>78</v>
      </c>
      <c r="U1383">
        <v>1000</v>
      </c>
      <c r="V1383">
        <v>1000</v>
      </c>
    </row>
    <row r="1384" spans="1:22" x14ac:dyDescent="0.3">
      <c r="A1384" t="s">
        <v>1554</v>
      </c>
      <c r="B1384" t="s">
        <v>1331</v>
      </c>
      <c r="C1384">
        <v>4.2699999999999996</v>
      </c>
      <c r="D1384">
        <v>2.5099999999999998</v>
      </c>
      <c r="E1384">
        <v>4.0999999999999996</v>
      </c>
      <c r="F1384">
        <v>1.5</v>
      </c>
      <c r="G1384">
        <v>61.460794844253485</v>
      </c>
      <c r="H1384">
        <v>23.987645847632123</v>
      </c>
      <c r="I1384">
        <v>31.502480510276399</v>
      </c>
      <c r="J1384">
        <v>35.239692978278534</v>
      </c>
      <c r="K1384">
        <v>47.126436781609193</v>
      </c>
      <c r="L1384">
        <v>19.825111321516967</v>
      </c>
      <c r="M1384">
        <v>65.661899925423654</v>
      </c>
      <c r="N1384">
        <v>45.81693066589748</v>
      </c>
      <c r="O1384">
        <v>4.7778125000000005</v>
      </c>
      <c r="P1384">
        <v>-0.67781250000000082</v>
      </c>
      <c r="Q1384">
        <v>1383</v>
      </c>
      <c r="R1384">
        <v>17</v>
      </c>
      <c r="S1384" t="s">
        <v>24</v>
      </c>
      <c r="T1384" t="s">
        <v>1422</v>
      </c>
      <c r="U1384">
        <v>1000</v>
      </c>
      <c r="V1384">
        <v>1000</v>
      </c>
    </row>
    <row r="1385" spans="1:22" x14ac:dyDescent="0.3">
      <c r="A1385" t="s">
        <v>1555</v>
      </c>
      <c r="B1385" t="s">
        <v>1331</v>
      </c>
      <c r="C1385">
        <v>4.2699999999999996</v>
      </c>
      <c r="D1385">
        <v>2.5099999999999998</v>
      </c>
      <c r="E1385">
        <v>4.0999999999999996</v>
      </c>
      <c r="F1385">
        <v>1.5</v>
      </c>
      <c r="G1385">
        <v>61.460794844253485</v>
      </c>
      <c r="H1385">
        <v>23.987645847632123</v>
      </c>
      <c r="I1385">
        <v>31.502480510276399</v>
      </c>
      <c r="J1385">
        <v>35.239692978278534</v>
      </c>
      <c r="K1385">
        <v>47.126436781609193</v>
      </c>
      <c r="L1385">
        <v>19.825111321516967</v>
      </c>
      <c r="M1385">
        <v>65.661899925423654</v>
      </c>
      <c r="N1385">
        <v>45.81693066589748</v>
      </c>
      <c r="O1385">
        <v>4.7778125000000005</v>
      </c>
      <c r="P1385">
        <v>-0.67781250000000082</v>
      </c>
      <c r="Q1385">
        <v>1383</v>
      </c>
      <c r="R1385">
        <v>17</v>
      </c>
      <c r="S1385" t="s">
        <v>24</v>
      </c>
      <c r="T1385" t="s">
        <v>1422</v>
      </c>
      <c r="U1385">
        <v>1000</v>
      </c>
      <c r="V1385">
        <v>1000</v>
      </c>
    </row>
    <row r="1386" spans="1:22" x14ac:dyDescent="0.3">
      <c r="A1386" t="s">
        <v>1556</v>
      </c>
      <c r="B1386" t="s">
        <v>921</v>
      </c>
      <c r="C1386">
        <v>3.8</v>
      </c>
      <c r="D1386">
        <v>1.41</v>
      </c>
      <c r="E1386">
        <v>4.21</v>
      </c>
      <c r="F1386">
        <v>1.47</v>
      </c>
      <c r="G1386">
        <v>60.451127819548866</v>
      </c>
      <c r="H1386">
        <v>22.100205902539468</v>
      </c>
      <c r="I1386">
        <v>31.892274982282064</v>
      </c>
      <c r="J1386">
        <v>34.666424825812648</v>
      </c>
      <c r="K1386">
        <v>48.275862068965523</v>
      </c>
      <c r="L1386">
        <v>19.926054569029567</v>
      </c>
      <c r="M1386">
        <v>65.487061092050823</v>
      </c>
      <c r="N1386">
        <v>45.773943203160414</v>
      </c>
      <c r="O1386">
        <v>3.5597297297297299</v>
      </c>
      <c r="P1386">
        <v>0.65027027027027007</v>
      </c>
      <c r="Q1386">
        <v>1385</v>
      </c>
      <c r="R1386">
        <v>19</v>
      </c>
      <c r="S1386" t="s">
        <v>24</v>
      </c>
      <c r="T1386" t="s">
        <v>221</v>
      </c>
      <c r="U1386">
        <v>1000</v>
      </c>
      <c r="V1386">
        <v>1000</v>
      </c>
    </row>
    <row r="1387" spans="1:22" x14ac:dyDescent="0.3">
      <c r="A1387" t="s">
        <v>1557</v>
      </c>
      <c r="B1387" t="s">
        <v>148</v>
      </c>
      <c r="C1387">
        <v>-2.88</v>
      </c>
      <c r="D1387">
        <v>5.22</v>
      </c>
      <c r="E1387">
        <v>3.79</v>
      </c>
      <c r="F1387">
        <v>1.85</v>
      </c>
      <c r="G1387">
        <v>46.100966702470458</v>
      </c>
      <c r="H1387">
        <v>28.637611530542213</v>
      </c>
      <c r="I1387">
        <v>30.403968816442241</v>
      </c>
      <c r="J1387">
        <v>33.013461207877874</v>
      </c>
      <c r="K1387">
        <v>33.716475095785434</v>
      </c>
      <c r="L1387">
        <v>9.6132246979212574</v>
      </c>
      <c r="M1387">
        <v>83.34940639862441</v>
      </c>
      <c r="N1387">
        <v>45.7732009775414</v>
      </c>
      <c r="O1387">
        <v>10.461</v>
      </c>
      <c r="P1387">
        <v>-6.6710000000000003</v>
      </c>
      <c r="Q1387">
        <v>1386</v>
      </c>
      <c r="R1387">
        <v>36</v>
      </c>
      <c r="S1387" t="s">
        <v>24</v>
      </c>
      <c r="T1387" t="s">
        <v>78</v>
      </c>
      <c r="U1387">
        <v>1000</v>
      </c>
      <c r="V1387">
        <v>1000</v>
      </c>
    </row>
    <row r="1388" spans="1:22" x14ac:dyDescent="0.3">
      <c r="A1388" t="s">
        <v>1558</v>
      </c>
      <c r="B1388" t="s">
        <v>921</v>
      </c>
      <c r="C1388">
        <v>3.39</v>
      </c>
      <c r="D1388">
        <v>2.5499999999999998</v>
      </c>
      <c r="E1388">
        <v>4.6399999999999997</v>
      </c>
      <c r="F1388">
        <v>1.6</v>
      </c>
      <c r="G1388">
        <v>59.570354457572506</v>
      </c>
      <c r="H1388">
        <v>24.056280027453674</v>
      </c>
      <c r="I1388">
        <v>33.41601700921332</v>
      </c>
      <c r="J1388">
        <v>35.838963404357266</v>
      </c>
      <c r="K1388">
        <v>43.295019157088113</v>
      </c>
      <c r="L1388">
        <v>18.406989281060167</v>
      </c>
      <c r="M1388">
        <v>68.118159350828066</v>
      </c>
      <c r="N1388">
        <v>45.772776329157679</v>
      </c>
      <c r="O1388">
        <v>3.5597297297297299</v>
      </c>
      <c r="P1388">
        <v>1.0802702702702698</v>
      </c>
      <c r="Q1388">
        <v>1387</v>
      </c>
      <c r="R1388">
        <v>20</v>
      </c>
      <c r="S1388" t="s">
        <v>24</v>
      </c>
      <c r="T1388" t="s">
        <v>221</v>
      </c>
      <c r="U1388">
        <v>5000</v>
      </c>
      <c r="V1388">
        <v>1000</v>
      </c>
    </row>
    <row r="1389" spans="1:22" x14ac:dyDescent="0.3">
      <c r="A1389" t="s">
        <v>1559</v>
      </c>
      <c r="B1389" t="s">
        <v>727</v>
      </c>
      <c r="C1389">
        <v>-0.91</v>
      </c>
      <c r="D1389">
        <v>10.89</v>
      </c>
      <c r="E1389">
        <v>7.44</v>
      </c>
      <c r="F1389">
        <v>2.5499999999999998</v>
      </c>
      <c r="G1389">
        <v>50.33297529538131</v>
      </c>
      <c r="H1389">
        <v>38.366506520247093</v>
      </c>
      <c r="I1389">
        <v>43.338058114812192</v>
      </c>
      <c r="J1389">
        <v>43.245576072556489</v>
      </c>
      <c r="K1389">
        <v>6.8965517241379448</v>
      </c>
      <c r="L1389">
        <v>6.0116770617233755</v>
      </c>
      <c r="M1389">
        <v>89.587469890398737</v>
      </c>
      <c r="N1389">
        <v>45.743793439912416</v>
      </c>
      <c r="O1389">
        <v>8.7869230769230775</v>
      </c>
      <c r="P1389">
        <v>-1.3469230769230771</v>
      </c>
      <c r="Q1389">
        <v>1388</v>
      </c>
      <c r="R1389">
        <v>5</v>
      </c>
      <c r="S1389" t="s">
        <v>24</v>
      </c>
      <c r="T1389" t="s">
        <v>45</v>
      </c>
      <c r="U1389">
        <v>1000</v>
      </c>
    </row>
    <row r="1390" spans="1:22" x14ac:dyDescent="0.3">
      <c r="A1390" t="s">
        <v>1560</v>
      </c>
      <c r="B1390" t="s">
        <v>185</v>
      </c>
      <c r="C1390">
        <v>5.42</v>
      </c>
      <c r="D1390">
        <v>16.510000000000002</v>
      </c>
      <c r="E1390">
        <v>7.18</v>
      </c>
      <c r="F1390">
        <v>2.59</v>
      </c>
      <c r="G1390">
        <v>63.931256713211596</v>
      </c>
      <c r="H1390">
        <v>48.009608785175026</v>
      </c>
      <c r="I1390">
        <v>42.416725726435153</v>
      </c>
      <c r="J1390">
        <v>48.397496841412405</v>
      </c>
      <c r="K1390">
        <v>5.3639846743295028</v>
      </c>
      <c r="L1390">
        <v>11.162842060709378</v>
      </c>
      <c r="M1390">
        <v>80.665390393984495</v>
      </c>
      <c r="N1390">
        <v>45.706092187784705</v>
      </c>
      <c r="O1390">
        <v>9.4014285714285712</v>
      </c>
      <c r="P1390">
        <v>-2.2214285714285715</v>
      </c>
      <c r="Q1390">
        <v>1389</v>
      </c>
      <c r="R1390">
        <v>33</v>
      </c>
      <c r="S1390" t="s">
        <v>24</v>
      </c>
      <c r="T1390" t="s">
        <v>291</v>
      </c>
      <c r="U1390">
        <v>1000</v>
      </c>
      <c r="V1390">
        <v>1000</v>
      </c>
    </row>
    <row r="1391" spans="1:22" x14ac:dyDescent="0.3">
      <c r="A1391" t="s">
        <v>1561</v>
      </c>
      <c r="B1391" t="s">
        <v>727</v>
      </c>
      <c r="C1391">
        <v>4.5599999999999996</v>
      </c>
      <c r="D1391">
        <v>8.57</v>
      </c>
      <c r="E1391">
        <v>10.01</v>
      </c>
      <c r="F1391">
        <v>2.4900000000000002</v>
      </c>
      <c r="G1391">
        <v>62.083780880773354</v>
      </c>
      <c r="H1391">
        <v>34.385724090597122</v>
      </c>
      <c r="I1391">
        <v>52.445074415308291</v>
      </c>
      <c r="J1391">
        <v>48.955010610987955</v>
      </c>
      <c r="K1391">
        <v>9.1954022988505635</v>
      </c>
      <c r="L1391">
        <v>14.060744091440485</v>
      </c>
      <c r="M1391">
        <v>75.646076841401197</v>
      </c>
      <c r="N1391">
        <v>45.687875090556915</v>
      </c>
      <c r="O1391">
        <v>8.7869230769230775</v>
      </c>
      <c r="P1391">
        <v>1.2230769230769223</v>
      </c>
      <c r="Q1391">
        <v>1390</v>
      </c>
      <c r="R1391">
        <v>6</v>
      </c>
      <c r="S1391" t="s">
        <v>24</v>
      </c>
      <c r="T1391" t="s">
        <v>1521</v>
      </c>
      <c r="U1391">
        <v>1000</v>
      </c>
      <c r="V1391">
        <v>1000</v>
      </c>
    </row>
    <row r="1392" spans="1:22" x14ac:dyDescent="0.3">
      <c r="A1392" t="s">
        <v>1562</v>
      </c>
      <c r="B1392" t="s">
        <v>921</v>
      </c>
      <c r="C1392">
        <v>3.41</v>
      </c>
      <c r="D1392">
        <v>1.22</v>
      </c>
      <c r="E1392">
        <v>4.12</v>
      </c>
      <c r="F1392">
        <v>1.47</v>
      </c>
      <c r="G1392">
        <v>59.61331901181525</v>
      </c>
      <c r="H1392">
        <v>21.7741935483871</v>
      </c>
      <c r="I1392">
        <v>31.57335223245925</v>
      </c>
      <c r="J1392">
        <v>34.241597983108804</v>
      </c>
      <c r="K1392">
        <v>48.275862068965523</v>
      </c>
      <c r="L1392">
        <v>19.638663666943973</v>
      </c>
      <c r="M1392">
        <v>65.984836736096128</v>
      </c>
      <c r="N1392">
        <v>45.685973692819815</v>
      </c>
      <c r="O1392">
        <v>3.5597297297297299</v>
      </c>
      <c r="P1392">
        <v>0.56027027027027021</v>
      </c>
      <c r="Q1392">
        <v>1391</v>
      </c>
      <c r="R1392">
        <v>21</v>
      </c>
      <c r="S1392" t="s">
        <v>24</v>
      </c>
      <c r="T1392" t="s">
        <v>221</v>
      </c>
      <c r="U1392">
        <v>1000</v>
      </c>
      <c r="V1392">
        <v>1000</v>
      </c>
    </row>
    <row r="1393" spans="1:22" x14ac:dyDescent="0.3">
      <c r="A1393" t="s">
        <v>1563</v>
      </c>
      <c r="B1393" t="s">
        <v>727</v>
      </c>
      <c r="C1393">
        <v>-5.53</v>
      </c>
      <c r="D1393">
        <v>7.81</v>
      </c>
      <c r="E1393">
        <v>12.96</v>
      </c>
      <c r="F1393">
        <v>2.4500000000000002</v>
      </c>
      <c r="G1393">
        <v>40.408163265306115</v>
      </c>
      <c r="H1393">
        <v>33.081674673987649</v>
      </c>
      <c r="I1393">
        <v>62.898653437278519</v>
      </c>
      <c r="J1393">
        <v>49.455461773896772</v>
      </c>
      <c r="K1393">
        <v>10.727969348658984</v>
      </c>
      <c r="L1393">
        <v>15.537866680172268</v>
      </c>
      <c r="M1393">
        <v>73.087625468710073</v>
      </c>
      <c r="N1393">
        <v>45.681629591290651</v>
      </c>
      <c r="O1393">
        <v>8.7869230769230775</v>
      </c>
      <c r="P1393">
        <v>4.1730769230769234</v>
      </c>
      <c r="Q1393">
        <v>1392</v>
      </c>
      <c r="R1393">
        <v>7</v>
      </c>
      <c r="S1393" t="s">
        <v>24</v>
      </c>
      <c r="T1393" t="s">
        <v>1564</v>
      </c>
      <c r="U1393">
        <v>1000</v>
      </c>
      <c r="V1393">
        <v>1000</v>
      </c>
    </row>
    <row r="1394" spans="1:22" x14ac:dyDescent="0.3">
      <c r="A1394" t="s">
        <v>1565</v>
      </c>
      <c r="B1394" t="s">
        <v>727</v>
      </c>
      <c r="C1394">
        <v>-5.53</v>
      </c>
      <c r="D1394">
        <v>7.81</v>
      </c>
      <c r="E1394">
        <v>12.96</v>
      </c>
      <c r="F1394">
        <v>2.4500000000000002</v>
      </c>
      <c r="G1394">
        <v>40.408163265306115</v>
      </c>
      <c r="H1394">
        <v>33.081674673987649</v>
      </c>
      <c r="I1394">
        <v>62.898653437278519</v>
      </c>
      <c r="J1394">
        <v>49.455461773896772</v>
      </c>
      <c r="K1394">
        <v>10.727969348658984</v>
      </c>
      <c r="L1394">
        <v>15.537866680172268</v>
      </c>
      <c r="M1394">
        <v>73.087625468710073</v>
      </c>
      <c r="N1394">
        <v>45.681629591290651</v>
      </c>
      <c r="O1394">
        <v>8.7869230769230775</v>
      </c>
      <c r="P1394">
        <v>4.1730769230769234</v>
      </c>
      <c r="Q1394">
        <v>1392</v>
      </c>
      <c r="R1394">
        <v>7</v>
      </c>
      <c r="S1394" t="s">
        <v>24</v>
      </c>
      <c r="T1394" t="s">
        <v>1564</v>
      </c>
      <c r="U1394">
        <v>1000</v>
      </c>
      <c r="V1394">
        <v>1000</v>
      </c>
    </row>
    <row r="1395" spans="1:22" x14ac:dyDescent="0.3">
      <c r="A1395" t="s">
        <v>1566</v>
      </c>
      <c r="B1395" t="s">
        <v>424</v>
      </c>
      <c r="C1395">
        <v>3.43</v>
      </c>
      <c r="D1395">
        <v>7.44</v>
      </c>
      <c r="E1395">
        <v>6.4</v>
      </c>
      <c r="F1395">
        <v>2.1</v>
      </c>
      <c r="G1395">
        <v>59.656283566058001</v>
      </c>
      <c r="H1395">
        <v>32.446808510638306</v>
      </c>
      <c r="I1395">
        <v>39.652728561304038</v>
      </c>
      <c r="J1395">
        <v>41.491663547055111</v>
      </c>
      <c r="K1395">
        <v>24.137931034482762</v>
      </c>
      <c r="L1395">
        <v>14.097417194864162</v>
      </c>
      <c r="M1395">
        <v>75.582557163000146</v>
      </c>
      <c r="N1395">
        <v>45.675953822898279</v>
      </c>
      <c r="O1395">
        <v>7.9378947368421047</v>
      </c>
      <c r="P1395">
        <v>-1.5378947368421043</v>
      </c>
      <c r="Q1395">
        <v>1394</v>
      </c>
      <c r="R1395">
        <v>17</v>
      </c>
      <c r="S1395" t="s">
        <v>24</v>
      </c>
      <c r="T1395" t="s">
        <v>425</v>
      </c>
      <c r="U1395">
        <v>5000</v>
      </c>
      <c r="V1395">
        <v>1000</v>
      </c>
    </row>
    <row r="1396" spans="1:22" x14ac:dyDescent="0.3">
      <c r="A1396" t="s">
        <v>1567</v>
      </c>
      <c r="B1396" t="s">
        <v>202</v>
      </c>
      <c r="C1396">
        <v>1.43</v>
      </c>
      <c r="D1396">
        <v>9.93</v>
      </c>
      <c r="E1396">
        <v>5.96</v>
      </c>
      <c r="F1396">
        <v>2.25</v>
      </c>
      <c r="G1396">
        <v>55.359828141783026</v>
      </c>
      <c r="H1396">
        <v>36.719286204529858</v>
      </c>
      <c r="I1396">
        <v>38.093550673281356</v>
      </c>
      <c r="J1396">
        <v>41.134526826356243</v>
      </c>
      <c r="K1396">
        <v>18.390804597701148</v>
      </c>
      <c r="L1396">
        <v>10.388156270194239</v>
      </c>
      <c r="M1396">
        <v>82.00718554305837</v>
      </c>
      <c r="N1396">
        <v>45.666760948368001</v>
      </c>
      <c r="O1396">
        <v>10.023387096774194</v>
      </c>
      <c r="P1396">
        <v>-4.0633870967741936</v>
      </c>
      <c r="Q1396">
        <v>1395</v>
      </c>
      <c r="R1396">
        <v>61</v>
      </c>
      <c r="S1396" t="s">
        <v>24</v>
      </c>
      <c r="T1396" t="s">
        <v>107</v>
      </c>
      <c r="U1396">
        <v>1000</v>
      </c>
      <c r="V1396">
        <v>1000</v>
      </c>
    </row>
    <row r="1397" spans="1:22" x14ac:dyDescent="0.3">
      <c r="A1397" t="s">
        <v>1568</v>
      </c>
      <c r="B1397" t="s">
        <v>202</v>
      </c>
      <c r="C1397">
        <v>1.43</v>
      </c>
      <c r="D1397">
        <v>9.93</v>
      </c>
      <c r="E1397">
        <v>5.96</v>
      </c>
      <c r="F1397">
        <v>2.25</v>
      </c>
      <c r="G1397">
        <v>55.359828141783026</v>
      </c>
      <c r="H1397">
        <v>36.719286204529858</v>
      </c>
      <c r="I1397">
        <v>38.093550673281356</v>
      </c>
      <c r="J1397">
        <v>41.134526826356243</v>
      </c>
      <c r="K1397">
        <v>18.390804597701148</v>
      </c>
      <c r="L1397">
        <v>10.388156270194239</v>
      </c>
      <c r="M1397">
        <v>82.00718554305837</v>
      </c>
      <c r="N1397">
        <v>45.666760948368001</v>
      </c>
      <c r="O1397">
        <v>10.023387096774194</v>
      </c>
      <c r="P1397">
        <v>-4.0633870967741936</v>
      </c>
      <c r="Q1397">
        <v>1395</v>
      </c>
      <c r="R1397">
        <v>61</v>
      </c>
      <c r="S1397" t="s">
        <v>24</v>
      </c>
      <c r="T1397" t="s">
        <v>107</v>
      </c>
      <c r="U1397">
        <v>1000</v>
      </c>
      <c r="V1397">
        <v>1000</v>
      </c>
    </row>
    <row r="1398" spans="1:22" x14ac:dyDescent="0.3">
      <c r="A1398" t="s">
        <v>1569</v>
      </c>
      <c r="B1398" t="s">
        <v>272</v>
      </c>
      <c r="C1398">
        <v>3.29</v>
      </c>
      <c r="D1398">
        <v>9.36</v>
      </c>
      <c r="E1398">
        <v>8.16</v>
      </c>
      <c r="F1398">
        <v>2.42</v>
      </c>
      <c r="G1398">
        <v>59.355531686358752</v>
      </c>
      <c r="H1398">
        <v>35.741249142072753</v>
      </c>
      <c r="I1398">
        <v>45.889440113394755</v>
      </c>
      <c r="J1398">
        <v>45.538201136590956</v>
      </c>
      <c r="K1398">
        <v>11.877394636015314</v>
      </c>
      <c r="L1398">
        <v>11.845925757570573</v>
      </c>
      <c r="M1398">
        <v>79.482254725198928</v>
      </c>
      <c r="N1398">
        <v>45.609012908599041</v>
      </c>
      <c r="O1398">
        <v>10.044583333333334</v>
      </c>
      <c r="P1398">
        <v>-1.8845833333333335</v>
      </c>
      <c r="Q1398">
        <v>1397</v>
      </c>
      <c r="R1398">
        <v>45</v>
      </c>
      <c r="S1398" t="s">
        <v>24</v>
      </c>
      <c r="T1398" t="s">
        <v>273</v>
      </c>
      <c r="U1398">
        <v>1000</v>
      </c>
      <c r="V1398">
        <v>1000</v>
      </c>
    </row>
    <row r="1399" spans="1:22" x14ac:dyDescent="0.3">
      <c r="A1399" t="s">
        <v>1570</v>
      </c>
      <c r="B1399" t="s">
        <v>921</v>
      </c>
      <c r="C1399">
        <v>3.41</v>
      </c>
      <c r="D1399">
        <v>1.22</v>
      </c>
      <c r="E1399">
        <v>4.0199999999999996</v>
      </c>
      <c r="F1399">
        <v>1.47</v>
      </c>
      <c r="G1399">
        <v>59.61331901181525</v>
      </c>
      <c r="H1399">
        <v>21.7741935483871</v>
      </c>
      <c r="I1399">
        <v>31.218993621545</v>
      </c>
      <c r="J1399">
        <v>34.06441867765168</v>
      </c>
      <c r="K1399">
        <v>48.275862068965523</v>
      </c>
      <c r="L1399">
        <v>19.694505911664493</v>
      </c>
      <c r="M1399">
        <v>65.888115131031498</v>
      </c>
      <c r="N1399">
        <v>45.573203638825092</v>
      </c>
      <c r="O1399">
        <v>3.5597297297297299</v>
      </c>
      <c r="P1399">
        <v>0.46027027027026968</v>
      </c>
      <c r="Q1399">
        <v>1398</v>
      </c>
      <c r="R1399">
        <v>22</v>
      </c>
      <c r="S1399" t="s">
        <v>24</v>
      </c>
      <c r="T1399" t="s">
        <v>221</v>
      </c>
      <c r="U1399">
        <v>1000</v>
      </c>
      <c r="V1399">
        <v>1000</v>
      </c>
    </row>
    <row r="1400" spans="1:22" x14ac:dyDescent="0.3">
      <c r="A1400" t="s">
        <v>1571</v>
      </c>
      <c r="B1400" t="s">
        <v>272</v>
      </c>
      <c r="C1400">
        <v>3.29</v>
      </c>
      <c r="D1400">
        <v>9.33</v>
      </c>
      <c r="E1400">
        <v>8.11</v>
      </c>
      <c r="F1400">
        <v>2.42</v>
      </c>
      <c r="G1400">
        <v>59.355531686358752</v>
      </c>
      <c r="H1400">
        <v>35.689773507206588</v>
      </c>
      <c r="I1400">
        <v>45.712260807937625</v>
      </c>
      <c r="J1400">
        <v>45.434168793402542</v>
      </c>
      <c r="K1400">
        <v>11.877394636015314</v>
      </c>
      <c r="L1400">
        <v>11.878953392095033</v>
      </c>
      <c r="M1400">
        <v>79.425049184148747</v>
      </c>
      <c r="N1400">
        <v>45.542695351742282</v>
      </c>
      <c r="O1400">
        <v>10.044583333333334</v>
      </c>
      <c r="P1400">
        <v>-1.9345833333333342</v>
      </c>
      <c r="Q1400">
        <v>1399</v>
      </c>
      <c r="R1400">
        <v>46</v>
      </c>
      <c r="S1400" t="s">
        <v>24</v>
      </c>
      <c r="T1400" t="s">
        <v>273</v>
      </c>
      <c r="U1400">
        <v>1000</v>
      </c>
      <c r="V1400">
        <v>1000</v>
      </c>
    </row>
    <row r="1401" spans="1:22" x14ac:dyDescent="0.3">
      <c r="A1401" t="s">
        <v>1572</v>
      </c>
      <c r="B1401" t="s">
        <v>921</v>
      </c>
      <c r="C1401">
        <v>3.41</v>
      </c>
      <c r="D1401">
        <v>1.22</v>
      </c>
      <c r="E1401">
        <v>3.99</v>
      </c>
      <c r="F1401">
        <v>1.47</v>
      </c>
      <c r="G1401">
        <v>59.61331901181525</v>
      </c>
      <c r="H1401">
        <v>21.7741935483871</v>
      </c>
      <c r="I1401">
        <v>31.112686038270731</v>
      </c>
      <c r="J1401">
        <v>34.011264886014544</v>
      </c>
      <c r="K1401">
        <v>48.275862068965523</v>
      </c>
      <c r="L1401">
        <v>19.711641812701121</v>
      </c>
      <c r="M1401">
        <v>65.858434879802573</v>
      </c>
      <c r="N1401">
        <v>45.5392066801993</v>
      </c>
      <c r="O1401">
        <v>3.5597297297297299</v>
      </c>
      <c r="P1401">
        <v>0.43027027027027032</v>
      </c>
      <c r="Q1401">
        <v>1400</v>
      </c>
      <c r="R1401">
        <v>23</v>
      </c>
      <c r="S1401" t="s">
        <v>24</v>
      </c>
      <c r="T1401" t="s">
        <v>221</v>
      </c>
      <c r="U1401">
        <v>1000</v>
      </c>
      <c r="V1401">
        <v>1000</v>
      </c>
    </row>
    <row r="1402" spans="1:22" x14ac:dyDescent="0.3">
      <c r="A1402" t="s">
        <v>1573</v>
      </c>
      <c r="B1402" t="s">
        <v>921</v>
      </c>
      <c r="C1402">
        <v>3.41</v>
      </c>
      <c r="D1402">
        <v>1.22</v>
      </c>
      <c r="E1402">
        <v>3.94</v>
      </c>
      <c r="F1402">
        <v>1.47</v>
      </c>
      <c r="G1402">
        <v>59.61331901181525</v>
      </c>
      <c r="H1402">
        <v>21.7741935483871</v>
      </c>
      <c r="I1402">
        <v>30.935506732813607</v>
      </c>
      <c r="J1402">
        <v>33.922675233285986</v>
      </c>
      <c r="K1402">
        <v>48.275862068965523</v>
      </c>
      <c r="L1402">
        <v>19.740592663383829</v>
      </c>
      <c r="M1402">
        <v>65.808290535497775</v>
      </c>
      <c r="N1402">
        <v>45.482375767758818</v>
      </c>
      <c r="O1402">
        <v>3.5597297297297299</v>
      </c>
      <c r="P1402">
        <v>0.38027027027027005</v>
      </c>
      <c r="Q1402">
        <v>1401</v>
      </c>
      <c r="R1402">
        <v>24</v>
      </c>
      <c r="S1402" t="s">
        <v>24</v>
      </c>
      <c r="T1402" t="s">
        <v>221</v>
      </c>
      <c r="U1402">
        <v>1000</v>
      </c>
      <c r="V1402">
        <v>1000</v>
      </c>
    </row>
    <row r="1403" spans="1:22" x14ac:dyDescent="0.3">
      <c r="A1403" t="s">
        <v>1574</v>
      </c>
      <c r="B1403" t="s">
        <v>170</v>
      </c>
      <c r="C1403">
        <v>6.62</v>
      </c>
      <c r="D1403">
        <v>10.49</v>
      </c>
      <c r="E1403">
        <v>7.62</v>
      </c>
      <c r="F1403">
        <v>2.34</v>
      </c>
      <c r="G1403">
        <v>66.509129967776587</v>
      </c>
      <c r="H1403">
        <v>37.68016472203157</v>
      </c>
      <c r="I1403">
        <v>43.975903614457827</v>
      </c>
      <c r="J1403">
        <v>46.593827217393709</v>
      </c>
      <c r="K1403">
        <v>14.942528735632177</v>
      </c>
      <c r="L1403">
        <v>15.157461612639729</v>
      </c>
      <c r="M1403">
        <v>73.746506373133101</v>
      </c>
      <c r="N1403">
        <v>45.469172385888172</v>
      </c>
      <c r="O1403">
        <v>6.9120588235294118</v>
      </c>
      <c r="P1403">
        <v>0.7079411764705883</v>
      </c>
      <c r="Q1403">
        <v>1402</v>
      </c>
      <c r="R1403">
        <v>22</v>
      </c>
      <c r="S1403" t="s">
        <v>24</v>
      </c>
      <c r="T1403" t="s">
        <v>598</v>
      </c>
      <c r="U1403">
        <v>5000</v>
      </c>
    </row>
    <row r="1404" spans="1:22" x14ac:dyDescent="0.3">
      <c r="A1404" t="s">
        <v>1575</v>
      </c>
      <c r="B1404" t="s">
        <v>138</v>
      </c>
      <c r="C1404">
        <v>2</v>
      </c>
      <c r="D1404">
        <v>9.5500000000000007</v>
      </c>
      <c r="E1404">
        <v>7.13</v>
      </c>
      <c r="F1404">
        <v>2.38</v>
      </c>
      <c r="G1404">
        <v>56.584317937701393</v>
      </c>
      <c r="H1404">
        <v>36.067261496225122</v>
      </c>
      <c r="I1404">
        <v>42.239546420978023</v>
      </c>
      <c r="J1404">
        <v>43.256815246896821</v>
      </c>
      <c r="K1404">
        <v>13.409961685823756</v>
      </c>
      <c r="L1404">
        <v>10.526309705384669</v>
      </c>
      <c r="M1404">
        <v>81.767896774068376</v>
      </c>
      <c r="N1404">
        <v>45.422872238421448</v>
      </c>
      <c r="O1404">
        <v>9.219019607843137</v>
      </c>
      <c r="P1404">
        <v>-2.0890196078431371</v>
      </c>
      <c r="Q1404">
        <v>1403</v>
      </c>
      <c r="R1404">
        <v>43</v>
      </c>
      <c r="S1404" t="s">
        <v>24</v>
      </c>
      <c r="T1404" t="s">
        <v>134</v>
      </c>
      <c r="U1404">
        <v>5000</v>
      </c>
      <c r="V1404">
        <v>1000</v>
      </c>
    </row>
    <row r="1405" spans="1:22" x14ac:dyDescent="0.3">
      <c r="A1405" t="s">
        <v>1576</v>
      </c>
      <c r="B1405" t="s">
        <v>755</v>
      </c>
      <c r="C1405">
        <v>-0.83</v>
      </c>
      <c r="D1405">
        <v>10.15</v>
      </c>
      <c r="E1405">
        <v>8.35</v>
      </c>
      <c r="F1405">
        <v>2.61</v>
      </c>
      <c r="G1405">
        <v>50.504833512352306</v>
      </c>
      <c r="H1405">
        <v>37.096774193548391</v>
      </c>
      <c r="I1405">
        <v>46.56272147413182</v>
      </c>
      <c r="J1405">
        <v>44.511359697600888</v>
      </c>
      <c r="K1405">
        <v>4.5977011494252817</v>
      </c>
      <c r="L1405">
        <v>6.8910625684920337</v>
      </c>
      <c r="M1405">
        <v>88.064329513235705</v>
      </c>
      <c r="N1405">
        <v>45.421187514465686</v>
      </c>
      <c r="O1405">
        <v>11.035555555555554</v>
      </c>
      <c r="P1405">
        <v>-2.6855555555555544</v>
      </c>
      <c r="Q1405">
        <v>1404</v>
      </c>
      <c r="R1405">
        <v>15</v>
      </c>
      <c r="S1405" t="s">
        <v>24</v>
      </c>
      <c r="T1405" t="s">
        <v>756</v>
      </c>
      <c r="U1405">
        <v>5000</v>
      </c>
      <c r="V1405">
        <v>1000</v>
      </c>
    </row>
    <row r="1406" spans="1:22" x14ac:dyDescent="0.3">
      <c r="A1406" t="s">
        <v>1577</v>
      </c>
      <c r="B1406" t="s">
        <v>755</v>
      </c>
      <c r="C1406">
        <v>-0.83</v>
      </c>
      <c r="D1406">
        <v>10.15</v>
      </c>
      <c r="E1406">
        <v>8.35</v>
      </c>
      <c r="F1406">
        <v>2.61</v>
      </c>
      <c r="G1406">
        <v>50.504833512352306</v>
      </c>
      <c r="H1406">
        <v>37.096774193548391</v>
      </c>
      <c r="I1406">
        <v>46.56272147413182</v>
      </c>
      <c r="J1406">
        <v>44.511359697600888</v>
      </c>
      <c r="K1406">
        <v>4.5977011494252817</v>
      </c>
      <c r="L1406">
        <v>6.8910625684920337</v>
      </c>
      <c r="M1406">
        <v>88.064329513235705</v>
      </c>
      <c r="N1406">
        <v>45.421187514465686</v>
      </c>
      <c r="O1406">
        <v>11.035555555555554</v>
      </c>
      <c r="P1406">
        <v>-2.6855555555555544</v>
      </c>
      <c r="Q1406">
        <v>1404</v>
      </c>
      <c r="R1406">
        <v>15</v>
      </c>
      <c r="S1406" t="s">
        <v>24</v>
      </c>
      <c r="T1406" t="s">
        <v>756</v>
      </c>
      <c r="U1406">
        <v>5000</v>
      </c>
      <c r="V1406">
        <v>1000</v>
      </c>
    </row>
    <row r="1407" spans="1:22" x14ac:dyDescent="0.3">
      <c r="A1407" t="s">
        <v>1578</v>
      </c>
      <c r="B1407" t="s">
        <v>755</v>
      </c>
      <c r="C1407">
        <v>8.76</v>
      </c>
      <c r="D1407">
        <v>11.07</v>
      </c>
      <c r="E1407">
        <v>7.64</v>
      </c>
      <c r="F1407">
        <v>2.31</v>
      </c>
      <c r="G1407">
        <v>71.106337271750803</v>
      </c>
      <c r="H1407">
        <v>38.675360329444061</v>
      </c>
      <c r="I1407">
        <v>44.046775336640678</v>
      </c>
      <c r="J1407">
        <v>47.847263221503717</v>
      </c>
      <c r="K1407">
        <v>16.09195402298851</v>
      </c>
      <c r="L1407">
        <v>17.38217600844818</v>
      </c>
      <c r="M1407">
        <v>69.893188007262964</v>
      </c>
      <c r="N1407">
        <v>45.419917118314729</v>
      </c>
      <c r="O1407">
        <v>11.035555555555554</v>
      </c>
      <c r="P1407">
        <v>-3.3955555555555543</v>
      </c>
      <c r="Q1407">
        <v>1406</v>
      </c>
      <c r="R1407">
        <v>17</v>
      </c>
      <c r="S1407" t="s">
        <v>24</v>
      </c>
      <c r="T1407" t="s">
        <v>756</v>
      </c>
      <c r="U1407">
        <v>1000</v>
      </c>
      <c r="V1407">
        <v>1000</v>
      </c>
    </row>
    <row r="1408" spans="1:22" x14ac:dyDescent="0.3">
      <c r="A1408" t="s">
        <v>1579</v>
      </c>
      <c r="B1408" t="s">
        <v>520</v>
      </c>
      <c r="C1408">
        <v>3.96</v>
      </c>
      <c r="D1408">
        <v>3.46</v>
      </c>
      <c r="E1408">
        <v>4.0999999999999996</v>
      </c>
      <c r="F1408">
        <v>1.61</v>
      </c>
      <c r="G1408">
        <v>60.794844253490865</v>
      </c>
      <c r="H1408">
        <v>25.617707618393965</v>
      </c>
      <c r="I1408">
        <v>31.502480510276399</v>
      </c>
      <c r="J1408">
        <v>35.595521391354566</v>
      </c>
      <c r="K1408">
        <v>42.911877394636001</v>
      </c>
      <c r="L1408">
        <v>18.84190395323721</v>
      </c>
      <c r="M1408">
        <v>67.364865041660266</v>
      </c>
      <c r="N1408">
        <v>45.366946304751352</v>
      </c>
      <c r="O1408">
        <v>4.625</v>
      </c>
      <c r="P1408">
        <v>-0.52500000000000036</v>
      </c>
      <c r="Q1408">
        <v>1407</v>
      </c>
      <c r="R1408">
        <v>32</v>
      </c>
      <c r="S1408" t="s">
        <v>24</v>
      </c>
      <c r="T1408" t="s">
        <v>788</v>
      </c>
      <c r="U1408">
        <v>5000</v>
      </c>
      <c r="V1408">
        <v>1000</v>
      </c>
    </row>
    <row r="1409" spans="1:22" x14ac:dyDescent="0.3">
      <c r="A1409" t="s">
        <v>1580</v>
      </c>
      <c r="B1409" t="s">
        <v>965</v>
      </c>
      <c r="C1409">
        <v>4.79</v>
      </c>
      <c r="D1409">
        <v>2.44</v>
      </c>
      <c r="E1409">
        <v>5.5</v>
      </c>
      <c r="F1409">
        <v>1.69</v>
      </c>
      <c r="G1409">
        <v>62.577873254564985</v>
      </c>
      <c r="H1409">
        <v>23.867536032944408</v>
      </c>
      <c r="I1409">
        <v>36.463501063075832</v>
      </c>
      <c r="J1409">
        <v>37.907585992334234</v>
      </c>
      <c r="K1409">
        <v>39.846743295019159</v>
      </c>
      <c r="L1409">
        <v>19.744657411594911</v>
      </c>
      <c r="M1409">
        <v>65.801250185076213</v>
      </c>
      <c r="N1409">
        <v>45.365791366190962</v>
      </c>
      <c r="O1409">
        <v>4.3271875</v>
      </c>
      <c r="P1409">
        <v>1.1728125</v>
      </c>
      <c r="Q1409">
        <v>1408</v>
      </c>
      <c r="R1409">
        <v>15</v>
      </c>
      <c r="S1409" t="s">
        <v>24</v>
      </c>
      <c r="T1409" t="s">
        <v>966</v>
      </c>
      <c r="U1409">
        <v>1000</v>
      </c>
      <c r="V1409">
        <v>1000</v>
      </c>
    </row>
    <row r="1410" spans="1:22" x14ac:dyDescent="0.3">
      <c r="A1410" t="s">
        <v>1581</v>
      </c>
      <c r="B1410" t="s">
        <v>1331</v>
      </c>
      <c r="C1410">
        <v>5.03</v>
      </c>
      <c r="D1410">
        <v>3.28</v>
      </c>
      <c r="E1410">
        <v>4.38</v>
      </c>
      <c r="F1410">
        <v>1.6</v>
      </c>
      <c r="G1410">
        <v>63.093447905477973</v>
      </c>
      <c r="H1410">
        <v>25.308853809196986</v>
      </c>
      <c r="I1410">
        <v>32.494684620836281</v>
      </c>
      <c r="J1410">
        <v>36.458688034272832</v>
      </c>
      <c r="K1410">
        <v>43.295019157088113</v>
      </c>
      <c r="L1410">
        <v>20.064878228817943</v>
      </c>
      <c r="M1410">
        <v>65.246611460004701</v>
      </c>
      <c r="N1410">
        <v>45.364751671409621</v>
      </c>
      <c r="O1410">
        <v>4.7778125000000005</v>
      </c>
      <c r="P1410">
        <v>-0.39781250000000057</v>
      </c>
      <c r="Q1410">
        <v>1409</v>
      </c>
      <c r="R1410">
        <v>19</v>
      </c>
      <c r="S1410" t="s">
        <v>24</v>
      </c>
      <c r="T1410" t="s">
        <v>1422</v>
      </c>
      <c r="U1410">
        <v>1000</v>
      </c>
      <c r="V1410">
        <v>1000</v>
      </c>
    </row>
    <row r="1411" spans="1:22" x14ac:dyDescent="0.3">
      <c r="A1411" t="s">
        <v>1582</v>
      </c>
      <c r="B1411" t="s">
        <v>520</v>
      </c>
      <c r="C1411">
        <v>7.52</v>
      </c>
      <c r="D1411">
        <v>4.6399999999999997</v>
      </c>
      <c r="E1411">
        <v>4.6900000000000004</v>
      </c>
      <c r="F1411">
        <v>1.64</v>
      </c>
      <c r="G1411">
        <v>68.44253490870031</v>
      </c>
      <c r="H1411">
        <v>27.642415923129722</v>
      </c>
      <c r="I1411">
        <v>33.59319631467045</v>
      </c>
      <c r="J1411">
        <v>38.777829916014205</v>
      </c>
      <c r="K1411">
        <v>41.762452107279692</v>
      </c>
      <c r="L1411">
        <v>22.039880130294122</v>
      </c>
      <c r="M1411">
        <v>61.825807821602815</v>
      </c>
      <c r="N1411">
        <v>45.285979940227726</v>
      </c>
      <c r="O1411">
        <v>4.625</v>
      </c>
      <c r="P1411">
        <v>6.5000000000000391E-2</v>
      </c>
      <c r="Q1411">
        <v>1410</v>
      </c>
      <c r="R1411">
        <v>33</v>
      </c>
      <c r="S1411" t="s">
        <v>24</v>
      </c>
      <c r="T1411" t="s">
        <v>521</v>
      </c>
      <c r="U1411">
        <v>5000</v>
      </c>
      <c r="V1411">
        <v>1000</v>
      </c>
    </row>
    <row r="1412" spans="1:22" x14ac:dyDescent="0.3">
      <c r="A1412" t="s">
        <v>1583</v>
      </c>
      <c r="B1412" t="s">
        <v>520</v>
      </c>
      <c r="C1412">
        <v>7.52</v>
      </c>
      <c r="D1412">
        <v>4.6399999999999997</v>
      </c>
      <c r="E1412">
        <v>4.6900000000000004</v>
      </c>
      <c r="F1412">
        <v>1.64</v>
      </c>
      <c r="G1412">
        <v>68.44253490870031</v>
      </c>
      <c r="H1412">
        <v>27.642415923129722</v>
      </c>
      <c r="I1412">
        <v>33.59319631467045</v>
      </c>
      <c r="J1412">
        <v>38.777829916014205</v>
      </c>
      <c r="K1412">
        <v>41.762452107279692</v>
      </c>
      <c r="L1412">
        <v>22.039880130294122</v>
      </c>
      <c r="M1412">
        <v>61.825807821602815</v>
      </c>
      <c r="N1412">
        <v>45.285979940227726</v>
      </c>
      <c r="O1412">
        <v>4.625</v>
      </c>
      <c r="P1412">
        <v>6.5000000000000391E-2</v>
      </c>
      <c r="Q1412">
        <v>1410</v>
      </c>
      <c r="R1412">
        <v>33</v>
      </c>
      <c r="S1412" t="s">
        <v>24</v>
      </c>
      <c r="T1412" t="s">
        <v>521</v>
      </c>
      <c r="U1412">
        <v>5000</v>
      </c>
      <c r="V1412">
        <v>1000</v>
      </c>
    </row>
    <row r="1413" spans="1:22" x14ac:dyDescent="0.3">
      <c r="A1413" t="s">
        <v>1584</v>
      </c>
      <c r="B1413" t="s">
        <v>1331</v>
      </c>
      <c r="C1413">
        <v>5.03</v>
      </c>
      <c r="D1413">
        <v>3.28</v>
      </c>
      <c r="E1413">
        <v>4.2699999999999996</v>
      </c>
      <c r="F1413">
        <v>1.6</v>
      </c>
      <c r="G1413">
        <v>63.093447905477973</v>
      </c>
      <c r="H1413">
        <v>25.308853809196986</v>
      </c>
      <c r="I1413">
        <v>32.104890148830613</v>
      </c>
      <c r="J1413">
        <v>36.263790798269994</v>
      </c>
      <c r="K1413">
        <v>43.295019157088113</v>
      </c>
      <c r="L1413">
        <v>20.141798880220051</v>
      </c>
      <c r="M1413">
        <v>65.11338098362495</v>
      </c>
      <c r="N1413">
        <v>45.233995434313265</v>
      </c>
      <c r="O1413">
        <v>4.7778125000000005</v>
      </c>
      <c r="P1413">
        <v>-0.50781250000000089</v>
      </c>
      <c r="Q1413">
        <v>1412</v>
      </c>
      <c r="R1413">
        <v>20</v>
      </c>
      <c r="S1413" t="s">
        <v>24</v>
      </c>
      <c r="T1413" t="s">
        <v>1422</v>
      </c>
      <c r="U1413">
        <v>1000</v>
      </c>
      <c r="V1413">
        <v>1000</v>
      </c>
    </row>
    <row r="1414" spans="1:22" x14ac:dyDescent="0.3">
      <c r="A1414" t="s">
        <v>1585</v>
      </c>
      <c r="B1414" t="s">
        <v>520</v>
      </c>
      <c r="C1414">
        <v>3.96</v>
      </c>
      <c r="D1414">
        <v>3.46</v>
      </c>
      <c r="E1414">
        <v>3.98</v>
      </c>
      <c r="F1414">
        <v>1.61</v>
      </c>
      <c r="G1414">
        <v>60.794844253490865</v>
      </c>
      <c r="H1414">
        <v>25.617707618393965</v>
      </c>
      <c r="I1414">
        <v>31.077250177179305</v>
      </c>
      <c r="J1414">
        <v>35.382906224806014</v>
      </c>
      <c r="K1414">
        <v>42.911877394636001</v>
      </c>
      <c r="L1414">
        <v>18.931336211336188</v>
      </c>
      <c r="M1414">
        <v>67.209963826797235</v>
      </c>
      <c r="N1414">
        <v>45.221913417761314</v>
      </c>
      <c r="O1414">
        <v>4.625</v>
      </c>
      <c r="P1414">
        <v>-0.64500000000000002</v>
      </c>
      <c r="Q1414">
        <v>1413</v>
      </c>
      <c r="R1414">
        <v>35</v>
      </c>
      <c r="S1414" t="s">
        <v>24</v>
      </c>
      <c r="T1414" t="s">
        <v>788</v>
      </c>
      <c r="U1414">
        <v>5000</v>
      </c>
      <c r="V1414">
        <v>1000</v>
      </c>
    </row>
    <row r="1415" spans="1:22" x14ac:dyDescent="0.3">
      <c r="A1415" t="s">
        <v>1586</v>
      </c>
      <c r="B1415" t="s">
        <v>86</v>
      </c>
      <c r="C1415">
        <v>5.94</v>
      </c>
      <c r="D1415">
        <v>13</v>
      </c>
      <c r="E1415">
        <v>5.88</v>
      </c>
      <c r="F1415">
        <v>2.2799999999999998</v>
      </c>
      <c r="G1415">
        <v>65.048335123523088</v>
      </c>
      <c r="H1415">
        <v>41.986959505833909</v>
      </c>
      <c r="I1415">
        <v>37.810063784549961</v>
      </c>
      <c r="J1415">
        <v>44.510786768729773</v>
      </c>
      <c r="K1415">
        <v>17.24137931034484</v>
      </c>
      <c r="L1415">
        <v>14.669679210206302</v>
      </c>
      <c r="M1415">
        <v>74.591370277185803</v>
      </c>
      <c r="N1415">
        <v>45.213580781247543</v>
      </c>
      <c r="O1415">
        <v>8.6526315789473696</v>
      </c>
      <c r="P1415">
        <v>-2.7726315789473697</v>
      </c>
      <c r="Q1415">
        <v>1414</v>
      </c>
      <c r="R1415">
        <v>11</v>
      </c>
      <c r="S1415" t="s">
        <v>24</v>
      </c>
      <c r="T1415" t="s">
        <v>1587</v>
      </c>
      <c r="U1415">
        <v>1000</v>
      </c>
      <c r="V1415">
        <v>1000</v>
      </c>
    </row>
    <row r="1416" spans="1:22" x14ac:dyDescent="0.3">
      <c r="A1416" t="s">
        <v>1588</v>
      </c>
      <c r="B1416" t="s">
        <v>383</v>
      </c>
      <c r="C1416">
        <v>2.66</v>
      </c>
      <c r="D1416">
        <v>6.3</v>
      </c>
      <c r="E1416">
        <v>6.51</v>
      </c>
      <c r="F1416">
        <v>2.12</v>
      </c>
      <c r="G1416">
        <v>58.002148227712134</v>
      </c>
      <c r="H1416">
        <v>30.490734385724096</v>
      </c>
      <c r="I1416">
        <v>40.042523033309706</v>
      </c>
      <c r="J1416">
        <v>40.768911477914507</v>
      </c>
      <c r="K1416">
        <v>23.371647509578541</v>
      </c>
      <c r="L1416">
        <v>13.968194198945277</v>
      </c>
      <c r="M1416">
        <v>75.806377957437931</v>
      </c>
      <c r="N1416">
        <v>45.178962105711371</v>
      </c>
      <c r="O1416">
        <v>6.1480952380952392</v>
      </c>
      <c r="P1416">
        <v>0.36190476190476062</v>
      </c>
      <c r="Q1416">
        <v>1415</v>
      </c>
      <c r="R1416">
        <v>31</v>
      </c>
      <c r="S1416" t="s">
        <v>24</v>
      </c>
      <c r="T1416" t="s">
        <v>384</v>
      </c>
      <c r="U1416">
        <v>5000</v>
      </c>
      <c r="V1416">
        <v>1000</v>
      </c>
    </row>
    <row r="1417" spans="1:22" x14ac:dyDescent="0.3">
      <c r="A1417" t="s">
        <v>1589</v>
      </c>
      <c r="B1417" t="s">
        <v>383</v>
      </c>
      <c r="C1417">
        <v>2.66</v>
      </c>
      <c r="D1417">
        <v>6.3</v>
      </c>
      <c r="E1417">
        <v>6.51</v>
      </c>
      <c r="F1417">
        <v>2.12</v>
      </c>
      <c r="G1417">
        <v>58.002148227712134</v>
      </c>
      <c r="H1417">
        <v>30.490734385724096</v>
      </c>
      <c r="I1417">
        <v>40.042523033309706</v>
      </c>
      <c r="J1417">
        <v>40.768911477914507</v>
      </c>
      <c r="K1417">
        <v>23.371647509578541</v>
      </c>
      <c r="L1417">
        <v>13.968194198945277</v>
      </c>
      <c r="M1417">
        <v>75.806377957437931</v>
      </c>
      <c r="N1417">
        <v>45.178962105711371</v>
      </c>
      <c r="O1417">
        <v>6.1480952380952392</v>
      </c>
      <c r="P1417">
        <v>0.36190476190476062</v>
      </c>
      <c r="Q1417">
        <v>1415</v>
      </c>
      <c r="R1417">
        <v>31</v>
      </c>
      <c r="S1417" t="s">
        <v>24</v>
      </c>
      <c r="T1417" t="s">
        <v>384</v>
      </c>
      <c r="U1417">
        <v>5000</v>
      </c>
      <c r="V1417">
        <v>1000</v>
      </c>
    </row>
    <row r="1418" spans="1:22" x14ac:dyDescent="0.3">
      <c r="A1418" t="s">
        <v>1590</v>
      </c>
      <c r="B1418" t="s">
        <v>383</v>
      </c>
      <c r="C1418">
        <v>2.66</v>
      </c>
      <c r="D1418">
        <v>6.3</v>
      </c>
      <c r="E1418">
        <v>6.47</v>
      </c>
      <c r="F1418">
        <v>2.12</v>
      </c>
      <c r="G1418">
        <v>58.002148227712134</v>
      </c>
      <c r="H1418">
        <v>30.490734385724096</v>
      </c>
      <c r="I1418">
        <v>39.900779588944005</v>
      </c>
      <c r="J1418">
        <v>40.698039755731656</v>
      </c>
      <c r="K1418">
        <v>23.371647509578541</v>
      </c>
      <c r="L1418">
        <v>13.982646321472624</v>
      </c>
      <c r="M1418">
        <v>75.781346146943349</v>
      </c>
      <c r="N1418">
        <v>45.1372682919963</v>
      </c>
      <c r="O1418">
        <v>6.1480952380952392</v>
      </c>
      <c r="P1418">
        <v>0.32190476190476058</v>
      </c>
      <c r="Q1418">
        <v>1417</v>
      </c>
      <c r="R1418">
        <v>33</v>
      </c>
      <c r="S1418" t="s">
        <v>24</v>
      </c>
      <c r="T1418" t="s">
        <v>384</v>
      </c>
      <c r="U1418">
        <v>5000</v>
      </c>
      <c r="V1418">
        <v>1000</v>
      </c>
    </row>
    <row r="1419" spans="1:22" x14ac:dyDescent="0.3">
      <c r="A1419" t="s">
        <v>1591</v>
      </c>
      <c r="B1419" t="s">
        <v>155</v>
      </c>
      <c r="C1419">
        <v>4.68</v>
      </c>
      <c r="D1419">
        <v>2.64</v>
      </c>
      <c r="E1419">
        <v>3.48</v>
      </c>
      <c r="F1419">
        <v>1.49</v>
      </c>
      <c r="G1419">
        <v>62.341568206229859</v>
      </c>
      <c r="H1419">
        <v>24.210706932052169</v>
      </c>
      <c r="I1419">
        <v>29.305457122608075</v>
      </c>
      <c r="J1419">
        <v>34.384254282165656</v>
      </c>
      <c r="K1419">
        <v>47.509578544061306</v>
      </c>
      <c r="L1419">
        <v>20.701464105002135</v>
      </c>
      <c r="M1419">
        <v>64.144012379072933</v>
      </c>
      <c r="N1419">
        <v>45.105524871866386</v>
      </c>
      <c r="O1419">
        <v>5.2086538461538465</v>
      </c>
      <c r="P1419">
        <v>-1.7286538461538465</v>
      </c>
      <c r="Q1419">
        <v>1418</v>
      </c>
      <c r="R1419">
        <v>49</v>
      </c>
      <c r="S1419" t="s">
        <v>24</v>
      </c>
      <c r="T1419" t="s">
        <v>45</v>
      </c>
      <c r="U1419">
        <v>1000</v>
      </c>
      <c r="V1419">
        <v>1000</v>
      </c>
    </row>
    <row r="1420" spans="1:22" x14ac:dyDescent="0.3">
      <c r="A1420" t="s">
        <v>1592</v>
      </c>
      <c r="B1420" t="s">
        <v>155</v>
      </c>
      <c r="C1420">
        <v>4.68</v>
      </c>
      <c r="D1420">
        <v>2.64</v>
      </c>
      <c r="E1420">
        <v>3.44</v>
      </c>
      <c r="F1420">
        <v>1.49</v>
      </c>
      <c r="G1420">
        <v>62.341568206229859</v>
      </c>
      <c r="H1420">
        <v>24.210706932052169</v>
      </c>
      <c r="I1420">
        <v>29.163713678242374</v>
      </c>
      <c r="J1420">
        <v>34.313382559982813</v>
      </c>
      <c r="K1420">
        <v>47.509578544061306</v>
      </c>
      <c r="L1420">
        <v>20.733486957169429</v>
      </c>
      <c r="M1420">
        <v>64.088547172115909</v>
      </c>
      <c r="N1420">
        <v>45.056222709035708</v>
      </c>
      <c r="O1420">
        <v>5.2086538461538465</v>
      </c>
      <c r="P1420">
        <v>-1.7686538461538466</v>
      </c>
      <c r="Q1420">
        <v>1419</v>
      </c>
      <c r="R1420">
        <v>50</v>
      </c>
      <c r="S1420" t="s">
        <v>24</v>
      </c>
      <c r="T1420" t="s">
        <v>45</v>
      </c>
      <c r="U1420">
        <v>1000</v>
      </c>
      <c r="V1420">
        <v>1000</v>
      </c>
    </row>
    <row r="1421" spans="1:22" x14ac:dyDescent="0.3">
      <c r="A1421" t="s">
        <v>1593</v>
      </c>
      <c r="B1421" t="s">
        <v>155</v>
      </c>
      <c r="C1421">
        <v>4.68</v>
      </c>
      <c r="D1421">
        <v>2.64</v>
      </c>
      <c r="E1421">
        <v>3.41</v>
      </c>
      <c r="F1421">
        <v>1.49</v>
      </c>
      <c r="G1421">
        <v>62.341568206229859</v>
      </c>
      <c r="H1421">
        <v>24.210706932052169</v>
      </c>
      <c r="I1421">
        <v>29.057406094968108</v>
      </c>
      <c r="J1421">
        <v>34.260228768345677</v>
      </c>
      <c r="K1421">
        <v>47.509578544061306</v>
      </c>
      <c r="L1421">
        <v>20.757683403722847</v>
      </c>
      <c r="M1421">
        <v>64.046637697322751</v>
      </c>
      <c r="N1421">
        <v>45.019168444518854</v>
      </c>
      <c r="O1421">
        <v>5.2086538461538465</v>
      </c>
      <c r="P1421">
        <v>-1.7986538461538464</v>
      </c>
      <c r="Q1421">
        <v>1420</v>
      </c>
      <c r="R1421">
        <v>51</v>
      </c>
      <c r="S1421" t="s">
        <v>24</v>
      </c>
      <c r="T1421" t="s">
        <v>45</v>
      </c>
      <c r="U1421">
        <v>1000</v>
      </c>
      <c r="V1421">
        <v>1000</v>
      </c>
    </row>
    <row r="1422" spans="1:22" x14ac:dyDescent="0.3">
      <c r="A1422" t="s">
        <v>1594</v>
      </c>
      <c r="B1422" t="s">
        <v>1331</v>
      </c>
      <c r="C1422">
        <v>5.03</v>
      </c>
      <c r="D1422">
        <v>3.28</v>
      </c>
      <c r="E1422">
        <v>4.08</v>
      </c>
      <c r="F1422">
        <v>1.6</v>
      </c>
      <c r="G1422">
        <v>63.093447905477973</v>
      </c>
      <c r="H1422">
        <v>25.308853809196986</v>
      </c>
      <c r="I1422">
        <v>31.431608788093545</v>
      </c>
      <c r="J1422">
        <v>35.927150117901462</v>
      </c>
      <c r="K1422">
        <v>43.295019157088113</v>
      </c>
      <c r="L1422">
        <v>20.279857559688175</v>
      </c>
      <c r="M1422">
        <v>64.874256336360304</v>
      </c>
      <c r="N1422">
        <v>45.005893932312837</v>
      </c>
      <c r="O1422">
        <v>4.7778125000000005</v>
      </c>
      <c r="P1422">
        <v>-0.69781250000000039</v>
      </c>
      <c r="Q1422">
        <v>1421</v>
      </c>
      <c r="R1422">
        <v>21</v>
      </c>
      <c r="S1422" t="s">
        <v>24</v>
      </c>
      <c r="T1422" t="s">
        <v>1422</v>
      </c>
      <c r="U1422">
        <v>1000</v>
      </c>
      <c r="V1422">
        <v>1000</v>
      </c>
    </row>
    <row r="1423" spans="1:22" x14ac:dyDescent="0.3">
      <c r="A1423" t="s">
        <v>1595</v>
      </c>
      <c r="B1423" t="s">
        <v>138</v>
      </c>
      <c r="C1423">
        <v>2.02</v>
      </c>
      <c r="D1423">
        <v>9.57</v>
      </c>
      <c r="E1423">
        <v>6.71</v>
      </c>
      <c r="F1423">
        <v>2.38</v>
      </c>
      <c r="G1423">
        <v>56.627282491944143</v>
      </c>
      <c r="H1423">
        <v>36.101578586135901</v>
      </c>
      <c r="I1423">
        <v>40.7512402551382</v>
      </c>
      <c r="J1423">
        <v>42.531550201798701</v>
      </c>
      <c r="K1423">
        <v>13.409961685823756</v>
      </c>
      <c r="L1423">
        <v>10.762377305300992</v>
      </c>
      <c r="M1423">
        <v>81.359015696992458</v>
      </c>
      <c r="N1423">
        <v>44.958019446603402</v>
      </c>
      <c r="O1423">
        <v>9.219019607843137</v>
      </c>
      <c r="P1423">
        <v>-2.509019607843137</v>
      </c>
      <c r="Q1423">
        <v>1422</v>
      </c>
      <c r="R1423">
        <v>44</v>
      </c>
      <c r="S1423" t="s">
        <v>24</v>
      </c>
      <c r="T1423" t="s">
        <v>134</v>
      </c>
      <c r="U1423">
        <v>5000</v>
      </c>
      <c r="V1423">
        <v>1000</v>
      </c>
    </row>
    <row r="1424" spans="1:22" x14ac:dyDescent="0.3">
      <c r="A1424" t="s">
        <v>1596</v>
      </c>
      <c r="B1424" t="s">
        <v>155</v>
      </c>
      <c r="C1424">
        <v>3.91</v>
      </c>
      <c r="D1424">
        <v>2.23</v>
      </c>
      <c r="E1424">
        <v>3.32</v>
      </c>
      <c r="F1424">
        <v>1.49</v>
      </c>
      <c r="G1424">
        <v>60.687432867883992</v>
      </c>
      <c r="H1424">
        <v>23.507206588881267</v>
      </c>
      <c r="I1424">
        <v>28.738483345145283</v>
      </c>
      <c r="J1424">
        <v>33.558890222813822</v>
      </c>
      <c r="K1424">
        <v>47.509578544061306</v>
      </c>
      <c r="L1424">
        <v>20.126561464331072</v>
      </c>
      <c r="M1424">
        <v>65.139772962120716</v>
      </c>
      <c r="N1424">
        <v>44.941782987952422</v>
      </c>
      <c r="O1424">
        <v>5.2086538461538465</v>
      </c>
      <c r="P1424">
        <v>-1.8886538461538467</v>
      </c>
      <c r="Q1424">
        <v>1423</v>
      </c>
      <c r="R1424">
        <v>52</v>
      </c>
      <c r="S1424" t="s">
        <v>24</v>
      </c>
      <c r="T1424" t="s">
        <v>45</v>
      </c>
      <c r="U1424">
        <v>1000</v>
      </c>
      <c r="V1424">
        <v>1000</v>
      </c>
    </row>
    <row r="1425" spans="1:22" x14ac:dyDescent="0.3">
      <c r="A1425" t="s">
        <v>1597</v>
      </c>
      <c r="B1425" t="s">
        <v>86</v>
      </c>
      <c r="C1425">
        <v>5.86</v>
      </c>
      <c r="D1425">
        <v>13.23</v>
      </c>
      <c r="E1425">
        <v>7.08</v>
      </c>
      <c r="F1425">
        <v>2.5</v>
      </c>
      <c r="G1425">
        <v>64.876476906552099</v>
      </c>
      <c r="H1425">
        <v>42.381606039807828</v>
      </c>
      <c r="I1425">
        <v>42.062367115520907</v>
      </c>
      <c r="J1425">
        <v>46.720960751013223</v>
      </c>
      <c r="K1425">
        <v>8.812260536398453</v>
      </c>
      <c r="L1425">
        <v>13.080550028952054</v>
      </c>
      <c r="M1425">
        <v>77.343822758908487</v>
      </c>
      <c r="N1425">
        <v>44.899501199333343</v>
      </c>
      <c r="O1425">
        <v>8.6526315789473696</v>
      </c>
      <c r="P1425">
        <v>-1.5726315789473695</v>
      </c>
      <c r="Q1425">
        <v>1424</v>
      </c>
      <c r="R1425">
        <v>12</v>
      </c>
      <c r="S1425" t="s">
        <v>24</v>
      </c>
      <c r="T1425" t="s">
        <v>78</v>
      </c>
      <c r="U1425">
        <v>5000</v>
      </c>
      <c r="V1425">
        <v>1000</v>
      </c>
    </row>
    <row r="1426" spans="1:22" x14ac:dyDescent="0.3">
      <c r="A1426" t="s">
        <v>1598</v>
      </c>
      <c r="B1426" t="s">
        <v>921</v>
      </c>
      <c r="C1426">
        <v>3.39</v>
      </c>
      <c r="D1426">
        <v>2.5499999999999998</v>
      </c>
      <c r="E1426">
        <v>3.87</v>
      </c>
      <c r="F1426">
        <v>1.6</v>
      </c>
      <c r="G1426">
        <v>59.570354457572506</v>
      </c>
      <c r="H1426">
        <v>24.056280027453674</v>
      </c>
      <c r="I1426">
        <v>30.687455705173633</v>
      </c>
      <c r="J1426">
        <v>34.474682752337422</v>
      </c>
      <c r="K1426">
        <v>43.295019157088113</v>
      </c>
      <c r="L1426">
        <v>18.883166285690056</v>
      </c>
      <c r="M1426">
        <v>67.293396585413149</v>
      </c>
      <c r="N1426">
        <v>44.884445311794025</v>
      </c>
      <c r="O1426">
        <v>3.5597297297297299</v>
      </c>
      <c r="P1426">
        <v>0.31027027027027021</v>
      </c>
      <c r="Q1426">
        <v>1425</v>
      </c>
      <c r="R1426">
        <v>25</v>
      </c>
      <c r="S1426" t="s">
        <v>24</v>
      </c>
      <c r="T1426" t="s">
        <v>221</v>
      </c>
      <c r="U1426">
        <v>5000</v>
      </c>
      <c r="V1426">
        <v>1000</v>
      </c>
    </row>
    <row r="1427" spans="1:22" x14ac:dyDescent="0.3">
      <c r="A1427" t="s">
        <v>1599</v>
      </c>
      <c r="B1427" t="s">
        <v>520</v>
      </c>
      <c r="C1427">
        <v>4.2699999999999996</v>
      </c>
      <c r="D1427">
        <v>1.88</v>
      </c>
      <c r="E1427">
        <v>3.59</v>
      </c>
      <c r="F1427">
        <v>1.5</v>
      </c>
      <c r="G1427">
        <v>61.460794844253485</v>
      </c>
      <c r="H1427">
        <v>22.906657515442692</v>
      </c>
      <c r="I1427">
        <v>29.695251594613747</v>
      </c>
      <c r="J1427">
        <v>34.011782020790378</v>
      </c>
      <c r="K1427">
        <v>47.126436781609193</v>
      </c>
      <c r="L1427">
        <v>20.581368000715642</v>
      </c>
      <c r="M1427">
        <v>64.352024933488224</v>
      </c>
      <c r="N1427">
        <v>44.875506439169541</v>
      </c>
      <c r="O1427">
        <v>4.625</v>
      </c>
      <c r="P1427">
        <v>-1.0350000000000001</v>
      </c>
      <c r="Q1427">
        <v>1426</v>
      </c>
      <c r="R1427">
        <v>36</v>
      </c>
      <c r="S1427" t="s">
        <v>24</v>
      </c>
      <c r="T1427" t="s">
        <v>521</v>
      </c>
      <c r="U1427">
        <v>1000</v>
      </c>
      <c r="V1427">
        <v>1000</v>
      </c>
    </row>
    <row r="1428" spans="1:22" x14ac:dyDescent="0.3">
      <c r="A1428" t="s">
        <v>1600</v>
      </c>
      <c r="B1428" t="s">
        <v>520</v>
      </c>
      <c r="C1428">
        <v>4.28</v>
      </c>
      <c r="D1428">
        <v>1.88</v>
      </c>
      <c r="E1428">
        <v>3.59</v>
      </c>
      <c r="F1428">
        <v>1.5</v>
      </c>
      <c r="G1428">
        <v>61.482277121374864</v>
      </c>
      <c r="H1428">
        <v>22.906657515442692</v>
      </c>
      <c r="I1428">
        <v>29.695251594613747</v>
      </c>
      <c r="J1428">
        <v>34.016078476214659</v>
      </c>
      <c r="K1428">
        <v>47.126436781609193</v>
      </c>
      <c r="L1428">
        <v>20.593601066805103</v>
      </c>
      <c r="M1428">
        <v>64.330836641488929</v>
      </c>
      <c r="N1428">
        <v>44.872357593881858</v>
      </c>
      <c r="O1428">
        <v>4.625</v>
      </c>
      <c r="P1428">
        <v>-1.0350000000000001</v>
      </c>
      <c r="Q1428">
        <v>1427</v>
      </c>
      <c r="R1428">
        <v>37</v>
      </c>
      <c r="S1428" t="s">
        <v>24</v>
      </c>
      <c r="T1428" t="s">
        <v>521</v>
      </c>
      <c r="U1428">
        <v>1000</v>
      </c>
      <c r="V1428">
        <v>1000</v>
      </c>
    </row>
    <row r="1429" spans="1:22" x14ac:dyDescent="0.3">
      <c r="A1429" t="s">
        <v>1601</v>
      </c>
      <c r="B1429" t="s">
        <v>383</v>
      </c>
      <c r="C1429">
        <v>1.64</v>
      </c>
      <c r="D1429">
        <v>9.74</v>
      </c>
      <c r="E1429">
        <v>7.45</v>
      </c>
      <c r="F1429">
        <v>2.5</v>
      </c>
      <c r="G1429">
        <v>55.810955961331899</v>
      </c>
      <c r="H1429">
        <v>36.393273850377497</v>
      </c>
      <c r="I1429">
        <v>43.373493975903607</v>
      </c>
      <c r="J1429">
        <v>43.766920335331434</v>
      </c>
      <c r="K1429">
        <v>8.812260536398453</v>
      </c>
      <c r="L1429">
        <v>9.8358215400125761</v>
      </c>
      <c r="M1429">
        <v>82.963857358517856</v>
      </c>
      <c r="N1429">
        <v>44.827489641394791</v>
      </c>
      <c r="O1429">
        <v>6.1480952380952392</v>
      </c>
      <c r="P1429">
        <v>1.301904761904761</v>
      </c>
      <c r="Q1429">
        <v>1428</v>
      </c>
      <c r="R1429">
        <v>34</v>
      </c>
      <c r="S1429" t="s">
        <v>24</v>
      </c>
      <c r="T1429" t="s">
        <v>816</v>
      </c>
      <c r="U1429">
        <v>1000</v>
      </c>
      <c r="V1429">
        <v>1000</v>
      </c>
    </row>
    <row r="1430" spans="1:22" x14ac:dyDescent="0.3">
      <c r="A1430" t="s">
        <v>1602</v>
      </c>
      <c r="B1430" t="s">
        <v>755</v>
      </c>
      <c r="C1430">
        <v>8.76</v>
      </c>
      <c r="D1430">
        <v>10.98</v>
      </c>
      <c r="E1430">
        <v>7.18</v>
      </c>
      <c r="F1430">
        <v>2.31</v>
      </c>
      <c r="G1430">
        <v>71.106337271750803</v>
      </c>
      <c r="H1430">
        <v>38.52093342484558</v>
      </c>
      <c r="I1430">
        <v>42.416725726435153</v>
      </c>
      <c r="J1430">
        <v>46.985910345021409</v>
      </c>
      <c r="K1430">
        <v>16.09195402298851</v>
      </c>
      <c r="L1430">
        <v>17.795502953200188</v>
      </c>
      <c r="M1430">
        <v>69.177284738815274</v>
      </c>
      <c r="N1430">
        <v>44.810264862961652</v>
      </c>
      <c r="O1430">
        <v>11.035555555555554</v>
      </c>
      <c r="P1430">
        <v>-3.8555555555555543</v>
      </c>
      <c r="Q1430">
        <v>1429</v>
      </c>
      <c r="R1430">
        <v>18</v>
      </c>
      <c r="S1430" t="s">
        <v>24</v>
      </c>
      <c r="T1430" t="s">
        <v>756</v>
      </c>
      <c r="U1430">
        <v>1000</v>
      </c>
      <c r="V1430">
        <v>1000</v>
      </c>
    </row>
    <row r="1431" spans="1:22" x14ac:dyDescent="0.3">
      <c r="A1431" t="s">
        <v>1603</v>
      </c>
      <c r="B1431" t="s">
        <v>383</v>
      </c>
      <c r="C1431">
        <v>1.66</v>
      </c>
      <c r="D1431">
        <v>9.75</v>
      </c>
      <c r="E1431">
        <v>7.43</v>
      </c>
      <c r="F1431">
        <v>2.5</v>
      </c>
      <c r="G1431">
        <v>55.85392051557465</v>
      </c>
      <c r="H1431">
        <v>36.410432395332883</v>
      </c>
      <c r="I1431">
        <v>43.302622253720763</v>
      </c>
      <c r="J1431">
        <v>43.745224948575178</v>
      </c>
      <c r="K1431">
        <v>8.812260536398453</v>
      </c>
      <c r="L1431">
        <v>9.8580474688116606</v>
      </c>
      <c r="M1431">
        <v>82.925360920592439</v>
      </c>
      <c r="N1431">
        <v>44.807017838535316</v>
      </c>
      <c r="O1431">
        <v>6.1480952380952392</v>
      </c>
      <c r="P1431">
        <v>1.2819047619047605</v>
      </c>
      <c r="Q1431">
        <v>1430</v>
      </c>
      <c r="R1431">
        <v>35</v>
      </c>
      <c r="S1431" t="s">
        <v>24</v>
      </c>
      <c r="T1431" t="s">
        <v>816</v>
      </c>
      <c r="U1431">
        <v>1000</v>
      </c>
      <c r="V1431">
        <v>1000</v>
      </c>
    </row>
    <row r="1432" spans="1:22" x14ac:dyDescent="0.3">
      <c r="A1432" t="s">
        <v>1604</v>
      </c>
      <c r="B1432" t="s">
        <v>1331</v>
      </c>
      <c r="C1432">
        <v>5.41</v>
      </c>
      <c r="D1432">
        <v>3.59</v>
      </c>
      <c r="E1432">
        <v>4.29</v>
      </c>
      <c r="F1432">
        <v>1.66</v>
      </c>
      <c r="G1432">
        <v>63.909774436090231</v>
      </c>
      <c r="H1432">
        <v>25.840768702814003</v>
      </c>
      <c r="I1432">
        <v>32.175761871013464</v>
      </c>
      <c r="J1432">
        <v>36.622066433568982</v>
      </c>
      <c r="K1432">
        <v>40.996168582375468</v>
      </c>
      <c r="L1432">
        <v>20.397830315345644</v>
      </c>
      <c r="M1432">
        <v>64.669921529652655</v>
      </c>
      <c r="N1432">
        <v>44.727555744791516</v>
      </c>
      <c r="O1432">
        <v>4.7778125000000005</v>
      </c>
      <c r="P1432">
        <v>-0.48781250000000043</v>
      </c>
      <c r="Q1432">
        <v>1431</v>
      </c>
      <c r="R1432">
        <v>22</v>
      </c>
      <c r="S1432" t="s">
        <v>24</v>
      </c>
      <c r="T1432" t="s">
        <v>1422</v>
      </c>
      <c r="U1432">
        <v>5000</v>
      </c>
      <c r="V1432">
        <v>1000</v>
      </c>
    </row>
    <row r="1433" spans="1:22" x14ac:dyDescent="0.3">
      <c r="A1433" t="s">
        <v>1605</v>
      </c>
      <c r="B1433" t="s">
        <v>976</v>
      </c>
      <c r="C1433">
        <v>5.93</v>
      </c>
      <c r="D1433">
        <v>2.48</v>
      </c>
      <c r="E1433">
        <v>4.17</v>
      </c>
      <c r="F1433">
        <v>1.57</v>
      </c>
      <c r="G1433">
        <v>65.026852846401724</v>
      </c>
      <c r="H1433">
        <v>23.936170212765962</v>
      </c>
      <c r="I1433">
        <v>31.75053153791637</v>
      </c>
      <c r="J1433">
        <v>36.061487402068316</v>
      </c>
      <c r="K1433">
        <v>44.444444444444443</v>
      </c>
      <c r="L1433">
        <v>21.820563703548611</v>
      </c>
      <c r="M1433">
        <v>62.205675015660496</v>
      </c>
      <c r="N1433">
        <v>44.693273566060391</v>
      </c>
      <c r="O1433">
        <v>4.3111111111111109</v>
      </c>
      <c r="P1433">
        <v>-0.14111111111111097</v>
      </c>
      <c r="Q1433">
        <v>1432</v>
      </c>
      <c r="R1433">
        <v>38</v>
      </c>
      <c r="S1433" t="s">
        <v>24</v>
      </c>
      <c r="T1433" t="s">
        <v>1119</v>
      </c>
      <c r="U1433">
        <v>5000</v>
      </c>
      <c r="V1433">
        <v>1000</v>
      </c>
    </row>
    <row r="1434" spans="1:22" x14ac:dyDescent="0.3">
      <c r="A1434" t="s">
        <v>1606</v>
      </c>
      <c r="B1434" t="s">
        <v>445</v>
      </c>
      <c r="C1434">
        <v>1.31</v>
      </c>
      <c r="D1434">
        <v>7.36</v>
      </c>
      <c r="E1434">
        <v>6</v>
      </c>
      <c r="F1434">
        <v>2.2200000000000002</v>
      </c>
      <c r="G1434">
        <v>55.102040816326522</v>
      </c>
      <c r="H1434">
        <v>32.309540150995197</v>
      </c>
      <c r="I1434">
        <v>38.235294117647058</v>
      </c>
      <c r="J1434">
        <v>39.830917267387392</v>
      </c>
      <c r="K1434">
        <v>19.540229885057457</v>
      </c>
      <c r="L1434">
        <v>11.825817736699603</v>
      </c>
      <c r="M1434">
        <v>79.517082838987108</v>
      </c>
      <c r="N1434">
        <v>44.67978681470484</v>
      </c>
      <c r="O1434">
        <v>5.7759259259259252</v>
      </c>
      <c r="P1434">
        <v>0.22407407407407476</v>
      </c>
      <c r="Q1434">
        <v>1433</v>
      </c>
      <c r="R1434">
        <v>28</v>
      </c>
      <c r="S1434" t="s">
        <v>24</v>
      </c>
      <c r="T1434" t="s">
        <v>45</v>
      </c>
      <c r="U1434">
        <v>1000</v>
      </c>
      <c r="V1434">
        <v>1000</v>
      </c>
    </row>
    <row r="1435" spans="1:22" x14ac:dyDescent="0.3">
      <c r="A1435" t="s">
        <v>1607</v>
      </c>
      <c r="B1435" t="s">
        <v>585</v>
      </c>
      <c r="C1435">
        <v>4.79</v>
      </c>
      <c r="D1435">
        <v>7.99</v>
      </c>
      <c r="E1435">
        <v>5.89</v>
      </c>
      <c r="F1435">
        <v>2.13</v>
      </c>
      <c r="G1435">
        <v>62.577873254564985</v>
      </c>
      <c r="H1435">
        <v>33.390528483184632</v>
      </c>
      <c r="I1435">
        <v>37.845499645641389</v>
      </c>
      <c r="J1435">
        <v>41.45548301868908</v>
      </c>
      <c r="K1435">
        <v>22.988505747126432</v>
      </c>
      <c r="L1435">
        <v>15.723857495290003</v>
      </c>
      <c r="M1435">
        <v>72.765479927184998</v>
      </c>
      <c r="N1435">
        <v>44.666237927922396</v>
      </c>
      <c r="O1435">
        <v>6.6483333333333334</v>
      </c>
      <c r="P1435">
        <v>-0.75833333333333375</v>
      </c>
      <c r="Q1435">
        <v>1434</v>
      </c>
      <c r="R1435">
        <v>6</v>
      </c>
      <c r="S1435" t="s">
        <v>24</v>
      </c>
      <c r="T1435" t="s">
        <v>425</v>
      </c>
      <c r="U1435">
        <v>1000</v>
      </c>
      <c r="V1435">
        <v>1000</v>
      </c>
    </row>
    <row r="1436" spans="1:22" x14ac:dyDescent="0.3">
      <c r="A1436" t="s">
        <v>1608</v>
      </c>
      <c r="B1436" t="s">
        <v>1019</v>
      </c>
      <c r="C1436">
        <v>5.04</v>
      </c>
      <c r="D1436">
        <v>8.1199999999999992</v>
      </c>
      <c r="E1436">
        <v>9.0500000000000007</v>
      </c>
      <c r="F1436">
        <v>2.48</v>
      </c>
      <c r="G1436">
        <v>63.114930182599352</v>
      </c>
      <c r="H1436">
        <v>33.613589567604677</v>
      </c>
      <c r="I1436">
        <v>49.043231750531532</v>
      </c>
      <c r="J1436">
        <v>47.228678782067036</v>
      </c>
      <c r="K1436">
        <v>9.578544061302674</v>
      </c>
      <c r="L1436">
        <v>14.755878222695694</v>
      </c>
      <c r="M1436">
        <v>74.442069207991921</v>
      </c>
      <c r="N1436">
        <v>44.619492708357171</v>
      </c>
      <c r="O1436">
        <v>8.7813636363636363</v>
      </c>
      <c r="P1436">
        <v>0.26863636363636445</v>
      </c>
      <c r="Q1436">
        <v>1435</v>
      </c>
      <c r="R1436">
        <v>15</v>
      </c>
      <c r="S1436" t="s">
        <v>24</v>
      </c>
      <c r="T1436" t="s">
        <v>1020</v>
      </c>
      <c r="U1436">
        <v>1000</v>
      </c>
      <c r="V1436">
        <v>1000</v>
      </c>
    </row>
    <row r="1437" spans="1:22" x14ac:dyDescent="0.3">
      <c r="A1437" t="s">
        <v>1609</v>
      </c>
      <c r="B1437" t="s">
        <v>1331</v>
      </c>
      <c r="C1437">
        <v>5.41</v>
      </c>
      <c r="D1437">
        <v>3.59</v>
      </c>
      <c r="E1437">
        <v>4.2</v>
      </c>
      <c r="F1437">
        <v>1.66</v>
      </c>
      <c r="G1437">
        <v>63.909774436090231</v>
      </c>
      <c r="H1437">
        <v>25.840768702814003</v>
      </c>
      <c r="I1437">
        <v>31.856839121190646</v>
      </c>
      <c r="J1437">
        <v>36.462605058657573</v>
      </c>
      <c r="K1437">
        <v>40.996168582375468</v>
      </c>
      <c r="L1437">
        <v>20.464737815326071</v>
      </c>
      <c r="M1437">
        <v>64.554034340279145</v>
      </c>
      <c r="N1437">
        <v>44.618853259992441</v>
      </c>
      <c r="O1437">
        <v>4.7778125000000005</v>
      </c>
      <c r="P1437">
        <v>-0.57781250000000028</v>
      </c>
      <c r="Q1437">
        <v>1436</v>
      </c>
      <c r="R1437">
        <v>23</v>
      </c>
      <c r="S1437" t="s">
        <v>24</v>
      </c>
      <c r="T1437" t="s">
        <v>1422</v>
      </c>
      <c r="U1437">
        <v>5000</v>
      </c>
      <c r="V1437">
        <v>1000</v>
      </c>
    </row>
    <row r="1438" spans="1:22" x14ac:dyDescent="0.3">
      <c r="A1438" t="s">
        <v>1610</v>
      </c>
      <c r="B1438" t="s">
        <v>1331</v>
      </c>
      <c r="C1438">
        <v>5.03</v>
      </c>
      <c r="D1438">
        <v>3.28</v>
      </c>
      <c r="E1438">
        <v>3.72</v>
      </c>
      <c r="F1438">
        <v>1.6</v>
      </c>
      <c r="G1438">
        <v>63.093447905477973</v>
      </c>
      <c r="H1438">
        <v>25.308853809196986</v>
      </c>
      <c r="I1438">
        <v>30.155917788802267</v>
      </c>
      <c r="J1438">
        <v>35.289304618255827</v>
      </c>
      <c r="K1438">
        <v>43.295019157088113</v>
      </c>
      <c r="L1438">
        <v>20.559063169439483</v>
      </c>
      <c r="M1438">
        <v>64.390658034512782</v>
      </c>
      <c r="N1438">
        <v>44.566071607028135</v>
      </c>
      <c r="O1438">
        <v>4.7778125000000005</v>
      </c>
      <c r="P1438">
        <v>-1.0578125000000003</v>
      </c>
      <c r="Q1438">
        <v>1437</v>
      </c>
      <c r="R1438">
        <v>24</v>
      </c>
      <c r="S1438" t="s">
        <v>24</v>
      </c>
      <c r="T1438" t="s">
        <v>1422</v>
      </c>
      <c r="U1438">
        <v>1000</v>
      </c>
      <c r="V1438">
        <v>1000</v>
      </c>
    </row>
    <row r="1439" spans="1:22" x14ac:dyDescent="0.3">
      <c r="A1439" t="s">
        <v>1611</v>
      </c>
      <c r="B1439" t="s">
        <v>138</v>
      </c>
      <c r="C1439">
        <v>5.7</v>
      </c>
      <c r="D1439">
        <v>9.08</v>
      </c>
      <c r="E1439">
        <v>4.9800000000000004</v>
      </c>
      <c r="F1439">
        <v>2.0499999999999998</v>
      </c>
      <c r="G1439">
        <v>64.532760472610093</v>
      </c>
      <c r="H1439">
        <v>35.260809883321897</v>
      </c>
      <c r="I1439">
        <v>34.620836286321754</v>
      </c>
      <c r="J1439">
        <v>40.795213202679463</v>
      </c>
      <c r="K1439">
        <v>26.053639846743295</v>
      </c>
      <c r="L1439">
        <v>17.087909302744091</v>
      </c>
      <c r="M1439">
        <v>70.40287289251836</v>
      </c>
      <c r="N1439">
        <v>44.511734786155145</v>
      </c>
      <c r="O1439">
        <v>9.219019607843137</v>
      </c>
      <c r="P1439">
        <v>-4.2390196078431366</v>
      </c>
      <c r="Q1439">
        <v>1438</v>
      </c>
      <c r="R1439">
        <v>45</v>
      </c>
      <c r="S1439" t="s">
        <v>24</v>
      </c>
      <c r="T1439" t="s">
        <v>134</v>
      </c>
      <c r="U1439">
        <v>1000</v>
      </c>
      <c r="V1439">
        <v>1000</v>
      </c>
    </row>
    <row r="1440" spans="1:22" x14ac:dyDescent="0.3">
      <c r="A1440" t="s">
        <v>1612</v>
      </c>
      <c r="B1440" t="s">
        <v>86</v>
      </c>
      <c r="C1440">
        <v>5.85</v>
      </c>
      <c r="D1440">
        <v>13.22</v>
      </c>
      <c r="E1440">
        <v>6.77</v>
      </c>
      <c r="F1440">
        <v>2.5</v>
      </c>
      <c r="G1440">
        <v>64.85499462943072</v>
      </c>
      <c r="H1440">
        <v>42.364447494852442</v>
      </c>
      <c r="I1440">
        <v>40.963855421686745</v>
      </c>
      <c r="J1440">
        <v>46.162260885185248</v>
      </c>
      <c r="K1440">
        <v>8.812260536398453</v>
      </c>
      <c r="L1440">
        <v>13.407540796208075</v>
      </c>
      <c r="M1440">
        <v>76.777458136415135</v>
      </c>
      <c r="N1440">
        <v>44.478560110796025</v>
      </c>
      <c r="O1440">
        <v>8.6526315789473696</v>
      </c>
      <c r="P1440">
        <v>-1.88263157894737</v>
      </c>
      <c r="Q1440">
        <v>1439</v>
      </c>
      <c r="R1440">
        <v>13</v>
      </c>
      <c r="S1440" t="s">
        <v>24</v>
      </c>
      <c r="T1440" t="s">
        <v>78</v>
      </c>
      <c r="U1440">
        <v>5000</v>
      </c>
      <c r="V1440">
        <v>1000</v>
      </c>
    </row>
    <row r="1441" spans="1:22" x14ac:dyDescent="0.3">
      <c r="A1441" t="s">
        <v>1613</v>
      </c>
      <c r="B1441" t="s">
        <v>494</v>
      </c>
      <c r="C1441">
        <v>4.5999999999999996</v>
      </c>
      <c r="D1441">
        <v>6.91</v>
      </c>
      <c r="E1441">
        <v>6.4</v>
      </c>
      <c r="F1441">
        <v>2.16</v>
      </c>
      <c r="G1441">
        <v>62.169709989258862</v>
      </c>
      <c r="H1441">
        <v>31.537405628002752</v>
      </c>
      <c r="I1441">
        <v>39.652728561304038</v>
      </c>
      <c r="J1441">
        <v>41.721527966904617</v>
      </c>
      <c r="K1441">
        <v>21.839080459770098</v>
      </c>
      <c r="L1441">
        <v>15.870365409672932</v>
      </c>
      <c r="M1441">
        <v>72.511720775762825</v>
      </c>
      <c r="N1441">
        <v>44.448464292335544</v>
      </c>
      <c r="O1441">
        <v>7.1099999999999994</v>
      </c>
      <c r="P1441">
        <v>-0.70999999999999908</v>
      </c>
      <c r="Q1441">
        <v>1440</v>
      </c>
      <c r="R1441">
        <v>7</v>
      </c>
      <c r="S1441" t="s">
        <v>24</v>
      </c>
      <c r="T1441" t="s">
        <v>443</v>
      </c>
      <c r="U1441">
        <v>1000</v>
      </c>
      <c r="V1441">
        <v>1000</v>
      </c>
    </row>
    <row r="1442" spans="1:22" x14ac:dyDescent="0.3">
      <c r="A1442" t="s">
        <v>1614</v>
      </c>
      <c r="B1442" t="s">
        <v>976</v>
      </c>
      <c r="C1442">
        <v>5.93</v>
      </c>
      <c r="D1442">
        <v>2.48</v>
      </c>
      <c r="E1442">
        <v>3.96</v>
      </c>
      <c r="F1442">
        <v>1.57</v>
      </c>
      <c r="G1442">
        <v>65.026852846401724</v>
      </c>
      <c r="H1442">
        <v>23.936170212765962</v>
      </c>
      <c r="I1442">
        <v>31.006378454996451</v>
      </c>
      <c r="J1442">
        <v>35.689410860608362</v>
      </c>
      <c r="K1442">
        <v>44.444444444444443</v>
      </c>
      <c r="L1442">
        <v>21.969011211639838</v>
      </c>
      <c r="M1442">
        <v>61.948556389389495</v>
      </c>
      <c r="N1442">
        <v>44.442955638762669</v>
      </c>
      <c r="O1442">
        <v>4.3111111111111109</v>
      </c>
      <c r="P1442">
        <v>-0.35111111111111093</v>
      </c>
      <c r="Q1442">
        <v>1441</v>
      </c>
      <c r="R1442">
        <v>39</v>
      </c>
      <c r="S1442" t="s">
        <v>24</v>
      </c>
      <c r="T1442" t="s">
        <v>1119</v>
      </c>
      <c r="U1442">
        <v>5000</v>
      </c>
      <c r="V1442">
        <v>1000</v>
      </c>
    </row>
    <row r="1443" spans="1:22" x14ac:dyDescent="0.3">
      <c r="A1443" t="s">
        <v>1615</v>
      </c>
      <c r="B1443" t="s">
        <v>1019</v>
      </c>
      <c r="C1443">
        <v>5.04</v>
      </c>
      <c r="D1443">
        <v>8.1199999999999992</v>
      </c>
      <c r="E1443">
        <v>8.81</v>
      </c>
      <c r="F1443">
        <v>2.48</v>
      </c>
      <c r="G1443">
        <v>63.114930182599352</v>
      </c>
      <c r="H1443">
        <v>33.613589567604677</v>
      </c>
      <c r="I1443">
        <v>48.192771084337352</v>
      </c>
      <c r="J1443">
        <v>46.803448448969945</v>
      </c>
      <c r="K1443">
        <v>9.578544061302674</v>
      </c>
      <c r="L1443">
        <v>14.751002587019959</v>
      </c>
      <c r="M1443">
        <v>74.450514056701479</v>
      </c>
      <c r="N1443">
        <v>44.408988753986009</v>
      </c>
      <c r="O1443">
        <v>8.7813636363636363</v>
      </c>
      <c r="P1443">
        <v>2.8636363636364237E-2</v>
      </c>
      <c r="Q1443">
        <v>1442</v>
      </c>
      <c r="R1443">
        <v>16</v>
      </c>
      <c r="S1443" t="s">
        <v>24</v>
      </c>
      <c r="T1443" t="s">
        <v>1020</v>
      </c>
      <c r="U1443">
        <v>1000</v>
      </c>
      <c r="V1443">
        <v>1000</v>
      </c>
    </row>
    <row r="1444" spans="1:22" x14ac:dyDescent="0.3">
      <c r="A1444" t="s">
        <v>1616</v>
      </c>
      <c r="B1444" t="s">
        <v>520</v>
      </c>
      <c r="C1444">
        <v>3.92</v>
      </c>
      <c r="D1444">
        <v>2.92</v>
      </c>
      <c r="E1444">
        <v>3.69</v>
      </c>
      <c r="F1444">
        <v>1.63</v>
      </c>
      <c r="G1444">
        <v>60.708915145005371</v>
      </c>
      <c r="H1444">
        <v>24.691146190803025</v>
      </c>
      <c r="I1444">
        <v>30.049610205527987</v>
      </c>
      <c r="J1444">
        <v>34.573931989005978</v>
      </c>
      <c r="K1444">
        <v>42.145593869731798</v>
      </c>
      <c r="L1444">
        <v>19.43358688974352</v>
      </c>
      <c r="M1444">
        <v>66.340040133659784</v>
      </c>
      <c r="N1444">
        <v>44.408374495350884</v>
      </c>
      <c r="O1444">
        <v>4.625</v>
      </c>
      <c r="P1444">
        <v>-0.93500000000000005</v>
      </c>
      <c r="Q1444">
        <v>1443</v>
      </c>
      <c r="R1444">
        <v>38</v>
      </c>
      <c r="S1444" t="s">
        <v>24</v>
      </c>
      <c r="T1444" t="s">
        <v>521</v>
      </c>
      <c r="U1444">
        <v>5000</v>
      </c>
      <c r="V1444">
        <v>1000</v>
      </c>
    </row>
    <row r="1445" spans="1:22" x14ac:dyDescent="0.3">
      <c r="A1445" t="s">
        <v>1617</v>
      </c>
      <c r="B1445" t="s">
        <v>170</v>
      </c>
      <c r="C1445">
        <v>13.73</v>
      </c>
      <c r="D1445">
        <v>9.92</v>
      </c>
      <c r="E1445">
        <v>7.07</v>
      </c>
      <c r="F1445">
        <v>2.12</v>
      </c>
      <c r="G1445">
        <v>81.783029001074098</v>
      </c>
      <c r="H1445">
        <v>36.702127659574465</v>
      </c>
      <c r="I1445">
        <v>42.026931254429478</v>
      </c>
      <c r="J1445">
        <v>48.380709725301898</v>
      </c>
      <c r="K1445">
        <v>23.371647509578541</v>
      </c>
      <c r="L1445">
        <v>24.63462504662413</v>
      </c>
      <c r="M1445">
        <v>57.331577793838186</v>
      </c>
      <c r="N1445">
        <v>44.366161188505131</v>
      </c>
      <c r="O1445">
        <v>6.9120588235294118</v>
      </c>
      <c r="P1445">
        <v>0.15794117647058847</v>
      </c>
      <c r="Q1445">
        <v>1444</v>
      </c>
      <c r="R1445">
        <v>23</v>
      </c>
      <c r="S1445" t="s">
        <v>24</v>
      </c>
      <c r="T1445" t="s">
        <v>45</v>
      </c>
      <c r="U1445">
        <v>1000</v>
      </c>
      <c r="V1445">
        <v>1000</v>
      </c>
    </row>
    <row r="1446" spans="1:22" x14ac:dyDescent="0.3">
      <c r="A1446" t="s">
        <v>1618</v>
      </c>
      <c r="B1446" t="s">
        <v>170</v>
      </c>
      <c r="C1446">
        <v>13.73</v>
      </c>
      <c r="D1446">
        <v>9.92</v>
      </c>
      <c r="E1446">
        <v>7.07</v>
      </c>
      <c r="F1446">
        <v>2.12</v>
      </c>
      <c r="G1446">
        <v>81.783029001074098</v>
      </c>
      <c r="H1446">
        <v>36.702127659574465</v>
      </c>
      <c r="I1446">
        <v>42.026931254429478</v>
      </c>
      <c r="J1446">
        <v>48.380709725301898</v>
      </c>
      <c r="K1446">
        <v>23.371647509578541</v>
      </c>
      <c r="L1446">
        <v>24.63462504662413</v>
      </c>
      <c r="M1446">
        <v>57.331577793838186</v>
      </c>
      <c r="N1446">
        <v>44.366161188505131</v>
      </c>
      <c r="O1446">
        <v>6.9120588235294118</v>
      </c>
      <c r="P1446">
        <v>0.15794117647058847</v>
      </c>
      <c r="Q1446">
        <v>1444</v>
      </c>
      <c r="R1446">
        <v>23</v>
      </c>
      <c r="S1446" t="s">
        <v>24</v>
      </c>
      <c r="T1446" t="s">
        <v>45</v>
      </c>
      <c r="U1446">
        <v>1000</v>
      </c>
      <c r="V1446">
        <v>1000</v>
      </c>
    </row>
    <row r="1447" spans="1:22" x14ac:dyDescent="0.3">
      <c r="A1447" t="s">
        <v>1619</v>
      </c>
      <c r="B1447" t="s">
        <v>86</v>
      </c>
      <c r="C1447">
        <v>-0.94</v>
      </c>
      <c r="D1447">
        <v>12.76</v>
      </c>
      <c r="E1447">
        <v>5.62</v>
      </c>
      <c r="F1447">
        <v>2.54</v>
      </c>
      <c r="G1447">
        <v>50.26852846401718</v>
      </c>
      <c r="H1447">
        <v>41.575154426904604</v>
      </c>
      <c r="I1447">
        <v>36.888731396172922</v>
      </c>
      <c r="J1447">
        <v>40.970617718961279</v>
      </c>
      <c r="K1447">
        <v>7.2796934865900331</v>
      </c>
      <c r="L1447">
        <v>6.7891614915344922</v>
      </c>
      <c r="M1447">
        <v>88.240827355872156</v>
      </c>
      <c r="N1447">
        <v>44.365439070096187</v>
      </c>
      <c r="O1447">
        <v>8.6526315789473696</v>
      </c>
      <c r="P1447">
        <v>-3.0326315789473695</v>
      </c>
      <c r="Q1447">
        <v>1446</v>
      </c>
      <c r="R1447">
        <v>14</v>
      </c>
      <c r="S1447" t="s">
        <v>24</v>
      </c>
      <c r="T1447" t="s">
        <v>1620</v>
      </c>
      <c r="U1447">
        <v>1000</v>
      </c>
      <c r="V1447">
        <v>1000</v>
      </c>
    </row>
    <row r="1448" spans="1:22" x14ac:dyDescent="0.3">
      <c r="A1448" t="s">
        <v>1621</v>
      </c>
      <c r="B1448" t="s">
        <v>445</v>
      </c>
      <c r="C1448">
        <v>0.67</v>
      </c>
      <c r="D1448">
        <v>5.82</v>
      </c>
      <c r="E1448">
        <v>5.98</v>
      </c>
      <c r="F1448">
        <v>2.1800000000000002</v>
      </c>
      <c r="G1448">
        <v>53.727175080558531</v>
      </c>
      <c r="H1448">
        <v>29.667124227865482</v>
      </c>
      <c r="I1448">
        <v>38.164422395464207</v>
      </c>
      <c r="J1448">
        <v>38.727783482203449</v>
      </c>
      <c r="K1448">
        <v>21.072796934865899</v>
      </c>
      <c r="L1448">
        <v>12.201703394203223</v>
      </c>
      <c r="M1448">
        <v>78.866029782354389</v>
      </c>
      <c r="N1448">
        <v>44.348598420406795</v>
      </c>
      <c r="O1448">
        <v>5.7759259259259252</v>
      </c>
      <c r="P1448">
        <v>0.20407407407407518</v>
      </c>
      <c r="Q1448">
        <v>1447</v>
      </c>
      <c r="R1448">
        <v>29</v>
      </c>
      <c r="S1448" t="s">
        <v>24</v>
      </c>
      <c r="T1448" t="s">
        <v>612</v>
      </c>
      <c r="U1448">
        <v>5000</v>
      </c>
      <c r="V1448">
        <v>1000</v>
      </c>
    </row>
    <row r="1449" spans="1:22" x14ac:dyDescent="0.3">
      <c r="A1449" t="s">
        <v>1622</v>
      </c>
      <c r="B1449" t="s">
        <v>1331</v>
      </c>
      <c r="C1449">
        <v>5.54</v>
      </c>
      <c r="D1449">
        <v>3.81</v>
      </c>
      <c r="E1449">
        <v>3.53</v>
      </c>
      <c r="F1449">
        <v>1.61</v>
      </c>
      <c r="G1449">
        <v>64.189044038668101</v>
      </c>
      <c r="H1449">
        <v>26.218256691832536</v>
      </c>
      <c r="I1449">
        <v>29.482636428065202</v>
      </c>
      <c r="J1449">
        <v>35.444604029315983</v>
      </c>
      <c r="K1449">
        <v>42.911877394636001</v>
      </c>
      <c r="L1449">
        <v>21.043493040344835</v>
      </c>
      <c r="M1449">
        <v>63.551600885400674</v>
      </c>
      <c r="N1449">
        <v>44.338171584667165</v>
      </c>
      <c r="O1449">
        <v>4.7778125000000005</v>
      </c>
      <c r="P1449">
        <v>-1.2478125000000007</v>
      </c>
      <c r="Q1449">
        <v>1448</v>
      </c>
      <c r="R1449">
        <v>25</v>
      </c>
      <c r="S1449" t="s">
        <v>24</v>
      </c>
      <c r="T1449" t="s">
        <v>1422</v>
      </c>
      <c r="U1449">
        <v>1000</v>
      </c>
      <c r="V1449">
        <v>1000</v>
      </c>
    </row>
    <row r="1450" spans="1:22" x14ac:dyDescent="0.3">
      <c r="A1450" t="s">
        <v>1623</v>
      </c>
      <c r="B1450" t="s">
        <v>1331</v>
      </c>
      <c r="C1450">
        <v>5.54</v>
      </c>
      <c r="D1450">
        <v>3.81</v>
      </c>
      <c r="E1450">
        <v>3.53</v>
      </c>
      <c r="F1450">
        <v>1.61</v>
      </c>
      <c r="G1450">
        <v>64.189044038668101</v>
      </c>
      <c r="H1450">
        <v>26.218256691832536</v>
      </c>
      <c r="I1450">
        <v>29.482636428065202</v>
      </c>
      <c r="J1450">
        <v>35.444604029315983</v>
      </c>
      <c r="K1450">
        <v>42.911877394636001</v>
      </c>
      <c r="L1450">
        <v>21.043493040344835</v>
      </c>
      <c r="M1450">
        <v>63.551600885400674</v>
      </c>
      <c r="N1450">
        <v>44.338171584667165</v>
      </c>
      <c r="O1450">
        <v>4.7778125000000005</v>
      </c>
      <c r="P1450">
        <v>-1.2478125000000007</v>
      </c>
      <c r="Q1450">
        <v>1448</v>
      </c>
      <c r="R1450">
        <v>25</v>
      </c>
      <c r="S1450" t="s">
        <v>24</v>
      </c>
      <c r="T1450" t="s">
        <v>1422</v>
      </c>
      <c r="U1450">
        <v>1000</v>
      </c>
      <c r="V1450">
        <v>1000</v>
      </c>
    </row>
    <row r="1451" spans="1:22" x14ac:dyDescent="0.3">
      <c r="A1451" t="s">
        <v>1624</v>
      </c>
      <c r="B1451" t="s">
        <v>520</v>
      </c>
      <c r="C1451">
        <v>3.48</v>
      </c>
      <c r="D1451">
        <v>1.01</v>
      </c>
      <c r="E1451">
        <v>4.32</v>
      </c>
      <c r="F1451">
        <v>1.62</v>
      </c>
      <c r="G1451">
        <v>59.763694951664867</v>
      </c>
      <c r="H1451">
        <v>21.413864104323956</v>
      </c>
      <c r="I1451">
        <v>32.282069454287736</v>
      </c>
      <c r="J1451">
        <v>34.517932948774032</v>
      </c>
      <c r="K1451">
        <v>42.52873563218391</v>
      </c>
      <c r="L1451">
        <v>19.765572567500335</v>
      </c>
      <c r="M1451">
        <v>65.765024072399797</v>
      </c>
      <c r="N1451">
        <v>44.332406400532946</v>
      </c>
      <c r="O1451">
        <v>4.625</v>
      </c>
      <c r="P1451">
        <v>-0.30499999999999972</v>
      </c>
      <c r="Q1451">
        <v>1450</v>
      </c>
      <c r="R1451">
        <v>39</v>
      </c>
      <c r="S1451" t="s">
        <v>24</v>
      </c>
      <c r="T1451" t="s">
        <v>788</v>
      </c>
      <c r="U1451">
        <v>1000</v>
      </c>
      <c r="V1451">
        <v>1000</v>
      </c>
    </row>
    <row r="1452" spans="1:22" x14ac:dyDescent="0.3">
      <c r="A1452" t="s">
        <v>1625</v>
      </c>
      <c r="B1452" t="s">
        <v>138</v>
      </c>
      <c r="C1452">
        <v>5.7</v>
      </c>
      <c r="D1452">
        <v>9.08</v>
      </c>
      <c r="E1452">
        <v>4.84</v>
      </c>
      <c r="F1452">
        <v>2.0499999999999998</v>
      </c>
      <c r="G1452">
        <v>64.532760472610093</v>
      </c>
      <c r="H1452">
        <v>35.260809883321897</v>
      </c>
      <c r="I1452">
        <v>34.124734231041806</v>
      </c>
      <c r="J1452">
        <v>40.547162175039489</v>
      </c>
      <c r="K1452">
        <v>26.053639846743295</v>
      </c>
      <c r="L1452">
        <v>17.237487341534337</v>
      </c>
      <c r="M1452">
        <v>70.143796129637153</v>
      </c>
      <c r="N1452">
        <v>44.32294008161486</v>
      </c>
      <c r="O1452">
        <v>9.219019607843137</v>
      </c>
      <c r="P1452">
        <v>-4.3790196078431372</v>
      </c>
      <c r="Q1452">
        <v>1451</v>
      </c>
      <c r="R1452">
        <v>46</v>
      </c>
      <c r="S1452" t="s">
        <v>24</v>
      </c>
      <c r="T1452" t="s">
        <v>134</v>
      </c>
      <c r="U1452">
        <v>1000</v>
      </c>
      <c r="V1452">
        <v>1000</v>
      </c>
    </row>
    <row r="1453" spans="1:22" x14ac:dyDescent="0.3">
      <c r="A1453" t="s">
        <v>1626</v>
      </c>
      <c r="B1453" t="s">
        <v>138</v>
      </c>
      <c r="C1453">
        <v>5.7</v>
      </c>
      <c r="D1453">
        <v>9.08</v>
      </c>
      <c r="E1453">
        <v>4.84</v>
      </c>
      <c r="F1453">
        <v>2.0499999999999998</v>
      </c>
      <c r="G1453">
        <v>64.532760472610093</v>
      </c>
      <c r="H1453">
        <v>35.260809883321897</v>
      </c>
      <c r="I1453">
        <v>34.124734231041806</v>
      </c>
      <c r="J1453">
        <v>40.547162175039489</v>
      </c>
      <c r="K1453">
        <v>26.053639846743295</v>
      </c>
      <c r="L1453">
        <v>17.237487341534337</v>
      </c>
      <c r="M1453">
        <v>70.143796129637153</v>
      </c>
      <c r="N1453">
        <v>44.32294008161486</v>
      </c>
      <c r="O1453">
        <v>9.219019607843137</v>
      </c>
      <c r="P1453">
        <v>-4.3790196078431372</v>
      </c>
      <c r="Q1453">
        <v>1451</v>
      </c>
      <c r="R1453">
        <v>46</v>
      </c>
      <c r="S1453" t="s">
        <v>24</v>
      </c>
      <c r="T1453" t="s">
        <v>134</v>
      </c>
      <c r="U1453">
        <v>1000</v>
      </c>
      <c r="V1453">
        <v>1000</v>
      </c>
    </row>
    <row r="1454" spans="1:22" x14ac:dyDescent="0.3">
      <c r="A1454" t="s">
        <v>1627</v>
      </c>
      <c r="B1454" t="s">
        <v>520</v>
      </c>
      <c r="C1454">
        <v>4.83</v>
      </c>
      <c r="D1454">
        <v>2.34</v>
      </c>
      <c r="E1454">
        <v>5.51</v>
      </c>
      <c r="F1454">
        <v>1.8</v>
      </c>
      <c r="G1454">
        <v>62.663802363050479</v>
      </c>
      <c r="H1454">
        <v>23.69595058339053</v>
      </c>
      <c r="I1454">
        <v>36.498936924167261</v>
      </c>
      <c r="J1454">
        <v>37.891014109710881</v>
      </c>
      <c r="K1454">
        <v>35.632183908045967</v>
      </c>
      <c r="L1454">
        <v>19.862066504598356</v>
      </c>
      <c r="M1454">
        <v>65.597891670723669</v>
      </c>
      <c r="N1454">
        <v>44.253025949547848</v>
      </c>
      <c r="O1454">
        <v>4.625</v>
      </c>
      <c r="P1454">
        <v>0.88499999999999979</v>
      </c>
      <c r="Q1454">
        <v>1453</v>
      </c>
      <c r="R1454">
        <v>40</v>
      </c>
      <c r="S1454" t="s">
        <v>24</v>
      </c>
      <c r="T1454" t="s">
        <v>521</v>
      </c>
      <c r="U1454">
        <v>1000</v>
      </c>
      <c r="V1454">
        <v>1000</v>
      </c>
    </row>
    <row r="1455" spans="1:22" x14ac:dyDescent="0.3">
      <c r="A1455" t="s">
        <v>1628</v>
      </c>
      <c r="B1455" t="s">
        <v>445</v>
      </c>
      <c r="C1455">
        <v>0.67</v>
      </c>
      <c r="D1455">
        <v>5.82</v>
      </c>
      <c r="E1455">
        <v>5.86</v>
      </c>
      <c r="F1455">
        <v>2.1800000000000002</v>
      </c>
      <c r="G1455">
        <v>53.727175080558531</v>
      </c>
      <c r="H1455">
        <v>29.667124227865482</v>
      </c>
      <c r="I1455">
        <v>37.73919206236711</v>
      </c>
      <c r="J1455">
        <v>38.515168315654904</v>
      </c>
      <c r="K1455">
        <v>21.072796934865899</v>
      </c>
      <c r="L1455">
        <v>12.245134592624591</v>
      </c>
      <c r="M1455">
        <v>78.79080474005498</v>
      </c>
      <c r="N1455">
        <v>44.223484576557667</v>
      </c>
      <c r="O1455">
        <v>5.7759259259259252</v>
      </c>
      <c r="P1455">
        <v>8.4074074074075078E-2</v>
      </c>
      <c r="Q1455">
        <v>1454</v>
      </c>
      <c r="R1455">
        <v>30</v>
      </c>
      <c r="S1455" t="s">
        <v>24</v>
      </c>
      <c r="T1455" t="s">
        <v>612</v>
      </c>
      <c r="U1455">
        <v>5000</v>
      </c>
      <c r="V1455">
        <v>1000</v>
      </c>
    </row>
    <row r="1456" spans="1:22" x14ac:dyDescent="0.3">
      <c r="A1456" t="s">
        <v>1629</v>
      </c>
      <c r="B1456" t="s">
        <v>976</v>
      </c>
      <c r="C1456">
        <v>3.69</v>
      </c>
      <c r="D1456">
        <v>3.04</v>
      </c>
      <c r="E1456">
        <v>3.97</v>
      </c>
      <c r="F1456">
        <v>1.7</v>
      </c>
      <c r="G1456">
        <v>60.214822771213747</v>
      </c>
      <c r="H1456">
        <v>24.897048730267677</v>
      </c>
      <c r="I1456">
        <v>31.04181431608788</v>
      </c>
      <c r="J1456">
        <v>35.032986331366992</v>
      </c>
      <c r="K1456">
        <v>39.463601532567047</v>
      </c>
      <c r="L1456">
        <v>18.868703053976486</v>
      </c>
      <c r="M1456">
        <v>67.318447637582693</v>
      </c>
      <c r="N1456">
        <v>44.212005458220929</v>
      </c>
      <c r="O1456">
        <v>4.3111111111111109</v>
      </c>
      <c r="P1456">
        <v>-0.3411111111111107</v>
      </c>
      <c r="Q1456">
        <v>1455</v>
      </c>
      <c r="R1456">
        <v>40</v>
      </c>
      <c r="S1456" t="s">
        <v>24</v>
      </c>
      <c r="T1456" t="s">
        <v>977</v>
      </c>
      <c r="U1456">
        <v>5000</v>
      </c>
      <c r="V1456">
        <v>1000</v>
      </c>
    </row>
    <row r="1457" spans="1:22" x14ac:dyDescent="0.3">
      <c r="A1457" t="s">
        <v>1630</v>
      </c>
      <c r="B1457" t="s">
        <v>86</v>
      </c>
      <c r="C1457">
        <v>-10.97</v>
      </c>
      <c r="D1457">
        <v>19.2</v>
      </c>
      <c r="E1457">
        <v>9.42</v>
      </c>
      <c r="F1457">
        <v>2.57</v>
      </c>
      <c r="G1457">
        <v>28.721804511278194</v>
      </c>
      <c r="H1457">
        <v>52.625257378174339</v>
      </c>
      <c r="I1457">
        <v>50.35435861091424</v>
      </c>
      <c r="J1457">
        <v>46.709117421165061</v>
      </c>
      <c r="K1457">
        <v>6.1302681992337238</v>
      </c>
      <c r="L1457">
        <v>13.194060766400094</v>
      </c>
      <c r="M1457">
        <v>77.147216394443873</v>
      </c>
      <c r="N1457">
        <v>44.17392985900193</v>
      </c>
      <c r="O1457">
        <v>8.6526315789473696</v>
      </c>
      <c r="P1457">
        <v>0.76736842105263037</v>
      </c>
      <c r="Q1457">
        <v>1456</v>
      </c>
      <c r="R1457">
        <v>15</v>
      </c>
      <c r="S1457" t="s">
        <v>24</v>
      </c>
      <c r="T1457" t="s">
        <v>1322</v>
      </c>
      <c r="U1457">
        <v>5000</v>
      </c>
      <c r="V1457">
        <v>1000</v>
      </c>
    </row>
    <row r="1458" spans="1:22" x14ac:dyDescent="0.3">
      <c r="A1458" t="s">
        <v>1631</v>
      </c>
      <c r="B1458" t="s">
        <v>86</v>
      </c>
      <c r="C1458">
        <v>-10.97</v>
      </c>
      <c r="D1458">
        <v>19.2</v>
      </c>
      <c r="E1458">
        <v>9.42</v>
      </c>
      <c r="F1458">
        <v>2.57</v>
      </c>
      <c r="G1458">
        <v>28.721804511278194</v>
      </c>
      <c r="H1458">
        <v>52.625257378174339</v>
      </c>
      <c r="I1458">
        <v>50.35435861091424</v>
      </c>
      <c r="J1458">
        <v>46.709117421165061</v>
      </c>
      <c r="K1458">
        <v>6.1302681992337238</v>
      </c>
      <c r="L1458">
        <v>13.194060766400094</v>
      </c>
      <c r="M1458">
        <v>77.147216394443873</v>
      </c>
      <c r="N1458">
        <v>44.17392985900193</v>
      </c>
      <c r="O1458">
        <v>8.6526315789473696</v>
      </c>
      <c r="P1458">
        <v>0.76736842105263037</v>
      </c>
      <c r="Q1458">
        <v>1456</v>
      </c>
      <c r="R1458">
        <v>15</v>
      </c>
      <c r="S1458" t="s">
        <v>24</v>
      </c>
      <c r="T1458" t="s">
        <v>1322</v>
      </c>
      <c r="U1458">
        <v>5000</v>
      </c>
      <c r="V1458">
        <v>1000</v>
      </c>
    </row>
    <row r="1459" spans="1:22" x14ac:dyDescent="0.3">
      <c r="A1459" t="s">
        <v>1632</v>
      </c>
      <c r="B1459" t="s">
        <v>383</v>
      </c>
      <c r="C1459">
        <v>0.64</v>
      </c>
      <c r="D1459">
        <v>6.47</v>
      </c>
      <c r="E1459">
        <v>5.99</v>
      </c>
      <c r="F1459">
        <v>2.2400000000000002</v>
      </c>
      <c r="G1459">
        <v>53.662728249194416</v>
      </c>
      <c r="H1459">
        <v>30.782429649965685</v>
      </c>
      <c r="I1459">
        <v>38.199858256555629</v>
      </c>
      <c r="J1459">
        <v>39.067203673106405</v>
      </c>
      <c r="K1459">
        <v>18.773946360153239</v>
      </c>
      <c r="L1459">
        <v>11.673521744622001</v>
      </c>
      <c r="M1459">
        <v>79.780867235054615</v>
      </c>
      <c r="N1459">
        <v>44.172305235355168</v>
      </c>
      <c r="O1459">
        <v>6.1480952380952392</v>
      </c>
      <c r="P1459">
        <v>-0.15809523809523895</v>
      </c>
      <c r="Q1459">
        <v>1458</v>
      </c>
      <c r="R1459">
        <v>36</v>
      </c>
      <c r="S1459" t="s">
        <v>24</v>
      </c>
      <c r="T1459" t="s">
        <v>816</v>
      </c>
      <c r="U1459">
        <v>1000</v>
      </c>
      <c r="V1459">
        <v>1000</v>
      </c>
    </row>
    <row r="1460" spans="1:22" x14ac:dyDescent="0.3">
      <c r="A1460" t="s">
        <v>1633</v>
      </c>
      <c r="B1460" t="s">
        <v>976</v>
      </c>
      <c r="C1460">
        <v>4.1900000000000004</v>
      </c>
      <c r="D1460">
        <v>3.41</v>
      </c>
      <c r="E1460">
        <v>4.04</v>
      </c>
      <c r="F1460">
        <v>1.72</v>
      </c>
      <c r="G1460">
        <v>61.288936627282489</v>
      </c>
      <c r="H1460">
        <v>25.531914893617024</v>
      </c>
      <c r="I1460">
        <v>31.28986534372785</v>
      </c>
      <c r="J1460">
        <v>35.562294465405529</v>
      </c>
      <c r="K1460">
        <v>38.69731800766283</v>
      </c>
      <c r="L1460">
        <v>19.199231210839098</v>
      </c>
      <c r="M1460">
        <v>66.745956076564539</v>
      </c>
      <c r="N1460">
        <v>44.141965753759607</v>
      </c>
      <c r="O1460">
        <v>4.3111111111111109</v>
      </c>
      <c r="P1460">
        <v>-0.27111111111111086</v>
      </c>
      <c r="Q1460">
        <v>1459</v>
      </c>
      <c r="R1460">
        <v>41</v>
      </c>
      <c r="S1460" t="s">
        <v>24</v>
      </c>
      <c r="T1460" t="s">
        <v>1119</v>
      </c>
      <c r="U1460">
        <v>5000</v>
      </c>
      <c r="V1460">
        <v>1000</v>
      </c>
    </row>
    <row r="1461" spans="1:22" x14ac:dyDescent="0.3">
      <c r="A1461" t="s">
        <v>1634</v>
      </c>
      <c r="B1461" t="s">
        <v>383</v>
      </c>
      <c r="C1461">
        <v>0.56999999999999995</v>
      </c>
      <c r="D1461">
        <v>6.44</v>
      </c>
      <c r="E1461">
        <v>5.9</v>
      </c>
      <c r="F1461">
        <v>2.2400000000000002</v>
      </c>
      <c r="G1461">
        <v>53.512352309344791</v>
      </c>
      <c r="H1461">
        <v>30.73095401509952</v>
      </c>
      <c r="I1461">
        <v>37.880935506732818</v>
      </c>
      <c r="J1461">
        <v>38.862224419765226</v>
      </c>
      <c r="K1461">
        <v>18.773946360153239</v>
      </c>
      <c r="L1461">
        <v>11.650862162866748</v>
      </c>
      <c r="M1461">
        <v>79.820114781932972</v>
      </c>
      <c r="N1461">
        <v>44.079627495404168</v>
      </c>
      <c r="O1461">
        <v>6.1480952380952392</v>
      </c>
      <c r="P1461">
        <v>-0.24809523809523881</v>
      </c>
      <c r="Q1461">
        <v>1460</v>
      </c>
      <c r="R1461">
        <v>37</v>
      </c>
      <c r="S1461" t="s">
        <v>24</v>
      </c>
      <c r="T1461" t="s">
        <v>816</v>
      </c>
      <c r="U1461">
        <v>1000</v>
      </c>
      <c r="V1461">
        <v>1000</v>
      </c>
    </row>
    <row r="1462" spans="1:22" x14ac:dyDescent="0.3">
      <c r="A1462" t="s">
        <v>1635</v>
      </c>
      <c r="B1462" t="s">
        <v>77</v>
      </c>
      <c r="C1462">
        <v>0.08</v>
      </c>
      <c r="D1462">
        <v>12.47</v>
      </c>
      <c r="E1462">
        <v>4.2300000000000004</v>
      </c>
      <c r="F1462">
        <v>2.2999999999999998</v>
      </c>
      <c r="G1462">
        <v>52.459720730397422</v>
      </c>
      <c r="H1462">
        <v>41.077556623198355</v>
      </c>
      <c r="I1462">
        <v>31.963146704464918</v>
      </c>
      <c r="J1462">
        <v>38.796784485271452</v>
      </c>
      <c r="K1462">
        <v>16.475095785440619</v>
      </c>
      <c r="L1462">
        <v>10.269174542698552</v>
      </c>
      <c r="M1462">
        <v>82.213267940253218</v>
      </c>
      <c r="N1462">
        <v>44.070483174059184</v>
      </c>
      <c r="O1462">
        <v>9.0435999999999996</v>
      </c>
      <c r="P1462">
        <v>-4.8135999999999992</v>
      </c>
      <c r="Q1462">
        <v>1461</v>
      </c>
      <c r="R1462">
        <v>22</v>
      </c>
      <c r="S1462" t="s">
        <v>24</v>
      </c>
      <c r="T1462" t="s">
        <v>758</v>
      </c>
      <c r="U1462">
        <v>1000</v>
      </c>
      <c r="V1462">
        <v>1000</v>
      </c>
    </row>
    <row r="1463" spans="1:22" x14ac:dyDescent="0.3">
      <c r="A1463" t="s">
        <v>1636</v>
      </c>
      <c r="B1463" t="s">
        <v>77</v>
      </c>
      <c r="C1463">
        <v>0.08</v>
      </c>
      <c r="D1463">
        <v>12.46</v>
      </c>
      <c r="E1463">
        <v>4.2300000000000004</v>
      </c>
      <c r="F1463">
        <v>2.2999999999999998</v>
      </c>
      <c r="G1463">
        <v>52.459720730397422</v>
      </c>
      <c r="H1463">
        <v>41.060398078242969</v>
      </c>
      <c r="I1463">
        <v>31.963146704464918</v>
      </c>
      <c r="J1463">
        <v>38.791636921784836</v>
      </c>
      <c r="K1463">
        <v>16.475095785440619</v>
      </c>
      <c r="L1463">
        <v>10.26981082498731</v>
      </c>
      <c r="M1463">
        <v>82.212165867001133</v>
      </c>
      <c r="N1463">
        <v>44.067633874002851</v>
      </c>
      <c r="O1463">
        <v>9.0435999999999996</v>
      </c>
      <c r="P1463">
        <v>-4.8135999999999992</v>
      </c>
      <c r="Q1463">
        <v>1462</v>
      </c>
      <c r="R1463">
        <v>23</v>
      </c>
      <c r="S1463" t="s">
        <v>24</v>
      </c>
      <c r="T1463" t="s">
        <v>758</v>
      </c>
      <c r="U1463">
        <v>1000</v>
      </c>
      <c r="V1463">
        <v>1000</v>
      </c>
    </row>
    <row r="1464" spans="1:22" x14ac:dyDescent="0.3">
      <c r="A1464" t="s">
        <v>1637</v>
      </c>
      <c r="B1464" t="s">
        <v>520</v>
      </c>
      <c r="C1464">
        <v>3.48</v>
      </c>
      <c r="D1464">
        <v>1.01</v>
      </c>
      <c r="E1464">
        <v>4.07</v>
      </c>
      <c r="F1464">
        <v>1.62</v>
      </c>
      <c r="G1464">
        <v>59.763694951664867</v>
      </c>
      <c r="H1464">
        <v>21.413864104323956</v>
      </c>
      <c r="I1464">
        <v>31.396172927002127</v>
      </c>
      <c r="J1464">
        <v>34.074984685131227</v>
      </c>
      <c r="K1464">
        <v>42.52873563218391</v>
      </c>
      <c r="L1464">
        <v>19.895863562018381</v>
      </c>
      <c r="M1464">
        <v>65.539353450125873</v>
      </c>
      <c r="N1464">
        <v>44.054514613143056</v>
      </c>
      <c r="O1464">
        <v>4.625</v>
      </c>
      <c r="P1464">
        <v>-0.55499999999999972</v>
      </c>
      <c r="Q1464">
        <v>1463</v>
      </c>
      <c r="R1464">
        <v>41</v>
      </c>
      <c r="S1464" t="s">
        <v>24</v>
      </c>
      <c r="T1464" t="s">
        <v>788</v>
      </c>
      <c r="U1464">
        <v>1000</v>
      </c>
      <c r="V1464">
        <v>1000</v>
      </c>
    </row>
    <row r="1465" spans="1:22" x14ac:dyDescent="0.3">
      <c r="A1465" t="s">
        <v>1638</v>
      </c>
      <c r="B1465" t="s">
        <v>520</v>
      </c>
      <c r="C1465">
        <v>4.83</v>
      </c>
      <c r="D1465">
        <v>2.34</v>
      </c>
      <c r="E1465">
        <v>5.32</v>
      </c>
      <c r="F1465">
        <v>1.8</v>
      </c>
      <c r="G1465">
        <v>62.663802363050479</v>
      </c>
      <c r="H1465">
        <v>23.69595058339053</v>
      </c>
      <c r="I1465">
        <v>35.825655563430189</v>
      </c>
      <c r="J1465">
        <v>37.554373429342348</v>
      </c>
      <c r="K1465">
        <v>35.632183908045967</v>
      </c>
      <c r="L1465">
        <v>19.941202483226846</v>
      </c>
      <c r="M1465">
        <v>65.460824135032439</v>
      </c>
      <c r="N1465">
        <v>44.05043872544077</v>
      </c>
      <c r="O1465">
        <v>4.625</v>
      </c>
      <c r="P1465">
        <v>0.69500000000000028</v>
      </c>
      <c r="Q1465">
        <v>1464</v>
      </c>
      <c r="R1465">
        <v>42</v>
      </c>
      <c r="S1465" t="s">
        <v>24</v>
      </c>
      <c r="T1465" t="s">
        <v>521</v>
      </c>
      <c r="U1465">
        <v>1000</v>
      </c>
      <c r="V1465">
        <v>1000</v>
      </c>
    </row>
    <row r="1466" spans="1:22" x14ac:dyDescent="0.3">
      <c r="A1466" t="s">
        <v>1639</v>
      </c>
      <c r="B1466" t="s">
        <v>494</v>
      </c>
      <c r="C1466">
        <v>2.59</v>
      </c>
      <c r="D1466">
        <v>4.99</v>
      </c>
      <c r="E1466">
        <v>6.14</v>
      </c>
      <c r="F1466">
        <v>2.12</v>
      </c>
      <c r="G1466">
        <v>57.851772287862516</v>
      </c>
      <c r="H1466">
        <v>28.242964996568297</v>
      </c>
      <c r="I1466">
        <v>38.731396172926999</v>
      </c>
      <c r="J1466">
        <v>39.408942043006491</v>
      </c>
      <c r="K1466">
        <v>23.371647509578541</v>
      </c>
      <c r="L1466">
        <v>15.012647115742157</v>
      </c>
      <c r="M1466">
        <v>73.997332439432228</v>
      </c>
      <c r="N1466">
        <v>44.046716008755936</v>
      </c>
      <c r="O1466">
        <v>7.1099999999999994</v>
      </c>
      <c r="P1466">
        <v>-0.96999999999999975</v>
      </c>
      <c r="Q1466">
        <v>1465</v>
      </c>
      <c r="R1466">
        <v>8</v>
      </c>
      <c r="S1466" t="s">
        <v>24</v>
      </c>
      <c r="T1466" t="s">
        <v>612</v>
      </c>
      <c r="U1466">
        <v>1000</v>
      </c>
      <c r="V1466">
        <v>1000</v>
      </c>
    </row>
    <row r="1467" spans="1:22" x14ac:dyDescent="0.3">
      <c r="A1467" t="s">
        <v>1640</v>
      </c>
      <c r="B1467" t="s">
        <v>494</v>
      </c>
      <c r="C1467">
        <v>2.59</v>
      </c>
      <c r="D1467">
        <v>4.99</v>
      </c>
      <c r="E1467">
        <v>6.13</v>
      </c>
      <c r="F1467">
        <v>2.12</v>
      </c>
      <c r="G1467">
        <v>57.851772287862516</v>
      </c>
      <c r="H1467">
        <v>28.242964996568297</v>
      </c>
      <c r="I1467">
        <v>38.695960311835577</v>
      </c>
      <c r="J1467">
        <v>39.391224112460783</v>
      </c>
      <c r="K1467">
        <v>23.371647509578541</v>
      </c>
      <c r="L1467">
        <v>15.016056477067554</v>
      </c>
      <c r="M1467">
        <v>73.991427252395269</v>
      </c>
      <c r="N1467">
        <v>44.036380746723843</v>
      </c>
      <c r="O1467">
        <v>7.1099999999999994</v>
      </c>
      <c r="P1467">
        <v>-0.97999999999999954</v>
      </c>
      <c r="Q1467">
        <v>1466</v>
      </c>
      <c r="R1467">
        <v>9</v>
      </c>
      <c r="S1467" t="s">
        <v>24</v>
      </c>
      <c r="T1467" t="s">
        <v>612</v>
      </c>
      <c r="U1467">
        <v>1000</v>
      </c>
      <c r="V1467">
        <v>1000</v>
      </c>
    </row>
    <row r="1468" spans="1:22" x14ac:dyDescent="0.3">
      <c r="A1468" t="s">
        <v>1641</v>
      </c>
      <c r="B1468" t="s">
        <v>86</v>
      </c>
      <c r="C1468">
        <v>-0.92</v>
      </c>
      <c r="D1468">
        <v>12.47</v>
      </c>
      <c r="E1468">
        <v>5.47</v>
      </c>
      <c r="F1468">
        <v>2.54</v>
      </c>
      <c r="G1468">
        <v>50.311493018259931</v>
      </c>
      <c r="H1468">
        <v>41.077556623198355</v>
      </c>
      <c r="I1468">
        <v>36.357193479801552</v>
      </c>
      <c r="J1468">
        <v>40.564162330512268</v>
      </c>
      <c r="K1468">
        <v>7.2796934865900331</v>
      </c>
      <c r="L1468">
        <v>7.0977682544421601</v>
      </c>
      <c r="M1468">
        <v>87.706304762956719</v>
      </c>
      <c r="N1468">
        <v>44.028580727642819</v>
      </c>
      <c r="O1468">
        <v>8.6526315789473696</v>
      </c>
      <c r="P1468">
        <v>-3.1826315789473698</v>
      </c>
      <c r="Q1468">
        <v>1467</v>
      </c>
      <c r="R1468">
        <v>17</v>
      </c>
      <c r="S1468" t="s">
        <v>24</v>
      </c>
      <c r="T1468" t="s">
        <v>1620</v>
      </c>
      <c r="U1468">
        <v>1000</v>
      </c>
      <c r="V1468">
        <v>1000</v>
      </c>
    </row>
    <row r="1469" spans="1:22" x14ac:dyDescent="0.3">
      <c r="A1469" t="s">
        <v>1642</v>
      </c>
      <c r="B1469" t="s">
        <v>1331</v>
      </c>
      <c r="C1469">
        <v>5.41</v>
      </c>
      <c r="D1469">
        <v>3.6</v>
      </c>
      <c r="E1469">
        <v>3.69</v>
      </c>
      <c r="F1469">
        <v>1.66</v>
      </c>
      <c r="G1469">
        <v>63.909774436090231</v>
      </c>
      <c r="H1469">
        <v>25.857927247769393</v>
      </c>
      <c r="I1469">
        <v>30.049610205527987</v>
      </c>
      <c r="J1469">
        <v>35.564138164312858</v>
      </c>
      <c r="K1469">
        <v>40.996168582375468</v>
      </c>
      <c r="L1469">
        <v>20.86473900380868</v>
      </c>
      <c r="M1469">
        <v>63.861211958739325</v>
      </c>
      <c r="N1469">
        <v>43.996414217435124</v>
      </c>
      <c r="O1469">
        <v>4.7778125000000005</v>
      </c>
      <c r="P1469">
        <v>-1.0878125000000005</v>
      </c>
      <c r="Q1469">
        <v>1468</v>
      </c>
      <c r="R1469">
        <v>27</v>
      </c>
      <c r="S1469" t="s">
        <v>24</v>
      </c>
      <c r="T1469" t="s">
        <v>1422</v>
      </c>
      <c r="U1469">
        <v>5000</v>
      </c>
      <c r="V1469">
        <v>1000</v>
      </c>
    </row>
    <row r="1470" spans="1:22" x14ac:dyDescent="0.3">
      <c r="A1470" t="s">
        <v>1643</v>
      </c>
      <c r="B1470" t="s">
        <v>976</v>
      </c>
      <c r="C1470">
        <v>3.68</v>
      </c>
      <c r="D1470">
        <v>3.04</v>
      </c>
      <c r="E1470">
        <v>3.78</v>
      </c>
      <c r="F1470">
        <v>1.7</v>
      </c>
      <c r="G1470">
        <v>60.193340494092375</v>
      </c>
      <c r="H1470">
        <v>24.897048730267677</v>
      </c>
      <c r="I1470">
        <v>30.368532955350812</v>
      </c>
      <c r="J1470">
        <v>34.692049195574185</v>
      </c>
      <c r="K1470">
        <v>39.463601532567047</v>
      </c>
      <c r="L1470">
        <v>18.996861568100087</v>
      </c>
      <c r="M1470">
        <v>67.096470579698078</v>
      </c>
      <c r="N1470">
        <v>43.986042625853372</v>
      </c>
      <c r="O1470">
        <v>4.3111111111111109</v>
      </c>
      <c r="P1470">
        <v>-0.53111111111111109</v>
      </c>
      <c r="Q1470">
        <v>1469</v>
      </c>
      <c r="R1470">
        <v>42</v>
      </c>
      <c r="S1470" t="s">
        <v>24</v>
      </c>
      <c r="T1470" t="s">
        <v>977</v>
      </c>
      <c r="U1470">
        <v>5000</v>
      </c>
      <c r="V1470">
        <v>1000</v>
      </c>
    </row>
    <row r="1471" spans="1:22" x14ac:dyDescent="0.3">
      <c r="A1471" t="s">
        <v>1644</v>
      </c>
      <c r="B1471" t="s">
        <v>494</v>
      </c>
      <c r="C1471">
        <v>1.1299999999999999</v>
      </c>
      <c r="D1471">
        <v>5.52</v>
      </c>
      <c r="E1471">
        <v>5.75</v>
      </c>
      <c r="F1471">
        <v>2.17</v>
      </c>
      <c r="G1471">
        <v>54.715359828141771</v>
      </c>
      <c r="H1471">
        <v>29.152367879203844</v>
      </c>
      <c r="I1471">
        <v>37.349397590361441</v>
      </c>
      <c r="J1471">
        <v>38.363481124570228</v>
      </c>
      <c r="K1471">
        <v>21.455938697318011</v>
      </c>
      <c r="L1471">
        <v>13.052678511267832</v>
      </c>
      <c r="M1471">
        <v>77.392097643621625</v>
      </c>
      <c r="N1471">
        <v>43.893749647520025</v>
      </c>
      <c r="O1471">
        <v>7.1099999999999994</v>
      </c>
      <c r="P1471">
        <v>-1.3599999999999994</v>
      </c>
      <c r="Q1471">
        <v>1470</v>
      </c>
      <c r="R1471">
        <v>10</v>
      </c>
      <c r="S1471" t="s">
        <v>24</v>
      </c>
      <c r="T1471" t="s">
        <v>141</v>
      </c>
      <c r="U1471">
        <v>5000</v>
      </c>
      <c r="V1471">
        <v>1000</v>
      </c>
    </row>
    <row r="1472" spans="1:22" x14ac:dyDescent="0.3">
      <c r="A1472" t="s">
        <v>1645</v>
      </c>
      <c r="B1472" t="s">
        <v>520</v>
      </c>
      <c r="C1472">
        <v>6.21</v>
      </c>
      <c r="D1472">
        <v>3.59</v>
      </c>
      <c r="E1472">
        <v>4</v>
      </c>
      <c r="F1472">
        <v>1.69</v>
      </c>
      <c r="G1472">
        <v>65.628356605800207</v>
      </c>
      <c r="H1472">
        <v>25.840768702814003</v>
      </c>
      <c r="I1472">
        <v>31.148121899362152</v>
      </c>
      <c r="J1472">
        <v>36.451962881685319</v>
      </c>
      <c r="K1472">
        <v>39.846743295019159</v>
      </c>
      <c r="L1472">
        <v>21.60288072804882</v>
      </c>
      <c r="M1472">
        <v>62.582712989168904</v>
      </c>
      <c r="N1472">
        <v>43.833345511889675</v>
      </c>
      <c r="O1472">
        <v>4.625</v>
      </c>
      <c r="P1472">
        <v>-0.625</v>
      </c>
      <c r="Q1472">
        <v>1471</v>
      </c>
      <c r="R1472">
        <v>43</v>
      </c>
      <c r="S1472" t="s">
        <v>24</v>
      </c>
      <c r="T1472" t="s">
        <v>521</v>
      </c>
      <c r="U1472">
        <v>5000</v>
      </c>
      <c r="V1472">
        <v>1000</v>
      </c>
    </row>
    <row r="1473" spans="1:22" x14ac:dyDescent="0.3">
      <c r="A1473" t="s">
        <v>1646</v>
      </c>
      <c r="B1473" t="s">
        <v>148</v>
      </c>
      <c r="C1473">
        <v>-0.25</v>
      </c>
      <c r="D1473">
        <v>8.18</v>
      </c>
      <c r="E1473">
        <v>7.28</v>
      </c>
      <c r="F1473">
        <v>2.5499999999999998</v>
      </c>
      <c r="G1473">
        <v>51.750805585392044</v>
      </c>
      <c r="H1473">
        <v>33.716540837336993</v>
      </c>
      <c r="I1473">
        <v>42.771084337349393</v>
      </c>
      <c r="J1473">
        <v>41.850665536954203</v>
      </c>
      <c r="K1473">
        <v>6.8965517241379448</v>
      </c>
      <c r="L1473">
        <v>9.0171582431228163</v>
      </c>
      <c r="M1473">
        <v>84.381823783022767</v>
      </c>
      <c r="N1473">
        <v>43.744926645267284</v>
      </c>
      <c r="O1473">
        <v>10.461</v>
      </c>
      <c r="P1473">
        <v>-3.181</v>
      </c>
      <c r="Q1473">
        <v>1472</v>
      </c>
      <c r="R1473">
        <v>37</v>
      </c>
      <c r="S1473" t="s">
        <v>24</v>
      </c>
      <c r="T1473" t="s">
        <v>78</v>
      </c>
      <c r="U1473">
        <v>5000</v>
      </c>
      <c r="V1473">
        <v>1000</v>
      </c>
    </row>
    <row r="1474" spans="1:22" x14ac:dyDescent="0.3">
      <c r="A1474" t="s">
        <v>1647</v>
      </c>
      <c r="B1474" t="s">
        <v>148</v>
      </c>
      <c r="C1474">
        <v>-0.25</v>
      </c>
      <c r="D1474">
        <v>8.18</v>
      </c>
      <c r="E1474">
        <v>7.28</v>
      </c>
      <c r="F1474">
        <v>2.5499999999999998</v>
      </c>
      <c r="G1474">
        <v>51.750805585392044</v>
      </c>
      <c r="H1474">
        <v>33.716540837336993</v>
      </c>
      <c r="I1474">
        <v>42.771084337349393</v>
      </c>
      <c r="J1474">
        <v>41.850665536954203</v>
      </c>
      <c r="K1474">
        <v>6.8965517241379448</v>
      </c>
      <c r="L1474">
        <v>9.0171582431228163</v>
      </c>
      <c r="M1474">
        <v>84.381823783022767</v>
      </c>
      <c r="N1474">
        <v>43.744926645267284</v>
      </c>
      <c r="O1474">
        <v>10.461</v>
      </c>
      <c r="P1474">
        <v>-3.181</v>
      </c>
      <c r="Q1474">
        <v>1472</v>
      </c>
      <c r="R1474">
        <v>37</v>
      </c>
      <c r="S1474" t="s">
        <v>24</v>
      </c>
      <c r="T1474" t="s">
        <v>78</v>
      </c>
      <c r="U1474">
        <v>5000</v>
      </c>
      <c r="V1474">
        <v>1000</v>
      </c>
    </row>
    <row r="1475" spans="1:22" x14ac:dyDescent="0.3">
      <c r="A1475" t="s">
        <v>1648</v>
      </c>
      <c r="B1475" t="s">
        <v>520</v>
      </c>
      <c r="C1475">
        <v>4.83</v>
      </c>
      <c r="D1475">
        <v>2.35</v>
      </c>
      <c r="E1475">
        <v>5.03</v>
      </c>
      <c r="F1475">
        <v>1.8</v>
      </c>
      <c r="G1475">
        <v>62.663802363050479</v>
      </c>
      <c r="H1475">
        <v>23.71310912834592</v>
      </c>
      <c r="I1475">
        <v>34.798015591778878</v>
      </c>
      <c r="J1475">
        <v>37.045701007003309</v>
      </c>
      <c r="K1475">
        <v>35.632183908045967</v>
      </c>
      <c r="L1475">
        <v>20.068772289094206</v>
      </c>
      <c r="M1475">
        <v>65.239866749758477</v>
      </c>
      <c r="N1475">
        <v>43.740863167952767</v>
      </c>
      <c r="O1475">
        <v>4.625</v>
      </c>
      <c r="P1475">
        <v>0.40500000000000025</v>
      </c>
      <c r="Q1475">
        <v>1474</v>
      </c>
      <c r="R1475">
        <v>44</v>
      </c>
      <c r="S1475" t="s">
        <v>24</v>
      </c>
      <c r="T1475" t="s">
        <v>521</v>
      </c>
      <c r="U1475">
        <v>1000</v>
      </c>
      <c r="V1475">
        <v>1000</v>
      </c>
    </row>
    <row r="1476" spans="1:22" x14ac:dyDescent="0.3">
      <c r="A1476" t="s">
        <v>1649</v>
      </c>
      <c r="B1476" t="s">
        <v>138</v>
      </c>
      <c r="C1476">
        <v>-0.44</v>
      </c>
      <c r="D1476">
        <v>10.37</v>
      </c>
      <c r="E1476">
        <v>5.89</v>
      </c>
      <c r="F1476">
        <v>2.5299999999999998</v>
      </c>
      <c r="G1476">
        <v>51.342642320085929</v>
      </c>
      <c r="H1476">
        <v>37.474262182566918</v>
      </c>
      <c r="I1476">
        <v>37.845499645641389</v>
      </c>
      <c r="J1476">
        <v>40.433556941607961</v>
      </c>
      <c r="K1476">
        <v>7.6628352490421436</v>
      </c>
      <c r="L1476">
        <v>7.9019264029626948</v>
      </c>
      <c r="M1476">
        <v>86.313461992398629</v>
      </c>
      <c r="N1476">
        <v>43.710852781164178</v>
      </c>
      <c r="O1476">
        <v>9.219019607843137</v>
      </c>
      <c r="P1476">
        <v>-3.3290196078431373</v>
      </c>
      <c r="Q1476">
        <v>1475</v>
      </c>
      <c r="R1476">
        <v>48</v>
      </c>
      <c r="S1476" t="s">
        <v>24</v>
      </c>
      <c r="T1476" t="s">
        <v>134</v>
      </c>
      <c r="U1476">
        <v>5000</v>
      </c>
      <c r="V1476">
        <v>1000</v>
      </c>
    </row>
    <row r="1477" spans="1:22" x14ac:dyDescent="0.3">
      <c r="A1477" t="s">
        <v>1650</v>
      </c>
      <c r="B1477" t="s">
        <v>138</v>
      </c>
      <c r="C1477">
        <v>-0.43</v>
      </c>
      <c r="D1477">
        <v>10.37</v>
      </c>
      <c r="E1477">
        <v>5.89</v>
      </c>
      <c r="F1477">
        <v>2.5299999999999998</v>
      </c>
      <c r="G1477">
        <v>51.364124597207308</v>
      </c>
      <c r="H1477">
        <v>37.474262182566918</v>
      </c>
      <c r="I1477">
        <v>37.845499645641389</v>
      </c>
      <c r="J1477">
        <v>40.437853397032228</v>
      </c>
      <c r="K1477">
        <v>7.6628352490421436</v>
      </c>
      <c r="L1477">
        <v>7.9143257844317816</v>
      </c>
      <c r="M1477">
        <v>86.291985633711747</v>
      </c>
      <c r="N1477">
        <v>43.707631919204587</v>
      </c>
      <c r="O1477">
        <v>9.219019607843137</v>
      </c>
      <c r="P1477">
        <v>-3.3290196078431373</v>
      </c>
      <c r="Q1477">
        <v>1476</v>
      </c>
      <c r="R1477">
        <v>49</v>
      </c>
      <c r="S1477" t="s">
        <v>24</v>
      </c>
      <c r="T1477" t="s">
        <v>134</v>
      </c>
      <c r="U1477">
        <v>5000</v>
      </c>
      <c r="V1477">
        <v>1000</v>
      </c>
    </row>
    <row r="1478" spans="1:22" x14ac:dyDescent="0.3">
      <c r="A1478" t="s">
        <v>1651</v>
      </c>
      <c r="B1478" t="s">
        <v>445</v>
      </c>
      <c r="C1478">
        <v>3.08</v>
      </c>
      <c r="D1478">
        <v>7.46</v>
      </c>
      <c r="E1478">
        <v>5.08</v>
      </c>
      <c r="F1478">
        <v>2.16</v>
      </c>
      <c r="G1478">
        <v>58.904403866809886</v>
      </c>
      <c r="H1478">
        <v>32.481125600549078</v>
      </c>
      <c r="I1478">
        <v>34.975194897236001</v>
      </c>
      <c r="J1478">
        <v>39.012815902144702</v>
      </c>
      <c r="K1478">
        <v>21.839080459770098</v>
      </c>
      <c r="L1478">
        <v>14.588905932833931</v>
      </c>
      <c r="M1478">
        <v>74.731273697488604</v>
      </c>
      <c r="N1478">
        <v>43.648996490387027</v>
      </c>
      <c r="O1478">
        <v>5.7759259259259252</v>
      </c>
      <c r="P1478">
        <v>-0.69592592592592517</v>
      </c>
      <c r="Q1478">
        <v>1477</v>
      </c>
      <c r="R1478">
        <v>31</v>
      </c>
      <c r="S1478" t="s">
        <v>24</v>
      </c>
      <c r="T1478" t="s">
        <v>612</v>
      </c>
      <c r="U1478">
        <v>5000</v>
      </c>
      <c r="V1478">
        <v>1000</v>
      </c>
    </row>
    <row r="1479" spans="1:22" x14ac:dyDescent="0.3">
      <c r="A1479" t="s">
        <v>1652</v>
      </c>
      <c r="B1479" t="s">
        <v>520</v>
      </c>
      <c r="C1479">
        <v>6.2</v>
      </c>
      <c r="D1479">
        <v>3.47</v>
      </c>
      <c r="E1479">
        <v>3.89</v>
      </c>
      <c r="F1479">
        <v>1.69</v>
      </c>
      <c r="G1479">
        <v>65.606874328678842</v>
      </c>
      <c r="H1479">
        <v>25.634866163349351</v>
      </c>
      <c r="I1479">
        <v>30.75832742735648</v>
      </c>
      <c r="J1479">
        <v>36.190998428418816</v>
      </c>
      <c r="K1479">
        <v>39.846743295019159</v>
      </c>
      <c r="L1479">
        <v>21.750220356073839</v>
      </c>
      <c r="M1479">
        <v>62.327513267461271</v>
      </c>
      <c r="N1479">
        <v>43.639063354829517</v>
      </c>
      <c r="O1479">
        <v>4.625</v>
      </c>
      <c r="P1479">
        <v>-0.73499999999999988</v>
      </c>
      <c r="Q1479">
        <v>1478</v>
      </c>
      <c r="R1479">
        <v>45</v>
      </c>
      <c r="S1479" t="s">
        <v>24</v>
      </c>
      <c r="T1479" t="s">
        <v>521</v>
      </c>
      <c r="U1479">
        <v>5000</v>
      </c>
      <c r="V1479">
        <v>1000</v>
      </c>
    </row>
    <row r="1480" spans="1:22" x14ac:dyDescent="0.3">
      <c r="A1480" t="s">
        <v>1653</v>
      </c>
      <c r="B1480" t="s">
        <v>520</v>
      </c>
      <c r="C1480">
        <v>4.83</v>
      </c>
      <c r="D1480">
        <v>2.35</v>
      </c>
      <c r="E1480">
        <v>4.93</v>
      </c>
      <c r="F1480">
        <v>1.8</v>
      </c>
      <c r="G1480">
        <v>62.663802363050479</v>
      </c>
      <c r="H1480">
        <v>23.71310912834592</v>
      </c>
      <c r="I1480">
        <v>34.443656980864631</v>
      </c>
      <c r="J1480">
        <v>36.868521701546186</v>
      </c>
      <c r="K1480">
        <v>35.632183908045967</v>
      </c>
      <c r="L1480">
        <v>20.119135858144929</v>
      </c>
      <c r="M1480">
        <v>65.152634489312106</v>
      </c>
      <c r="N1480">
        <v>43.630465450112609</v>
      </c>
      <c r="O1480">
        <v>4.625</v>
      </c>
      <c r="P1480">
        <v>0.30499999999999972</v>
      </c>
      <c r="Q1480">
        <v>1479</v>
      </c>
      <c r="R1480">
        <v>46</v>
      </c>
      <c r="S1480" t="s">
        <v>24</v>
      </c>
      <c r="T1480" t="s">
        <v>521</v>
      </c>
      <c r="U1480">
        <v>1000</v>
      </c>
      <c r="V1480">
        <v>1000</v>
      </c>
    </row>
    <row r="1481" spans="1:22" x14ac:dyDescent="0.3">
      <c r="A1481" t="s">
        <v>1654</v>
      </c>
      <c r="B1481" t="s">
        <v>77</v>
      </c>
      <c r="C1481">
        <v>2.99</v>
      </c>
      <c r="D1481">
        <v>16.25</v>
      </c>
      <c r="E1481">
        <v>2.3199999999999998</v>
      </c>
      <c r="F1481">
        <v>2.0299999999999998</v>
      </c>
      <c r="G1481">
        <v>58.711063372717511</v>
      </c>
      <c r="H1481">
        <v>47.563486616334941</v>
      </c>
      <c r="I1481">
        <v>25.194897236002834</v>
      </c>
      <c r="J1481">
        <v>38.608707277445397</v>
      </c>
      <c r="K1481">
        <v>26.819923371647512</v>
      </c>
      <c r="L1481">
        <v>17.068272959447338</v>
      </c>
      <c r="M1481">
        <v>70.436884036783198</v>
      </c>
      <c r="N1481">
        <v>43.618555490830374</v>
      </c>
      <c r="O1481">
        <v>9.0435999999999996</v>
      </c>
      <c r="P1481">
        <v>-6.7235999999999994</v>
      </c>
      <c r="Q1481">
        <v>1480</v>
      </c>
      <c r="R1481">
        <v>24</v>
      </c>
      <c r="S1481" t="s">
        <v>24</v>
      </c>
      <c r="T1481" t="s">
        <v>78</v>
      </c>
      <c r="U1481">
        <v>1000</v>
      </c>
      <c r="V1481">
        <v>1000</v>
      </c>
    </row>
    <row r="1482" spans="1:22" x14ac:dyDescent="0.3">
      <c r="A1482" t="s">
        <v>1655</v>
      </c>
      <c r="B1482" t="s">
        <v>77</v>
      </c>
      <c r="C1482">
        <v>2.99</v>
      </c>
      <c r="D1482">
        <v>16.25</v>
      </c>
      <c r="E1482">
        <v>2.31</v>
      </c>
      <c r="F1482">
        <v>2.0299999999999998</v>
      </c>
      <c r="G1482">
        <v>58.711063372717511</v>
      </c>
      <c r="H1482">
        <v>47.563486616334941</v>
      </c>
      <c r="I1482">
        <v>25.159461374911409</v>
      </c>
      <c r="J1482">
        <v>38.59098934689969</v>
      </c>
      <c r="K1482">
        <v>26.819923371647512</v>
      </c>
      <c r="L1482">
        <v>17.087611551340199</v>
      </c>
      <c r="M1482">
        <v>70.403388613077936</v>
      </c>
      <c r="N1482">
        <v>43.601322669631209</v>
      </c>
      <c r="O1482">
        <v>9.0435999999999996</v>
      </c>
      <c r="P1482">
        <v>-6.7335999999999991</v>
      </c>
      <c r="Q1482">
        <v>1481</v>
      </c>
      <c r="R1482">
        <v>25</v>
      </c>
      <c r="S1482" t="s">
        <v>24</v>
      </c>
      <c r="T1482" t="s">
        <v>78</v>
      </c>
      <c r="U1482">
        <v>1000</v>
      </c>
      <c r="V1482">
        <v>1000</v>
      </c>
    </row>
    <row r="1483" spans="1:22" x14ac:dyDescent="0.3">
      <c r="A1483" t="s">
        <v>1656</v>
      </c>
      <c r="B1483" t="s">
        <v>976</v>
      </c>
      <c r="C1483">
        <v>4.2300000000000004</v>
      </c>
      <c r="D1483">
        <v>3.45</v>
      </c>
      <c r="E1483">
        <v>3.53</v>
      </c>
      <c r="F1483">
        <v>1.72</v>
      </c>
      <c r="G1483">
        <v>61.37486573576799</v>
      </c>
      <c r="H1483">
        <v>25.600549073438579</v>
      </c>
      <c r="I1483">
        <v>29.482636428065202</v>
      </c>
      <c r="J1483">
        <v>34.696456083217775</v>
      </c>
      <c r="K1483">
        <v>38.69731800766283</v>
      </c>
      <c r="L1483">
        <v>19.629852372940675</v>
      </c>
      <c r="M1483">
        <v>66.000098344990263</v>
      </c>
      <c r="N1483">
        <v>43.522582129772161</v>
      </c>
      <c r="O1483">
        <v>4.3111111111111109</v>
      </c>
      <c r="P1483">
        <v>-0.78111111111111109</v>
      </c>
      <c r="Q1483">
        <v>1482</v>
      </c>
      <c r="R1483">
        <v>43</v>
      </c>
      <c r="S1483" t="s">
        <v>24</v>
      </c>
      <c r="T1483" t="s">
        <v>1119</v>
      </c>
      <c r="U1483">
        <v>5000</v>
      </c>
      <c r="V1483">
        <v>1000</v>
      </c>
    </row>
    <row r="1484" spans="1:22" x14ac:dyDescent="0.3">
      <c r="A1484" t="s">
        <v>1657</v>
      </c>
      <c r="B1484" t="s">
        <v>442</v>
      </c>
      <c r="C1484">
        <v>-0.14000000000000001</v>
      </c>
      <c r="D1484">
        <v>8.08</v>
      </c>
      <c r="E1484">
        <v>6.48</v>
      </c>
      <c r="F1484">
        <v>2.4900000000000002</v>
      </c>
      <c r="G1484">
        <v>51.987110633727177</v>
      </c>
      <c r="H1484">
        <v>33.544955387783119</v>
      </c>
      <c r="I1484">
        <v>39.936215450035434</v>
      </c>
      <c r="J1484">
        <v>40.429016468098091</v>
      </c>
      <c r="K1484">
        <v>9.1954022988505635</v>
      </c>
      <c r="L1484">
        <v>9.3646976283911432</v>
      </c>
      <c r="M1484">
        <v>83.779867910106773</v>
      </c>
      <c r="N1484">
        <v>43.458325786288384</v>
      </c>
      <c r="O1484">
        <v>8.6269999999999989</v>
      </c>
      <c r="P1484">
        <v>-2.1469999999999985</v>
      </c>
      <c r="Q1484">
        <v>1483</v>
      </c>
      <c r="R1484">
        <v>10</v>
      </c>
      <c r="S1484" t="s">
        <v>24</v>
      </c>
      <c r="T1484" t="s">
        <v>134</v>
      </c>
      <c r="U1484">
        <v>5000</v>
      </c>
      <c r="V1484">
        <v>1000</v>
      </c>
    </row>
    <row r="1485" spans="1:22" x14ac:dyDescent="0.3">
      <c r="A1485" t="s">
        <v>1658</v>
      </c>
      <c r="B1485" t="s">
        <v>520</v>
      </c>
      <c r="C1485">
        <v>6.2</v>
      </c>
      <c r="D1485">
        <v>3.47</v>
      </c>
      <c r="E1485">
        <v>3.74</v>
      </c>
      <c r="F1485">
        <v>1.69</v>
      </c>
      <c r="G1485">
        <v>65.606874328678842</v>
      </c>
      <c r="H1485">
        <v>25.634866163349351</v>
      </c>
      <c r="I1485">
        <v>30.226789510985121</v>
      </c>
      <c r="J1485">
        <v>35.925229470233134</v>
      </c>
      <c r="K1485">
        <v>39.846743295019159</v>
      </c>
      <c r="L1485">
        <v>21.873109817410249</v>
      </c>
      <c r="M1485">
        <v>62.114662476711842</v>
      </c>
      <c r="N1485">
        <v>43.452966178049323</v>
      </c>
      <c r="O1485">
        <v>4.625</v>
      </c>
      <c r="P1485">
        <v>-0.88499999999999979</v>
      </c>
      <c r="Q1485">
        <v>1484</v>
      </c>
      <c r="R1485">
        <v>47</v>
      </c>
      <c r="S1485" t="s">
        <v>24</v>
      </c>
      <c r="T1485" t="s">
        <v>521</v>
      </c>
      <c r="U1485">
        <v>5000</v>
      </c>
      <c r="V1485">
        <v>1000</v>
      </c>
    </row>
    <row r="1486" spans="1:22" x14ac:dyDescent="0.3">
      <c r="A1486" t="s">
        <v>1659</v>
      </c>
      <c r="B1486" t="s">
        <v>520</v>
      </c>
      <c r="C1486">
        <v>6.2</v>
      </c>
      <c r="D1486">
        <v>3.47</v>
      </c>
      <c r="E1486">
        <v>3.71</v>
      </c>
      <c r="F1486">
        <v>1.69</v>
      </c>
      <c r="G1486">
        <v>65.606874328678842</v>
      </c>
      <c r="H1486">
        <v>25.634866163349351</v>
      </c>
      <c r="I1486">
        <v>30.120481927710841</v>
      </c>
      <c r="J1486">
        <v>35.872075678595991</v>
      </c>
      <c r="K1486">
        <v>39.846743295019159</v>
      </c>
      <c r="L1486">
        <v>21.898121042645553</v>
      </c>
      <c r="M1486">
        <v>62.071341763844742</v>
      </c>
      <c r="N1486">
        <v>43.415559104013973</v>
      </c>
      <c r="O1486">
        <v>4.625</v>
      </c>
      <c r="P1486">
        <v>-0.91500000000000004</v>
      </c>
      <c r="Q1486">
        <v>1485</v>
      </c>
      <c r="R1486">
        <v>48</v>
      </c>
      <c r="S1486" t="s">
        <v>24</v>
      </c>
      <c r="T1486" t="s">
        <v>521</v>
      </c>
      <c r="U1486">
        <v>5000</v>
      </c>
      <c r="V1486">
        <v>1000</v>
      </c>
    </row>
    <row r="1487" spans="1:22" x14ac:dyDescent="0.3">
      <c r="A1487" t="s">
        <v>1660</v>
      </c>
      <c r="B1487" t="s">
        <v>520</v>
      </c>
      <c r="C1487">
        <v>6.2</v>
      </c>
      <c r="D1487">
        <v>3.46</v>
      </c>
      <c r="E1487">
        <v>3.64</v>
      </c>
      <c r="F1487">
        <v>1.69</v>
      </c>
      <c r="G1487">
        <v>65.606874328678842</v>
      </c>
      <c r="H1487">
        <v>25.617707618393965</v>
      </c>
      <c r="I1487">
        <v>29.872430900070867</v>
      </c>
      <c r="J1487">
        <v>35.742902601289387</v>
      </c>
      <c r="K1487">
        <v>39.846743295019159</v>
      </c>
      <c r="L1487">
        <v>21.962796465610442</v>
      </c>
      <c r="M1487">
        <v>61.959320645268548</v>
      </c>
      <c r="N1487">
        <v>43.322967285716622</v>
      </c>
      <c r="O1487">
        <v>4.625</v>
      </c>
      <c r="P1487">
        <v>-0.98499999999999988</v>
      </c>
      <c r="Q1487">
        <v>1486</v>
      </c>
      <c r="R1487">
        <v>49</v>
      </c>
      <c r="S1487" t="s">
        <v>24</v>
      </c>
      <c r="T1487" t="s">
        <v>521</v>
      </c>
      <c r="U1487">
        <v>5000</v>
      </c>
      <c r="V1487">
        <v>1000</v>
      </c>
    </row>
    <row r="1488" spans="1:22" x14ac:dyDescent="0.3">
      <c r="A1488" t="s">
        <v>1661</v>
      </c>
      <c r="B1488" t="s">
        <v>520</v>
      </c>
      <c r="C1488">
        <v>4.38</v>
      </c>
      <c r="D1488">
        <v>2.87</v>
      </c>
      <c r="E1488">
        <v>3.87</v>
      </c>
      <c r="F1488">
        <v>1.75</v>
      </c>
      <c r="G1488">
        <v>61.697099892588611</v>
      </c>
      <c r="H1488">
        <v>24.605353466026088</v>
      </c>
      <c r="I1488">
        <v>30.687455705173633</v>
      </c>
      <c r="J1488">
        <v>35.064753870912369</v>
      </c>
      <c r="K1488">
        <v>37.547892720306521</v>
      </c>
      <c r="L1488">
        <v>19.892995640216082</v>
      </c>
      <c r="M1488">
        <v>65.544320836399578</v>
      </c>
      <c r="N1488">
        <v>43.305430324632709</v>
      </c>
      <c r="O1488">
        <v>4.625</v>
      </c>
      <c r="P1488">
        <v>-0.75499999999999989</v>
      </c>
      <c r="Q1488">
        <v>1487</v>
      </c>
      <c r="R1488">
        <v>50</v>
      </c>
      <c r="S1488" t="s">
        <v>24</v>
      </c>
      <c r="T1488" t="s">
        <v>521</v>
      </c>
      <c r="U1488">
        <v>5000</v>
      </c>
      <c r="V1488">
        <v>1000</v>
      </c>
    </row>
    <row r="1489" spans="1:22" x14ac:dyDescent="0.3">
      <c r="A1489" t="s">
        <v>1662</v>
      </c>
      <c r="B1489" t="s">
        <v>1331</v>
      </c>
      <c r="C1489">
        <v>5.03</v>
      </c>
      <c r="D1489">
        <v>3.28</v>
      </c>
      <c r="E1489">
        <v>2.72</v>
      </c>
      <c r="F1489">
        <v>1.6</v>
      </c>
      <c r="G1489">
        <v>63.093447905477973</v>
      </c>
      <c r="H1489">
        <v>25.308853809196986</v>
      </c>
      <c r="I1489">
        <v>26.612331679659817</v>
      </c>
      <c r="J1489">
        <v>33.5175115636846</v>
      </c>
      <c r="K1489">
        <v>43.295019157088113</v>
      </c>
      <c r="L1489">
        <v>21.448568121054727</v>
      </c>
      <c r="M1489">
        <v>62.849990264731083</v>
      </c>
      <c r="N1489">
        <v>43.295008137297096</v>
      </c>
      <c r="O1489">
        <v>4.7778125000000005</v>
      </c>
      <c r="P1489">
        <v>-2.0578125000000003</v>
      </c>
      <c r="Q1489">
        <v>1488</v>
      </c>
      <c r="R1489">
        <v>28</v>
      </c>
      <c r="S1489" t="s">
        <v>24</v>
      </c>
      <c r="T1489" t="s">
        <v>1422</v>
      </c>
      <c r="U1489">
        <v>1000</v>
      </c>
      <c r="V1489">
        <v>1000</v>
      </c>
    </row>
    <row r="1490" spans="1:22" x14ac:dyDescent="0.3">
      <c r="A1490" t="s">
        <v>1663</v>
      </c>
      <c r="B1490" t="s">
        <v>520</v>
      </c>
      <c r="C1490">
        <v>4.38</v>
      </c>
      <c r="D1490">
        <v>2.87</v>
      </c>
      <c r="E1490">
        <v>3.86</v>
      </c>
      <c r="F1490">
        <v>1.75</v>
      </c>
      <c r="G1490">
        <v>61.697099892588611</v>
      </c>
      <c r="H1490">
        <v>24.605353466026088</v>
      </c>
      <c r="I1490">
        <v>30.652019844082211</v>
      </c>
      <c r="J1490">
        <v>35.047035940366655</v>
      </c>
      <c r="K1490">
        <v>37.547892720306521</v>
      </c>
      <c r="L1490">
        <v>19.900405450132997</v>
      </c>
      <c r="M1490">
        <v>65.531486669149047</v>
      </c>
      <c r="N1490">
        <v>43.293362817547219</v>
      </c>
      <c r="O1490">
        <v>4.625</v>
      </c>
      <c r="P1490">
        <v>-0.76500000000000012</v>
      </c>
      <c r="Q1490">
        <v>1489</v>
      </c>
      <c r="R1490">
        <v>51</v>
      </c>
      <c r="S1490" t="s">
        <v>24</v>
      </c>
      <c r="T1490" t="s">
        <v>521</v>
      </c>
      <c r="U1490">
        <v>5000</v>
      </c>
      <c r="V1490">
        <v>1000</v>
      </c>
    </row>
    <row r="1491" spans="1:22" x14ac:dyDescent="0.3">
      <c r="A1491" t="s">
        <v>1664</v>
      </c>
      <c r="B1491" t="s">
        <v>445</v>
      </c>
      <c r="C1491">
        <v>-0.47</v>
      </c>
      <c r="D1491">
        <v>3.98</v>
      </c>
      <c r="E1491">
        <v>4.93</v>
      </c>
      <c r="F1491">
        <v>2.1</v>
      </c>
      <c r="G1491">
        <v>51.278195488721799</v>
      </c>
      <c r="H1491">
        <v>26.509951956074129</v>
      </c>
      <c r="I1491">
        <v>34.443656980864631</v>
      </c>
      <c r="J1491">
        <v>35.430453174998917</v>
      </c>
      <c r="K1491">
        <v>24.137931034482762</v>
      </c>
      <c r="L1491">
        <v>12.647867078981177</v>
      </c>
      <c r="M1491">
        <v>78.093251611826844</v>
      </c>
      <c r="N1491">
        <v>43.27302224907686</v>
      </c>
      <c r="O1491">
        <v>5.7759259259259252</v>
      </c>
      <c r="P1491">
        <v>-0.84592592592592553</v>
      </c>
      <c r="Q1491">
        <v>1490</v>
      </c>
      <c r="R1491">
        <v>32</v>
      </c>
      <c r="S1491" t="s">
        <v>24</v>
      </c>
      <c r="T1491" t="s">
        <v>612</v>
      </c>
      <c r="U1491">
        <v>1000</v>
      </c>
      <c r="V1491">
        <v>1000</v>
      </c>
    </row>
    <row r="1492" spans="1:22" x14ac:dyDescent="0.3">
      <c r="A1492" t="s">
        <v>1665</v>
      </c>
      <c r="B1492" t="s">
        <v>585</v>
      </c>
      <c r="C1492">
        <v>4.78</v>
      </c>
      <c r="D1492">
        <v>7.29</v>
      </c>
      <c r="E1492">
        <v>5.05</v>
      </c>
      <c r="F1492">
        <v>2.13</v>
      </c>
      <c r="G1492">
        <v>62.556390977443613</v>
      </c>
      <c r="H1492">
        <v>32.189430336307481</v>
      </c>
      <c r="I1492">
        <v>34.868887313961729</v>
      </c>
      <c r="J1492">
        <v>39.602550953361828</v>
      </c>
      <c r="K1492">
        <v>22.988505747126432</v>
      </c>
      <c r="L1492">
        <v>16.812344905806238</v>
      </c>
      <c r="M1492">
        <v>70.880164428771806</v>
      </c>
      <c r="N1492">
        <v>43.268443020655468</v>
      </c>
      <c r="O1492">
        <v>6.6483333333333334</v>
      </c>
      <c r="P1492">
        <v>-1.5983333333333336</v>
      </c>
      <c r="Q1492">
        <v>1491</v>
      </c>
      <c r="R1492">
        <v>7</v>
      </c>
      <c r="S1492" t="s">
        <v>24</v>
      </c>
      <c r="T1492" t="s">
        <v>425</v>
      </c>
      <c r="U1492">
        <v>1000</v>
      </c>
      <c r="V1492">
        <v>1000</v>
      </c>
    </row>
    <row r="1493" spans="1:22" x14ac:dyDescent="0.3">
      <c r="A1493" t="s">
        <v>1666</v>
      </c>
      <c r="B1493" t="s">
        <v>965</v>
      </c>
      <c r="C1493">
        <v>7.54</v>
      </c>
      <c r="D1493">
        <v>3.84</v>
      </c>
      <c r="E1493">
        <v>4.3</v>
      </c>
      <c r="F1493">
        <v>1.76</v>
      </c>
      <c r="G1493">
        <v>68.485499462943068</v>
      </c>
      <c r="H1493">
        <v>26.269732326698701</v>
      </c>
      <c r="I1493">
        <v>32.211197732104893</v>
      </c>
      <c r="J1493">
        <v>37.68361845665067</v>
      </c>
      <c r="K1493">
        <v>37.164750957854409</v>
      </c>
      <c r="L1493">
        <v>22.852049405269021</v>
      </c>
      <c r="M1493">
        <v>60.419089372999906</v>
      </c>
      <c r="N1493">
        <v>43.237769311038917</v>
      </c>
      <c r="O1493">
        <v>4.3271875</v>
      </c>
      <c r="P1493">
        <v>-2.7187500000000142E-2</v>
      </c>
      <c r="Q1493">
        <v>1492</v>
      </c>
      <c r="R1493">
        <v>16</v>
      </c>
      <c r="S1493" t="s">
        <v>24</v>
      </c>
      <c r="T1493" t="s">
        <v>968</v>
      </c>
      <c r="U1493">
        <v>5000</v>
      </c>
      <c r="V1493">
        <v>1000</v>
      </c>
    </row>
    <row r="1494" spans="1:22" x14ac:dyDescent="0.3">
      <c r="A1494" t="s">
        <v>1667</v>
      </c>
      <c r="B1494" t="s">
        <v>965</v>
      </c>
      <c r="C1494">
        <v>4.71</v>
      </c>
      <c r="D1494">
        <v>1.9</v>
      </c>
      <c r="E1494">
        <v>4.59</v>
      </c>
      <c r="F1494">
        <v>1.78</v>
      </c>
      <c r="G1494">
        <v>62.406015037593974</v>
      </c>
      <c r="H1494">
        <v>22.940974605353471</v>
      </c>
      <c r="I1494">
        <v>33.238837703756197</v>
      </c>
      <c r="J1494">
        <v>35.982914241002931</v>
      </c>
      <c r="K1494">
        <v>36.398467432950184</v>
      </c>
      <c r="L1494">
        <v>20.470546460444751</v>
      </c>
      <c r="M1494">
        <v>64.543973471810446</v>
      </c>
      <c r="N1494">
        <v>43.227067346691626</v>
      </c>
      <c r="O1494">
        <v>4.3271875</v>
      </c>
      <c r="P1494">
        <v>0.26281249999999989</v>
      </c>
      <c r="Q1494">
        <v>1493</v>
      </c>
      <c r="R1494">
        <v>17</v>
      </c>
      <c r="S1494" t="s">
        <v>24</v>
      </c>
      <c r="T1494" t="s">
        <v>968</v>
      </c>
      <c r="U1494">
        <v>5000</v>
      </c>
      <c r="V1494">
        <v>1000</v>
      </c>
    </row>
    <row r="1495" spans="1:22" x14ac:dyDescent="0.3">
      <c r="A1495" t="s">
        <v>1668</v>
      </c>
      <c r="B1495" t="s">
        <v>965</v>
      </c>
      <c r="C1495">
        <v>4.71</v>
      </c>
      <c r="D1495">
        <v>1.9</v>
      </c>
      <c r="E1495">
        <v>4.59</v>
      </c>
      <c r="F1495">
        <v>1.78</v>
      </c>
      <c r="G1495">
        <v>62.406015037593974</v>
      </c>
      <c r="H1495">
        <v>22.940974605353471</v>
      </c>
      <c r="I1495">
        <v>33.238837703756197</v>
      </c>
      <c r="J1495">
        <v>35.982914241002931</v>
      </c>
      <c r="K1495">
        <v>36.398467432950184</v>
      </c>
      <c r="L1495">
        <v>20.470546460444751</v>
      </c>
      <c r="M1495">
        <v>64.543973471810446</v>
      </c>
      <c r="N1495">
        <v>43.227067346691626</v>
      </c>
      <c r="O1495">
        <v>4.3271875</v>
      </c>
      <c r="P1495">
        <v>0.26281249999999989</v>
      </c>
      <c r="Q1495">
        <v>1493</v>
      </c>
      <c r="R1495">
        <v>17</v>
      </c>
      <c r="S1495" t="s">
        <v>24</v>
      </c>
      <c r="T1495" t="s">
        <v>968</v>
      </c>
      <c r="U1495">
        <v>5000</v>
      </c>
      <c r="V1495">
        <v>1000</v>
      </c>
    </row>
    <row r="1496" spans="1:22" x14ac:dyDescent="0.3">
      <c r="A1496" t="s">
        <v>1669</v>
      </c>
      <c r="B1496" t="s">
        <v>445</v>
      </c>
      <c r="C1496">
        <v>0.67</v>
      </c>
      <c r="D1496">
        <v>5.71</v>
      </c>
      <c r="E1496">
        <v>4.95</v>
      </c>
      <c r="F1496">
        <v>2.1800000000000002</v>
      </c>
      <c r="G1496">
        <v>53.727175080558531</v>
      </c>
      <c r="H1496">
        <v>29.478380233356216</v>
      </c>
      <c r="I1496">
        <v>34.514528703047482</v>
      </c>
      <c r="J1496">
        <v>36.846213437642312</v>
      </c>
      <c r="K1496">
        <v>21.072796934865899</v>
      </c>
      <c r="L1496">
        <v>12.796435856504262</v>
      </c>
      <c r="M1496">
        <v>77.835922940738456</v>
      </c>
      <c r="N1496">
        <v>43.150286687722243</v>
      </c>
      <c r="O1496">
        <v>5.7759259259259252</v>
      </c>
      <c r="P1496">
        <v>-0.82592592592592506</v>
      </c>
      <c r="Q1496">
        <v>1495</v>
      </c>
      <c r="R1496">
        <v>33</v>
      </c>
      <c r="S1496" t="s">
        <v>24</v>
      </c>
      <c r="T1496" t="s">
        <v>612</v>
      </c>
      <c r="U1496">
        <v>5000</v>
      </c>
      <c r="V1496">
        <v>1000</v>
      </c>
    </row>
    <row r="1497" spans="1:22" x14ac:dyDescent="0.3">
      <c r="A1497" t="s">
        <v>1670</v>
      </c>
      <c r="B1497" t="s">
        <v>921</v>
      </c>
      <c r="C1497">
        <v>4.72</v>
      </c>
      <c r="D1497">
        <v>2.65</v>
      </c>
      <c r="E1497">
        <v>2.83</v>
      </c>
      <c r="F1497">
        <v>1.61</v>
      </c>
      <c r="G1497">
        <v>62.427497314715353</v>
      </c>
      <c r="H1497">
        <v>24.227865477007555</v>
      </c>
      <c r="I1497">
        <v>27.002126151665486</v>
      </c>
      <c r="J1497">
        <v>33.254922181878079</v>
      </c>
      <c r="K1497">
        <v>42.911877394636001</v>
      </c>
      <c r="L1497">
        <v>21.298925312744529</v>
      </c>
      <c r="M1497">
        <v>63.109179211711634</v>
      </c>
      <c r="N1497">
        <v>43.13272524252595</v>
      </c>
      <c r="O1497">
        <v>3.5597297297297299</v>
      </c>
      <c r="P1497">
        <v>-0.72972972972972983</v>
      </c>
      <c r="Q1497">
        <v>1496</v>
      </c>
      <c r="R1497">
        <v>26</v>
      </c>
      <c r="S1497" t="s">
        <v>24</v>
      </c>
      <c r="T1497" t="s">
        <v>922</v>
      </c>
      <c r="U1497">
        <v>1000</v>
      </c>
      <c r="V1497">
        <v>1000</v>
      </c>
    </row>
    <row r="1498" spans="1:22" x14ac:dyDescent="0.3">
      <c r="A1498" t="s">
        <v>1671</v>
      </c>
      <c r="B1498" t="s">
        <v>921</v>
      </c>
      <c r="C1498">
        <v>4.72</v>
      </c>
      <c r="D1498">
        <v>2.65</v>
      </c>
      <c r="E1498">
        <v>2.83</v>
      </c>
      <c r="F1498">
        <v>1.61</v>
      </c>
      <c r="G1498">
        <v>62.427497314715353</v>
      </c>
      <c r="H1498">
        <v>24.227865477007555</v>
      </c>
      <c r="I1498">
        <v>27.002126151665486</v>
      </c>
      <c r="J1498">
        <v>33.254922181878079</v>
      </c>
      <c r="K1498">
        <v>42.911877394636001</v>
      </c>
      <c r="L1498">
        <v>21.298925312744529</v>
      </c>
      <c r="M1498">
        <v>63.109179211711634</v>
      </c>
      <c r="N1498">
        <v>43.13272524252595</v>
      </c>
      <c r="O1498">
        <v>3.5597297297297299</v>
      </c>
      <c r="P1498">
        <v>-0.72972972972972983</v>
      </c>
      <c r="Q1498">
        <v>1496</v>
      </c>
      <c r="R1498">
        <v>26</v>
      </c>
      <c r="S1498" t="s">
        <v>24</v>
      </c>
      <c r="T1498" t="s">
        <v>922</v>
      </c>
      <c r="U1498">
        <v>20000</v>
      </c>
      <c r="V1498">
        <v>1000</v>
      </c>
    </row>
    <row r="1499" spans="1:22" x14ac:dyDescent="0.3">
      <c r="A1499" t="s">
        <v>1672</v>
      </c>
      <c r="B1499" t="s">
        <v>921</v>
      </c>
      <c r="C1499">
        <v>4.74</v>
      </c>
      <c r="D1499">
        <v>2.66</v>
      </c>
      <c r="E1499">
        <v>2.83</v>
      </c>
      <c r="F1499">
        <v>1.61</v>
      </c>
      <c r="G1499">
        <v>62.470461868958104</v>
      </c>
      <c r="H1499">
        <v>24.245024021962941</v>
      </c>
      <c r="I1499">
        <v>27.002126151665486</v>
      </c>
      <c r="J1499">
        <v>33.268662656213252</v>
      </c>
      <c r="K1499">
        <v>42.911877394636001</v>
      </c>
      <c r="L1499">
        <v>21.318179054907873</v>
      </c>
      <c r="M1499">
        <v>63.075830752048894</v>
      </c>
      <c r="N1499">
        <v>43.13125836477785</v>
      </c>
      <c r="O1499">
        <v>3.5597297297297299</v>
      </c>
      <c r="P1499">
        <v>-0.72972972972972983</v>
      </c>
      <c r="Q1499">
        <v>1498</v>
      </c>
      <c r="R1499">
        <v>28</v>
      </c>
      <c r="S1499" t="s">
        <v>24</v>
      </c>
      <c r="T1499" t="s">
        <v>922</v>
      </c>
      <c r="U1499">
        <v>20000</v>
      </c>
      <c r="V1499">
        <v>1000</v>
      </c>
    </row>
    <row r="1500" spans="1:22" x14ac:dyDescent="0.3">
      <c r="A1500" t="s">
        <v>1673</v>
      </c>
      <c r="B1500" t="s">
        <v>921</v>
      </c>
      <c r="C1500">
        <v>4.7300000000000004</v>
      </c>
      <c r="D1500">
        <v>2.65</v>
      </c>
      <c r="E1500">
        <v>2.83</v>
      </c>
      <c r="F1500">
        <v>1.61</v>
      </c>
      <c r="G1500">
        <v>62.448979591836732</v>
      </c>
      <c r="H1500">
        <v>24.227865477007555</v>
      </c>
      <c r="I1500">
        <v>27.002126151665486</v>
      </c>
      <c r="J1500">
        <v>33.259218637302354</v>
      </c>
      <c r="K1500">
        <v>42.911877394636001</v>
      </c>
      <c r="L1500">
        <v>21.311301795364855</v>
      </c>
      <c r="M1500">
        <v>63.08774251499424</v>
      </c>
      <c r="N1500">
        <v>43.129514296058737</v>
      </c>
      <c r="O1500">
        <v>3.5597297297297299</v>
      </c>
      <c r="P1500">
        <v>-0.72972972972972983</v>
      </c>
      <c r="Q1500">
        <v>1499</v>
      </c>
      <c r="R1500">
        <v>29</v>
      </c>
      <c r="S1500" t="s">
        <v>24</v>
      </c>
      <c r="T1500" t="s">
        <v>922</v>
      </c>
      <c r="U1500">
        <v>20000</v>
      </c>
      <c r="V1500">
        <v>1000</v>
      </c>
    </row>
    <row r="1501" spans="1:22" x14ac:dyDescent="0.3">
      <c r="A1501" t="s">
        <v>1674</v>
      </c>
      <c r="B1501" t="s">
        <v>272</v>
      </c>
      <c r="C1501">
        <v>0.11</v>
      </c>
      <c r="D1501">
        <v>9.06</v>
      </c>
      <c r="E1501">
        <v>6.78</v>
      </c>
      <c r="F1501">
        <v>2.61</v>
      </c>
      <c r="G1501">
        <v>52.524167561761544</v>
      </c>
      <c r="H1501">
        <v>35.226492793411126</v>
      </c>
      <c r="I1501">
        <v>40.999291282778174</v>
      </c>
      <c r="J1501">
        <v>41.572426991764736</v>
      </c>
      <c r="K1501">
        <v>4.5977011494252817</v>
      </c>
      <c r="L1501">
        <v>8.8067921518596357</v>
      </c>
      <c r="M1501">
        <v>84.746188541280276</v>
      </c>
      <c r="N1501">
        <v>43.122185918558756</v>
      </c>
      <c r="O1501">
        <v>10.044583333333334</v>
      </c>
      <c r="P1501">
        <v>-3.2645833333333334</v>
      </c>
      <c r="Q1501">
        <v>1500</v>
      </c>
      <c r="R1501">
        <v>47</v>
      </c>
      <c r="S1501" t="s">
        <v>24</v>
      </c>
      <c r="T1501" t="s">
        <v>291</v>
      </c>
      <c r="U1501">
        <v>5000</v>
      </c>
      <c r="V1501">
        <v>1000</v>
      </c>
    </row>
    <row r="1502" spans="1:22" x14ac:dyDescent="0.3">
      <c r="A1502" t="s">
        <v>1675</v>
      </c>
      <c r="B1502" t="s">
        <v>272</v>
      </c>
      <c r="C1502">
        <v>0.11</v>
      </c>
      <c r="D1502">
        <v>9.06</v>
      </c>
      <c r="E1502">
        <v>6.78</v>
      </c>
      <c r="F1502">
        <v>2.61</v>
      </c>
      <c r="G1502">
        <v>52.524167561761544</v>
      </c>
      <c r="H1502">
        <v>35.226492793411126</v>
      </c>
      <c r="I1502">
        <v>40.999291282778174</v>
      </c>
      <c r="J1502">
        <v>41.572426991764736</v>
      </c>
      <c r="K1502">
        <v>4.5977011494252817</v>
      </c>
      <c r="L1502">
        <v>8.8067921518596357</v>
      </c>
      <c r="M1502">
        <v>84.746188541280276</v>
      </c>
      <c r="N1502">
        <v>43.122185918558756</v>
      </c>
      <c r="O1502">
        <v>10.044583333333334</v>
      </c>
      <c r="P1502">
        <v>-3.2645833333333334</v>
      </c>
      <c r="Q1502">
        <v>1500</v>
      </c>
      <c r="R1502">
        <v>47</v>
      </c>
      <c r="S1502" t="s">
        <v>24</v>
      </c>
      <c r="T1502" t="s">
        <v>291</v>
      </c>
      <c r="U1502">
        <v>5000</v>
      </c>
      <c r="V1502">
        <v>1000</v>
      </c>
    </row>
    <row r="1503" spans="1:22" x14ac:dyDescent="0.3">
      <c r="A1503" t="s">
        <v>1676</v>
      </c>
      <c r="B1503" t="s">
        <v>520</v>
      </c>
      <c r="C1503">
        <v>6.2</v>
      </c>
      <c r="D1503">
        <v>3.47</v>
      </c>
      <c r="E1503">
        <v>3.46</v>
      </c>
      <c r="F1503">
        <v>1.69</v>
      </c>
      <c r="G1503">
        <v>65.606874328678842</v>
      </c>
      <c r="H1503">
        <v>25.634866163349351</v>
      </c>
      <c r="I1503">
        <v>29.234585400425228</v>
      </c>
      <c r="J1503">
        <v>35.429127414953186</v>
      </c>
      <c r="K1503">
        <v>39.846743295019159</v>
      </c>
      <c r="L1503">
        <v>22.112073690012664</v>
      </c>
      <c r="M1503">
        <v>61.70076490819104</v>
      </c>
      <c r="N1503">
        <v>43.101440758279146</v>
      </c>
      <c r="O1503">
        <v>4.625</v>
      </c>
      <c r="P1503">
        <v>-1.165</v>
      </c>
      <c r="Q1503">
        <v>1502</v>
      </c>
      <c r="R1503">
        <v>52</v>
      </c>
      <c r="S1503" t="s">
        <v>24</v>
      </c>
      <c r="T1503" t="s">
        <v>521</v>
      </c>
      <c r="U1503">
        <v>5000</v>
      </c>
      <c r="V1503">
        <v>1000</v>
      </c>
    </row>
    <row r="1504" spans="1:22" x14ac:dyDescent="0.3">
      <c r="A1504" t="s">
        <v>1677</v>
      </c>
      <c r="B1504" t="s">
        <v>585</v>
      </c>
      <c r="C1504">
        <v>3.37</v>
      </c>
      <c r="D1504">
        <v>7.32</v>
      </c>
      <c r="E1504">
        <v>6.18</v>
      </c>
      <c r="F1504">
        <v>2.34</v>
      </c>
      <c r="G1504">
        <v>59.527389903329755</v>
      </c>
      <c r="H1504">
        <v>32.240905971173653</v>
      </c>
      <c r="I1504">
        <v>38.873139617292694</v>
      </c>
      <c r="J1504">
        <v>41.014319580664392</v>
      </c>
      <c r="K1504">
        <v>14.942528735632177</v>
      </c>
      <c r="L1504">
        <v>14.231050461313977</v>
      </c>
      <c r="M1504">
        <v>75.35109755592768</v>
      </c>
      <c r="N1504">
        <v>43.080566363222161</v>
      </c>
      <c r="O1504">
        <v>6.6483333333333334</v>
      </c>
      <c r="P1504">
        <v>-0.46833333333333371</v>
      </c>
      <c r="Q1504">
        <v>1503</v>
      </c>
      <c r="R1504">
        <v>8</v>
      </c>
      <c r="S1504" t="s">
        <v>24</v>
      </c>
      <c r="T1504" t="s">
        <v>45</v>
      </c>
      <c r="U1504">
        <v>1000</v>
      </c>
      <c r="V1504">
        <v>1000</v>
      </c>
    </row>
    <row r="1505" spans="1:22" x14ac:dyDescent="0.3">
      <c r="A1505" t="s">
        <v>1678</v>
      </c>
      <c r="B1505" t="s">
        <v>138</v>
      </c>
      <c r="C1505">
        <v>-7.0000000000000007E-2</v>
      </c>
      <c r="D1505">
        <v>6.86</v>
      </c>
      <c r="E1505">
        <v>6.81</v>
      </c>
      <c r="F1505">
        <v>2.4900000000000002</v>
      </c>
      <c r="G1505">
        <v>52.137486573576794</v>
      </c>
      <c r="H1505">
        <v>31.451612903225811</v>
      </c>
      <c r="I1505">
        <v>41.105598866052439</v>
      </c>
      <c r="J1505">
        <v>40.41578061870932</v>
      </c>
      <c r="K1505">
        <v>9.1954022988505635</v>
      </c>
      <c r="L1505">
        <v>10.350582599283969</v>
      </c>
      <c r="M1505">
        <v>82.072265050101834</v>
      </c>
      <c r="N1505">
        <v>43.024807146592764</v>
      </c>
      <c r="O1505">
        <v>9.219019607843137</v>
      </c>
      <c r="P1505">
        <v>-2.4090196078431374</v>
      </c>
      <c r="Q1505">
        <v>1504</v>
      </c>
      <c r="R1505">
        <v>50</v>
      </c>
      <c r="S1505" t="s">
        <v>24</v>
      </c>
      <c r="T1505" t="s">
        <v>134</v>
      </c>
      <c r="U1505">
        <v>5000</v>
      </c>
      <c r="V1505">
        <v>1000</v>
      </c>
    </row>
    <row r="1506" spans="1:22" x14ac:dyDescent="0.3">
      <c r="A1506" t="s">
        <v>1679</v>
      </c>
      <c r="B1506" t="s">
        <v>58</v>
      </c>
      <c r="C1506">
        <v>-8</v>
      </c>
      <c r="D1506">
        <v>3.91</v>
      </c>
      <c r="E1506">
        <v>6.92</v>
      </c>
      <c r="F1506">
        <v>2.37</v>
      </c>
      <c r="G1506">
        <v>35.102040816326529</v>
      </c>
      <c r="H1506">
        <v>26.389842141386417</v>
      </c>
      <c r="I1506">
        <v>41.495393338058115</v>
      </c>
      <c r="J1506">
        <v>35.685057474710291</v>
      </c>
      <c r="K1506">
        <v>13.793103448275845</v>
      </c>
      <c r="L1506">
        <v>7.582381323107203</v>
      </c>
      <c r="M1506">
        <v>86.866930306016997</v>
      </c>
      <c r="N1506">
        <v>43.007537175928356</v>
      </c>
      <c r="O1506">
        <v>11.126842105263158</v>
      </c>
      <c r="P1506">
        <v>-4.2068421052631582</v>
      </c>
      <c r="Q1506">
        <v>1505</v>
      </c>
      <c r="R1506">
        <v>18</v>
      </c>
      <c r="S1506" t="s">
        <v>24</v>
      </c>
      <c r="T1506" t="s">
        <v>1680</v>
      </c>
      <c r="U1506">
        <v>1000</v>
      </c>
      <c r="V1506">
        <v>1000</v>
      </c>
    </row>
    <row r="1507" spans="1:22" x14ac:dyDescent="0.3">
      <c r="A1507" t="s">
        <v>1681</v>
      </c>
      <c r="B1507" t="s">
        <v>58</v>
      </c>
      <c r="C1507">
        <v>-8</v>
      </c>
      <c r="D1507">
        <v>3.91</v>
      </c>
      <c r="E1507">
        <v>6.92</v>
      </c>
      <c r="F1507">
        <v>2.37</v>
      </c>
      <c r="G1507">
        <v>35.102040816326529</v>
      </c>
      <c r="H1507">
        <v>26.389842141386417</v>
      </c>
      <c r="I1507">
        <v>41.495393338058115</v>
      </c>
      <c r="J1507">
        <v>35.685057474710291</v>
      </c>
      <c r="K1507">
        <v>13.793103448275845</v>
      </c>
      <c r="L1507">
        <v>7.582381323107203</v>
      </c>
      <c r="M1507">
        <v>86.866930306016997</v>
      </c>
      <c r="N1507">
        <v>43.007537175928356</v>
      </c>
      <c r="O1507">
        <v>11.126842105263158</v>
      </c>
      <c r="P1507">
        <v>-4.2068421052631582</v>
      </c>
      <c r="Q1507">
        <v>1505</v>
      </c>
      <c r="R1507">
        <v>18</v>
      </c>
      <c r="S1507" t="s">
        <v>24</v>
      </c>
      <c r="T1507" t="s">
        <v>1680</v>
      </c>
      <c r="U1507">
        <v>1000</v>
      </c>
      <c r="V1507">
        <v>1000</v>
      </c>
    </row>
    <row r="1508" spans="1:22" x14ac:dyDescent="0.3">
      <c r="A1508" t="s">
        <v>1682</v>
      </c>
      <c r="B1508" t="s">
        <v>445</v>
      </c>
      <c r="C1508">
        <v>3.08</v>
      </c>
      <c r="D1508">
        <v>7.35</v>
      </c>
      <c r="E1508">
        <v>4.58</v>
      </c>
      <c r="F1508">
        <v>2.16</v>
      </c>
      <c r="G1508">
        <v>58.904403866809886</v>
      </c>
      <c r="H1508">
        <v>32.292381606039811</v>
      </c>
      <c r="I1508">
        <v>33.203401842664775</v>
      </c>
      <c r="J1508">
        <v>38.070296176506311</v>
      </c>
      <c r="K1508">
        <v>21.839080459770098</v>
      </c>
      <c r="L1508">
        <v>15.108337608333867</v>
      </c>
      <c r="M1508">
        <v>73.831591644462094</v>
      </c>
      <c r="N1508">
        <v>42.952816114311204</v>
      </c>
      <c r="O1508">
        <v>5.7759259259259252</v>
      </c>
      <c r="P1508">
        <v>-1.1959259259259252</v>
      </c>
      <c r="Q1508">
        <v>1507</v>
      </c>
      <c r="R1508">
        <v>34</v>
      </c>
      <c r="S1508" t="s">
        <v>24</v>
      </c>
      <c r="T1508" t="s">
        <v>612</v>
      </c>
      <c r="U1508">
        <v>5000</v>
      </c>
      <c r="V1508">
        <v>1000</v>
      </c>
    </row>
    <row r="1509" spans="1:22" x14ac:dyDescent="0.3">
      <c r="A1509" t="s">
        <v>1683</v>
      </c>
      <c r="B1509" t="s">
        <v>965</v>
      </c>
      <c r="C1509">
        <v>7.54</v>
      </c>
      <c r="D1509">
        <v>3.84</v>
      </c>
      <c r="E1509">
        <v>4.0599999999999996</v>
      </c>
      <c r="F1509">
        <v>1.76</v>
      </c>
      <c r="G1509">
        <v>68.485499462943068</v>
      </c>
      <c r="H1509">
        <v>26.269732326698701</v>
      </c>
      <c r="I1509">
        <v>31.360737065910698</v>
      </c>
      <c r="J1509">
        <v>37.258388123553573</v>
      </c>
      <c r="K1509">
        <v>37.164750957854409</v>
      </c>
      <c r="L1509">
        <v>23.044657035100339</v>
      </c>
      <c r="M1509">
        <v>60.085483172206644</v>
      </c>
      <c r="N1509">
        <v>42.941752594292048</v>
      </c>
      <c r="O1509">
        <v>4.3271875</v>
      </c>
      <c r="P1509">
        <v>-0.26718750000000036</v>
      </c>
      <c r="Q1509">
        <v>1508</v>
      </c>
      <c r="R1509">
        <v>19</v>
      </c>
      <c r="S1509" t="s">
        <v>24</v>
      </c>
      <c r="T1509" t="s">
        <v>968</v>
      </c>
      <c r="U1509">
        <v>25000</v>
      </c>
      <c r="V1509">
        <v>1000</v>
      </c>
    </row>
    <row r="1510" spans="1:22" x14ac:dyDescent="0.3">
      <c r="A1510" t="s">
        <v>1684</v>
      </c>
      <c r="B1510" t="s">
        <v>445</v>
      </c>
      <c r="C1510">
        <v>1.31</v>
      </c>
      <c r="D1510">
        <v>6.89</v>
      </c>
      <c r="E1510">
        <v>4.75</v>
      </c>
      <c r="F1510">
        <v>2.2200000000000002</v>
      </c>
      <c r="G1510">
        <v>55.102040816326522</v>
      </c>
      <c r="H1510">
        <v>31.503088538091973</v>
      </c>
      <c r="I1510">
        <v>33.805811481218996</v>
      </c>
      <c r="J1510">
        <v>37.374240465302393</v>
      </c>
      <c r="K1510">
        <v>19.540229885057457</v>
      </c>
      <c r="L1510">
        <v>13.011164856106527</v>
      </c>
      <c r="M1510">
        <v>77.464001403568886</v>
      </c>
      <c r="N1510">
        <v>42.938178054807778</v>
      </c>
      <c r="O1510">
        <v>5.7759259259259252</v>
      </c>
      <c r="P1510">
        <v>-1.0259259259259252</v>
      </c>
      <c r="Q1510">
        <v>1509</v>
      </c>
      <c r="R1510">
        <v>35</v>
      </c>
      <c r="S1510" t="s">
        <v>24</v>
      </c>
      <c r="T1510" t="s">
        <v>45</v>
      </c>
      <c r="U1510">
        <v>1000</v>
      </c>
      <c r="V1510">
        <v>1000</v>
      </c>
    </row>
    <row r="1511" spans="1:22" x14ac:dyDescent="0.3">
      <c r="A1511" t="s">
        <v>1685</v>
      </c>
      <c r="B1511" t="s">
        <v>445</v>
      </c>
      <c r="C1511">
        <v>2.29</v>
      </c>
      <c r="D1511">
        <v>5.39</v>
      </c>
      <c r="E1511">
        <v>5.92</v>
      </c>
      <c r="F1511">
        <v>2.25</v>
      </c>
      <c r="G1511">
        <v>57.207303974221269</v>
      </c>
      <c r="H1511">
        <v>28.929306794783805</v>
      </c>
      <c r="I1511">
        <v>37.951807228915655</v>
      </c>
      <c r="J1511">
        <v>39.096156447737222</v>
      </c>
      <c r="K1511">
        <v>18.390804597701148</v>
      </c>
      <c r="L1511">
        <v>14.444288337567077</v>
      </c>
      <c r="M1511">
        <v>74.981758720159235</v>
      </c>
      <c r="N1511">
        <v>42.891219053333707</v>
      </c>
      <c r="O1511">
        <v>5.7759259259259252</v>
      </c>
      <c r="P1511">
        <v>0.14407407407407469</v>
      </c>
      <c r="Q1511">
        <v>1510</v>
      </c>
      <c r="R1511">
        <v>36</v>
      </c>
      <c r="S1511" t="s">
        <v>24</v>
      </c>
      <c r="T1511" t="s">
        <v>612</v>
      </c>
      <c r="U1511">
        <v>5000</v>
      </c>
      <c r="V1511">
        <v>1000</v>
      </c>
    </row>
    <row r="1512" spans="1:22" x14ac:dyDescent="0.3">
      <c r="A1512" t="s">
        <v>1686</v>
      </c>
      <c r="B1512" t="s">
        <v>965</v>
      </c>
      <c r="C1512">
        <v>7.54</v>
      </c>
      <c r="D1512">
        <v>3.84</v>
      </c>
      <c r="E1512">
        <v>3.89</v>
      </c>
      <c r="F1512">
        <v>1.76</v>
      </c>
      <c r="G1512">
        <v>68.485499462943068</v>
      </c>
      <c r="H1512">
        <v>26.269732326698701</v>
      </c>
      <c r="I1512">
        <v>30.75832742735648</v>
      </c>
      <c r="J1512">
        <v>36.957183304276462</v>
      </c>
      <c r="K1512">
        <v>37.164750957854409</v>
      </c>
      <c r="L1512">
        <v>23.186411216780996</v>
      </c>
      <c r="M1512">
        <v>59.839957727350402</v>
      </c>
      <c r="N1512">
        <v>42.729768823439436</v>
      </c>
      <c r="O1512">
        <v>4.3271875</v>
      </c>
      <c r="P1512">
        <v>-0.43718749999999984</v>
      </c>
      <c r="Q1512">
        <v>1511</v>
      </c>
      <c r="R1512">
        <v>20</v>
      </c>
      <c r="S1512" t="s">
        <v>24</v>
      </c>
      <c r="T1512" t="s">
        <v>968</v>
      </c>
      <c r="U1512">
        <v>10000</v>
      </c>
      <c r="V1512">
        <v>1000</v>
      </c>
    </row>
    <row r="1513" spans="1:22" x14ac:dyDescent="0.3">
      <c r="A1513" t="s">
        <v>1687</v>
      </c>
      <c r="B1513" t="s">
        <v>520</v>
      </c>
      <c r="C1513">
        <v>3.83</v>
      </c>
      <c r="D1513">
        <v>1.63</v>
      </c>
      <c r="E1513">
        <v>2.63</v>
      </c>
      <c r="F1513">
        <v>1.61</v>
      </c>
      <c r="G1513">
        <v>60.515574650912995</v>
      </c>
      <c r="H1513">
        <v>22.477693891557998</v>
      </c>
      <c r="I1513">
        <v>26.293408929836993</v>
      </c>
      <c r="J1513">
        <v>31.993127562568493</v>
      </c>
      <c r="K1513">
        <v>42.911877394636001</v>
      </c>
      <c r="L1513">
        <v>20.946744697593815</v>
      </c>
      <c r="M1513">
        <v>63.719173930593534</v>
      </c>
      <c r="N1513">
        <v>42.654326612591632</v>
      </c>
      <c r="O1513">
        <v>4.625</v>
      </c>
      <c r="P1513">
        <v>-1.9950000000000001</v>
      </c>
      <c r="Q1513">
        <v>1512</v>
      </c>
      <c r="R1513">
        <v>53</v>
      </c>
      <c r="S1513" t="s">
        <v>24</v>
      </c>
      <c r="T1513" t="s">
        <v>45</v>
      </c>
      <c r="U1513">
        <v>1000</v>
      </c>
      <c r="V1513">
        <v>1000</v>
      </c>
    </row>
    <row r="1514" spans="1:22" x14ac:dyDescent="0.3">
      <c r="A1514" t="s">
        <v>1688</v>
      </c>
      <c r="B1514" t="s">
        <v>170</v>
      </c>
      <c r="C1514">
        <v>-4.78</v>
      </c>
      <c r="D1514">
        <v>4.68</v>
      </c>
      <c r="E1514">
        <v>5.19</v>
      </c>
      <c r="F1514">
        <v>2.36</v>
      </c>
      <c r="G1514">
        <v>42.019334049409238</v>
      </c>
      <c r="H1514">
        <v>27.711050102951273</v>
      </c>
      <c r="I1514">
        <v>35.36498936924167</v>
      </c>
      <c r="J1514">
        <v>34.39967652538806</v>
      </c>
      <c r="K1514">
        <v>14.176245210727977</v>
      </c>
      <c r="L1514">
        <v>7.1599590188189755</v>
      </c>
      <c r="M1514">
        <v>87.598587199294528</v>
      </c>
      <c r="N1514">
        <v>42.643546365199654</v>
      </c>
      <c r="O1514">
        <v>6.9120588235294118</v>
      </c>
      <c r="P1514">
        <v>-1.7220588235294114</v>
      </c>
      <c r="Q1514">
        <v>1513</v>
      </c>
      <c r="R1514">
        <v>25</v>
      </c>
      <c r="S1514" t="s">
        <v>24</v>
      </c>
      <c r="T1514" t="s">
        <v>205</v>
      </c>
      <c r="U1514">
        <v>1000</v>
      </c>
      <c r="V1514">
        <v>1000</v>
      </c>
    </row>
    <row r="1515" spans="1:22" x14ac:dyDescent="0.3">
      <c r="A1515" t="s">
        <v>1689</v>
      </c>
      <c r="B1515" t="s">
        <v>445</v>
      </c>
      <c r="C1515">
        <v>3.08</v>
      </c>
      <c r="D1515">
        <v>7.35</v>
      </c>
      <c r="E1515">
        <v>4.3</v>
      </c>
      <c r="F1515">
        <v>2.16</v>
      </c>
      <c r="G1515">
        <v>58.904403866809886</v>
      </c>
      <c r="H1515">
        <v>32.292381606039811</v>
      </c>
      <c r="I1515">
        <v>32.211197732104893</v>
      </c>
      <c r="J1515">
        <v>37.57419412122637</v>
      </c>
      <c r="K1515">
        <v>21.839080459770098</v>
      </c>
      <c r="L1515">
        <v>15.387947520592004</v>
      </c>
      <c r="M1515">
        <v>73.347293070131116</v>
      </c>
      <c r="N1515">
        <v>42.583690443088486</v>
      </c>
      <c r="O1515">
        <v>5.7759259259259252</v>
      </c>
      <c r="P1515">
        <v>-1.4759259259259254</v>
      </c>
      <c r="Q1515">
        <v>1514</v>
      </c>
      <c r="R1515">
        <v>37</v>
      </c>
      <c r="S1515" t="s">
        <v>24</v>
      </c>
      <c r="T1515" t="s">
        <v>612</v>
      </c>
      <c r="U1515">
        <v>5000</v>
      </c>
      <c r="V1515">
        <v>1000</v>
      </c>
    </row>
    <row r="1516" spans="1:22" x14ac:dyDescent="0.3">
      <c r="A1516" t="s">
        <v>1690</v>
      </c>
      <c r="B1516" t="s">
        <v>138</v>
      </c>
      <c r="C1516">
        <v>-7.0000000000000007E-2</v>
      </c>
      <c r="D1516">
        <v>6.82</v>
      </c>
      <c r="E1516">
        <v>6.36</v>
      </c>
      <c r="F1516">
        <v>2.4900000000000002</v>
      </c>
      <c r="G1516">
        <v>52.137486573576794</v>
      </c>
      <c r="H1516">
        <v>31.382978723404261</v>
      </c>
      <c r="I1516">
        <v>39.510985116938343</v>
      </c>
      <c r="J1516">
        <v>39.59788349020581</v>
      </c>
      <c r="K1516">
        <v>9.1954022988505635</v>
      </c>
      <c r="L1516">
        <v>10.458191550731076</v>
      </c>
      <c r="M1516">
        <v>81.885880878846223</v>
      </c>
      <c r="N1516">
        <v>42.569262539527102</v>
      </c>
      <c r="O1516">
        <v>9.219019607843137</v>
      </c>
      <c r="P1516">
        <v>-2.8590196078431367</v>
      </c>
      <c r="Q1516">
        <v>1515</v>
      </c>
      <c r="R1516">
        <v>51</v>
      </c>
      <c r="S1516" t="s">
        <v>24</v>
      </c>
      <c r="T1516" t="s">
        <v>134</v>
      </c>
      <c r="U1516">
        <v>5000</v>
      </c>
      <c r="V1516">
        <v>1000</v>
      </c>
    </row>
    <row r="1517" spans="1:22" x14ac:dyDescent="0.3">
      <c r="A1517" t="s">
        <v>1691</v>
      </c>
      <c r="B1517" t="s">
        <v>654</v>
      </c>
      <c r="C1517">
        <v>-2.33</v>
      </c>
      <c r="D1517">
        <v>3.17</v>
      </c>
      <c r="E1517">
        <v>3.83</v>
      </c>
      <c r="F1517">
        <v>2.06</v>
      </c>
      <c r="G1517">
        <v>47.282491944146074</v>
      </c>
      <c r="H1517">
        <v>25.120109814687719</v>
      </c>
      <c r="I1517">
        <v>30.545712260807932</v>
      </c>
      <c r="J1517">
        <v>32.265387463639499</v>
      </c>
      <c r="K1517">
        <v>25.670498084291182</v>
      </c>
      <c r="L1517">
        <v>11.552259070012244</v>
      </c>
      <c r="M1517">
        <v>79.990900348540407</v>
      </c>
      <c r="N1517">
        <v>42.548043340027647</v>
      </c>
      <c r="O1517">
        <v>6.7733333333333334</v>
      </c>
      <c r="P1517">
        <v>-2.9433333333333334</v>
      </c>
      <c r="Q1517">
        <v>1516</v>
      </c>
      <c r="R1517">
        <v>5</v>
      </c>
      <c r="S1517" t="s">
        <v>24</v>
      </c>
      <c r="T1517" t="s">
        <v>655</v>
      </c>
      <c r="U1517">
        <v>1000</v>
      </c>
      <c r="V1517">
        <v>1000</v>
      </c>
    </row>
    <row r="1518" spans="1:22" x14ac:dyDescent="0.3">
      <c r="A1518" t="s">
        <v>1692</v>
      </c>
      <c r="B1518" t="s">
        <v>1331</v>
      </c>
      <c r="C1518">
        <v>3.21</v>
      </c>
      <c r="D1518">
        <v>0.46</v>
      </c>
      <c r="E1518">
        <v>3.67</v>
      </c>
      <c r="F1518">
        <v>1.71</v>
      </c>
      <c r="G1518">
        <v>59.183673469387756</v>
      </c>
      <c r="H1518">
        <v>20.47014413177763</v>
      </c>
      <c r="I1518">
        <v>29.978738483345147</v>
      </c>
      <c r="J1518">
        <v>32.967147175083412</v>
      </c>
      <c r="K1518">
        <v>39.080459770114942</v>
      </c>
      <c r="L1518">
        <v>20.174567107522769</v>
      </c>
      <c r="M1518">
        <v>65.056624749062678</v>
      </c>
      <c r="N1518">
        <v>42.517844717336111</v>
      </c>
      <c r="O1518">
        <v>4.7778125000000005</v>
      </c>
      <c r="P1518">
        <v>-1.1078125000000005</v>
      </c>
      <c r="Q1518">
        <v>1517</v>
      </c>
      <c r="R1518">
        <v>29</v>
      </c>
      <c r="S1518" t="s">
        <v>24</v>
      </c>
      <c r="T1518" t="s">
        <v>1422</v>
      </c>
      <c r="U1518">
        <v>5000</v>
      </c>
      <c r="V1518">
        <v>1000</v>
      </c>
    </row>
    <row r="1519" spans="1:22" x14ac:dyDescent="0.3">
      <c r="A1519" t="s">
        <v>1693</v>
      </c>
      <c r="B1519" t="s">
        <v>965</v>
      </c>
      <c r="C1519">
        <v>7.54</v>
      </c>
      <c r="D1519">
        <v>3.84</v>
      </c>
      <c r="E1519">
        <v>3.72</v>
      </c>
      <c r="F1519">
        <v>1.76</v>
      </c>
      <c r="G1519">
        <v>68.485499462943068</v>
      </c>
      <c r="H1519">
        <v>26.269732326698701</v>
      </c>
      <c r="I1519">
        <v>30.155917788802267</v>
      </c>
      <c r="J1519">
        <v>36.655978484999359</v>
      </c>
      <c r="K1519">
        <v>37.164750957854409</v>
      </c>
      <c r="L1519">
        <v>23.332489021612851</v>
      </c>
      <c r="M1519">
        <v>59.586943547523497</v>
      </c>
      <c r="N1519">
        <v>42.515912868844154</v>
      </c>
      <c r="O1519">
        <v>4.3271875</v>
      </c>
      <c r="P1519">
        <v>-0.60718749999999977</v>
      </c>
      <c r="Q1519">
        <v>1518</v>
      </c>
      <c r="R1519">
        <v>21</v>
      </c>
      <c r="S1519" t="s">
        <v>24</v>
      </c>
      <c r="T1519" t="s">
        <v>968</v>
      </c>
      <c r="U1519">
        <v>5000</v>
      </c>
      <c r="V1519">
        <v>1000</v>
      </c>
    </row>
    <row r="1520" spans="1:22" x14ac:dyDescent="0.3">
      <c r="A1520" t="s">
        <v>1694</v>
      </c>
      <c r="B1520" t="s">
        <v>585</v>
      </c>
      <c r="C1520">
        <v>3.38</v>
      </c>
      <c r="D1520">
        <v>7.31</v>
      </c>
      <c r="E1520">
        <v>5.7</v>
      </c>
      <c r="F1520">
        <v>2.34</v>
      </c>
      <c r="G1520">
        <v>59.548872180451127</v>
      </c>
      <c r="H1520">
        <v>32.22374742621826</v>
      </c>
      <c r="I1520">
        <v>37.172218284904325</v>
      </c>
      <c r="J1520">
        <v>40.163007806407862</v>
      </c>
      <c r="K1520">
        <v>14.942528735632177</v>
      </c>
      <c r="L1520">
        <v>14.559443935322214</v>
      </c>
      <c r="M1520">
        <v>74.782303374071361</v>
      </c>
      <c r="N1520">
        <v>42.51271193062982</v>
      </c>
      <c r="O1520">
        <v>6.6483333333333334</v>
      </c>
      <c r="P1520">
        <v>-0.94833333333333325</v>
      </c>
      <c r="Q1520">
        <v>1519</v>
      </c>
      <c r="R1520">
        <v>9</v>
      </c>
      <c r="S1520" t="s">
        <v>24</v>
      </c>
      <c r="T1520" t="s">
        <v>45</v>
      </c>
      <c r="U1520">
        <v>1000</v>
      </c>
      <c r="V1520">
        <v>1000</v>
      </c>
    </row>
    <row r="1521" spans="1:22" x14ac:dyDescent="0.3">
      <c r="A1521" t="s">
        <v>1695</v>
      </c>
      <c r="B1521" t="s">
        <v>199</v>
      </c>
      <c r="C1521">
        <v>4.6900000000000004</v>
      </c>
      <c r="D1521">
        <v>8.01</v>
      </c>
      <c r="E1521">
        <v>7.16</v>
      </c>
      <c r="F1521">
        <v>2.52</v>
      </c>
      <c r="G1521">
        <v>62.363050483351238</v>
      </c>
      <c r="H1521">
        <v>33.424845573095411</v>
      </c>
      <c r="I1521">
        <v>42.345854004252303</v>
      </c>
      <c r="J1521">
        <v>43.672990770725022</v>
      </c>
      <c r="K1521">
        <v>8.045977011494255</v>
      </c>
      <c r="L1521">
        <v>14.819425594691458</v>
      </c>
      <c r="M1521">
        <v>74.332001931007767</v>
      </c>
      <c r="N1521">
        <v>42.430990120988014</v>
      </c>
      <c r="O1521">
        <v>9.83</v>
      </c>
      <c r="P1521">
        <v>-2.67</v>
      </c>
      <c r="Q1521">
        <v>1520</v>
      </c>
      <c r="R1521">
        <v>30</v>
      </c>
      <c r="S1521" t="s">
        <v>24</v>
      </c>
      <c r="T1521" t="s">
        <v>107</v>
      </c>
      <c r="U1521">
        <v>5000</v>
      </c>
      <c r="V1521">
        <v>1000</v>
      </c>
    </row>
    <row r="1522" spans="1:22" x14ac:dyDescent="0.3">
      <c r="A1522" t="s">
        <v>1696</v>
      </c>
      <c r="B1522" t="s">
        <v>199</v>
      </c>
      <c r="C1522">
        <v>4.6900000000000004</v>
      </c>
      <c r="D1522">
        <v>8.01</v>
      </c>
      <c r="E1522">
        <v>7.16</v>
      </c>
      <c r="F1522">
        <v>2.52</v>
      </c>
      <c r="G1522">
        <v>62.363050483351238</v>
      </c>
      <c r="H1522">
        <v>33.424845573095411</v>
      </c>
      <c r="I1522">
        <v>42.345854004252303</v>
      </c>
      <c r="J1522">
        <v>43.672990770725022</v>
      </c>
      <c r="K1522">
        <v>8.045977011494255</v>
      </c>
      <c r="L1522">
        <v>14.819425594691458</v>
      </c>
      <c r="M1522">
        <v>74.332001931007767</v>
      </c>
      <c r="N1522">
        <v>42.430990120988014</v>
      </c>
      <c r="O1522">
        <v>9.83</v>
      </c>
      <c r="P1522">
        <v>-2.67</v>
      </c>
      <c r="Q1522">
        <v>1520</v>
      </c>
      <c r="R1522">
        <v>30</v>
      </c>
      <c r="S1522" t="s">
        <v>24</v>
      </c>
      <c r="T1522" t="s">
        <v>107</v>
      </c>
      <c r="U1522">
        <v>5000</v>
      </c>
      <c r="V1522">
        <v>1000</v>
      </c>
    </row>
    <row r="1523" spans="1:22" x14ac:dyDescent="0.3">
      <c r="A1523" t="s">
        <v>1697</v>
      </c>
      <c r="B1523" t="s">
        <v>445</v>
      </c>
      <c r="C1523">
        <v>2.29</v>
      </c>
      <c r="D1523">
        <v>5.39</v>
      </c>
      <c r="E1523">
        <v>5.47</v>
      </c>
      <c r="F1523">
        <v>2.25</v>
      </c>
      <c r="G1523">
        <v>57.207303974221269</v>
      </c>
      <c r="H1523">
        <v>28.929306794783805</v>
      </c>
      <c r="I1523">
        <v>36.357193479801552</v>
      </c>
      <c r="J1523">
        <v>38.298849573180171</v>
      </c>
      <c r="K1523">
        <v>18.390804597701148</v>
      </c>
      <c r="L1523">
        <v>14.660296340315728</v>
      </c>
      <c r="M1523">
        <v>74.607621884557091</v>
      </c>
      <c r="N1523">
        <v>42.399031407154645</v>
      </c>
      <c r="O1523">
        <v>5.7759259259259252</v>
      </c>
      <c r="P1523">
        <v>-0.30592592592592549</v>
      </c>
      <c r="Q1523">
        <v>1522</v>
      </c>
      <c r="R1523">
        <v>38</v>
      </c>
      <c r="S1523" t="s">
        <v>24</v>
      </c>
      <c r="T1523" t="s">
        <v>612</v>
      </c>
      <c r="U1523">
        <v>5000</v>
      </c>
      <c r="V1523">
        <v>1000</v>
      </c>
    </row>
    <row r="1524" spans="1:22" x14ac:dyDescent="0.3">
      <c r="A1524" t="s">
        <v>1698</v>
      </c>
      <c r="B1524" t="s">
        <v>445</v>
      </c>
      <c r="C1524">
        <v>2.29</v>
      </c>
      <c r="D1524">
        <v>5.33</v>
      </c>
      <c r="E1524">
        <v>5.48</v>
      </c>
      <c r="F1524">
        <v>2.25</v>
      </c>
      <c r="G1524">
        <v>57.207303974221269</v>
      </c>
      <c r="H1524">
        <v>28.826355525051479</v>
      </c>
      <c r="I1524">
        <v>36.392629340892981</v>
      </c>
      <c r="J1524">
        <v>38.285682122806186</v>
      </c>
      <c r="K1524">
        <v>18.390804597701148</v>
      </c>
      <c r="L1524">
        <v>14.696810393313475</v>
      </c>
      <c r="M1524">
        <v>74.544377689574731</v>
      </c>
      <c r="N1524">
        <v>42.376636633222063</v>
      </c>
      <c r="O1524">
        <v>5.7759259259259252</v>
      </c>
      <c r="P1524">
        <v>-0.29592592592592482</v>
      </c>
      <c r="Q1524">
        <v>1523</v>
      </c>
      <c r="R1524">
        <v>39</v>
      </c>
      <c r="S1524" t="s">
        <v>24</v>
      </c>
      <c r="T1524" t="s">
        <v>612</v>
      </c>
      <c r="U1524">
        <v>5000</v>
      </c>
      <c r="V1524">
        <v>1000</v>
      </c>
    </row>
    <row r="1525" spans="1:22" x14ac:dyDescent="0.3">
      <c r="A1525" t="s">
        <v>1699</v>
      </c>
      <c r="B1525" t="s">
        <v>520</v>
      </c>
      <c r="C1525">
        <v>3.83</v>
      </c>
      <c r="D1525">
        <v>1.62</v>
      </c>
      <c r="E1525">
        <v>2.36</v>
      </c>
      <c r="F1525">
        <v>1.61</v>
      </c>
      <c r="G1525">
        <v>60.515574650912995</v>
      </c>
      <c r="H1525">
        <v>22.460535346602612</v>
      </c>
      <c r="I1525">
        <v>25.336640680368529</v>
      </c>
      <c r="J1525">
        <v>31.509595874347646</v>
      </c>
      <c r="K1525">
        <v>42.911877394636001</v>
      </c>
      <c r="L1525">
        <v>21.189680639592204</v>
      </c>
      <c r="M1525">
        <v>63.29839653606772</v>
      </c>
      <c r="N1525">
        <v>42.30736641984975</v>
      </c>
      <c r="O1525">
        <v>4.625</v>
      </c>
      <c r="P1525">
        <v>-2.2650000000000001</v>
      </c>
      <c r="Q1525">
        <v>1524</v>
      </c>
      <c r="R1525">
        <v>54</v>
      </c>
      <c r="S1525" t="s">
        <v>24</v>
      </c>
      <c r="T1525" t="s">
        <v>45</v>
      </c>
      <c r="U1525">
        <v>1000</v>
      </c>
      <c r="V1525">
        <v>1000</v>
      </c>
    </row>
    <row r="1526" spans="1:22" x14ac:dyDescent="0.3">
      <c r="A1526" t="s">
        <v>1700</v>
      </c>
      <c r="B1526" t="s">
        <v>170</v>
      </c>
      <c r="C1526">
        <v>-4.78</v>
      </c>
      <c r="D1526">
        <v>4.68</v>
      </c>
      <c r="E1526">
        <v>4.76</v>
      </c>
      <c r="F1526">
        <v>2.36</v>
      </c>
      <c r="G1526">
        <v>42.019334049409238</v>
      </c>
      <c r="H1526">
        <v>27.711050102951273</v>
      </c>
      <c r="I1526">
        <v>33.841247342310417</v>
      </c>
      <c r="J1526">
        <v>33.637805511922437</v>
      </c>
      <c r="K1526">
        <v>14.176245210727977</v>
      </c>
      <c r="L1526">
        <v>7.178525961443845</v>
      </c>
      <c r="M1526">
        <v>87.56642831132703</v>
      </c>
      <c r="N1526">
        <v>42.254571136474972</v>
      </c>
      <c r="O1526">
        <v>6.9120588235294118</v>
      </c>
      <c r="P1526">
        <v>-2.152058823529412</v>
      </c>
      <c r="Q1526">
        <v>1525</v>
      </c>
      <c r="R1526">
        <v>26</v>
      </c>
      <c r="S1526" t="s">
        <v>24</v>
      </c>
      <c r="T1526" t="s">
        <v>205</v>
      </c>
      <c r="U1526">
        <v>1000</v>
      </c>
      <c r="V1526">
        <v>1000</v>
      </c>
    </row>
    <row r="1527" spans="1:22" x14ac:dyDescent="0.3">
      <c r="A1527" t="s">
        <v>1701</v>
      </c>
      <c r="B1527" t="s">
        <v>445</v>
      </c>
      <c r="C1527">
        <v>-0.47</v>
      </c>
      <c r="D1527">
        <v>3.7</v>
      </c>
      <c r="E1527">
        <v>4.1399999999999997</v>
      </c>
      <c r="F1527">
        <v>2.1</v>
      </c>
      <c r="G1527">
        <v>51.278195488721799</v>
      </c>
      <c r="H1527">
        <v>26.02951269732327</v>
      </c>
      <c r="I1527">
        <v>31.644223954642094</v>
      </c>
      <c r="J1527">
        <v>33.886604884262383</v>
      </c>
      <c r="K1527">
        <v>24.137931034482762</v>
      </c>
      <c r="L1527">
        <v>13.257160350824122</v>
      </c>
      <c r="M1527">
        <v>77.037924708284976</v>
      </c>
      <c r="N1527">
        <v>42.237266377823126</v>
      </c>
      <c r="O1527">
        <v>5.7759259259259252</v>
      </c>
      <c r="P1527">
        <v>-1.6359259259259256</v>
      </c>
      <c r="Q1527">
        <v>1526</v>
      </c>
      <c r="R1527">
        <v>40</v>
      </c>
      <c r="S1527" t="s">
        <v>24</v>
      </c>
      <c r="T1527" t="s">
        <v>612</v>
      </c>
      <c r="U1527">
        <v>1000</v>
      </c>
      <c r="V1527">
        <v>1000</v>
      </c>
    </row>
    <row r="1528" spans="1:22" x14ac:dyDescent="0.3">
      <c r="A1528" t="s">
        <v>1702</v>
      </c>
      <c r="B1528" t="s">
        <v>654</v>
      </c>
      <c r="C1528">
        <v>-2.3199999999999998</v>
      </c>
      <c r="D1528">
        <v>3.17</v>
      </c>
      <c r="E1528">
        <v>3.47</v>
      </c>
      <c r="F1528">
        <v>2.06</v>
      </c>
      <c r="G1528">
        <v>47.303974221267453</v>
      </c>
      <c r="H1528">
        <v>25.120109814687719</v>
      </c>
      <c r="I1528">
        <v>29.270021261516654</v>
      </c>
      <c r="J1528">
        <v>31.631838419418134</v>
      </c>
      <c r="K1528">
        <v>25.670498084291182</v>
      </c>
      <c r="L1528">
        <v>11.793847720884971</v>
      </c>
      <c r="M1528">
        <v>79.572456530696826</v>
      </c>
      <c r="N1528">
        <v>42.126657863456067</v>
      </c>
      <c r="O1528">
        <v>6.7733333333333334</v>
      </c>
      <c r="P1528">
        <v>-3.3033333333333332</v>
      </c>
      <c r="Q1528">
        <v>1527</v>
      </c>
      <c r="R1528">
        <v>6</v>
      </c>
      <c r="S1528" t="s">
        <v>24</v>
      </c>
      <c r="T1528" t="s">
        <v>655</v>
      </c>
      <c r="U1528">
        <v>1000</v>
      </c>
      <c r="V1528">
        <v>1000</v>
      </c>
    </row>
    <row r="1529" spans="1:22" x14ac:dyDescent="0.3">
      <c r="A1529" t="s">
        <v>1703</v>
      </c>
      <c r="B1529" t="s">
        <v>445</v>
      </c>
      <c r="C1529">
        <v>2.29</v>
      </c>
      <c r="D1529">
        <v>5.39</v>
      </c>
      <c r="E1529">
        <v>5.19</v>
      </c>
      <c r="F1529">
        <v>2.25</v>
      </c>
      <c r="G1529">
        <v>57.207303974221269</v>
      </c>
      <c r="H1529">
        <v>28.929306794783805</v>
      </c>
      <c r="I1529">
        <v>35.36498936924167</v>
      </c>
      <c r="J1529">
        <v>37.802747517900229</v>
      </c>
      <c r="K1529">
        <v>18.390804597701148</v>
      </c>
      <c r="L1529">
        <v>14.821998526865166</v>
      </c>
      <c r="M1529">
        <v>74.327545481758477</v>
      </c>
      <c r="N1529">
        <v>42.080961278815025</v>
      </c>
      <c r="O1529">
        <v>5.7759259259259252</v>
      </c>
      <c r="P1529">
        <v>-0.58592592592592485</v>
      </c>
      <c r="Q1529">
        <v>1528</v>
      </c>
      <c r="R1529">
        <v>41</v>
      </c>
      <c r="S1529" t="s">
        <v>24</v>
      </c>
      <c r="T1529" t="s">
        <v>612</v>
      </c>
      <c r="U1529">
        <v>5000</v>
      </c>
      <c r="V1529">
        <v>1000</v>
      </c>
    </row>
    <row r="1530" spans="1:22" x14ac:dyDescent="0.3">
      <c r="A1530" t="s">
        <v>1704</v>
      </c>
      <c r="B1530" t="s">
        <v>1705</v>
      </c>
      <c r="C1530">
        <v>11.42</v>
      </c>
      <c r="D1530">
        <v>18.399999999999999</v>
      </c>
      <c r="E1530">
        <v>4.13</v>
      </c>
      <c r="F1530">
        <v>2.36</v>
      </c>
      <c r="G1530">
        <v>76.820622986036511</v>
      </c>
      <c r="H1530">
        <v>51.252573781743308</v>
      </c>
      <c r="I1530">
        <v>31.608788093550672</v>
      </c>
      <c r="J1530">
        <v>46.544290778505626</v>
      </c>
      <c r="K1530">
        <v>14.176245210727977</v>
      </c>
      <c r="L1530">
        <v>22.670514883956653</v>
      </c>
      <c r="M1530">
        <v>60.733516387240627</v>
      </c>
      <c r="N1530">
        <v>41.999585788744966</v>
      </c>
      <c r="O1530">
        <v>4.13</v>
      </c>
      <c r="P1530">
        <v>0</v>
      </c>
      <c r="Q1530">
        <v>1529</v>
      </c>
      <c r="R1530">
        <v>1</v>
      </c>
      <c r="S1530" t="s">
        <v>24</v>
      </c>
      <c r="T1530" t="s">
        <v>1706</v>
      </c>
      <c r="U1530">
        <v>5000</v>
      </c>
      <c r="V1530">
        <v>1000</v>
      </c>
    </row>
    <row r="1531" spans="1:22" x14ac:dyDescent="0.3">
      <c r="A1531" t="s">
        <v>1707</v>
      </c>
      <c r="B1531" t="s">
        <v>1705</v>
      </c>
      <c r="C1531">
        <v>11.42</v>
      </c>
      <c r="D1531">
        <v>18.399999999999999</v>
      </c>
      <c r="E1531">
        <v>4.13</v>
      </c>
      <c r="F1531">
        <v>2.36</v>
      </c>
      <c r="G1531">
        <v>76.820622986036511</v>
      </c>
      <c r="H1531">
        <v>51.252573781743308</v>
      </c>
      <c r="I1531">
        <v>31.608788093550672</v>
      </c>
      <c r="J1531">
        <v>46.544290778505626</v>
      </c>
      <c r="K1531">
        <v>14.176245210727977</v>
      </c>
      <c r="L1531">
        <v>22.670514883956653</v>
      </c>
      <c r="M1531">
        <v>60.733516387240627</v>
      </c>
      <c r="N1531">
        <v>41.999585788744966</v>
      </c>
      <c r="O1531">
        <v>4.13</v>
      </c>
      <c r="P1531">
        <v>0</v>
      </c>
      <c r="Q1531">
        <v>1529</v>
      </c>
      <c r="R1531">
        <v>1</v>
      </c>
      <c r="S1531" t="s">
        <v>24</v>
      </c>
      <c r="T1531" t="s">
        <v>1706</v>
      </c>
      <c r="U1531">
        <v>5000</v>
      </c>
      <c r="V1531">
        <v>1000</v>
      </c>
    </row>
    <row r="1532" spans="1:22" x14ac:dyDescent="0.3">
      <c r="A1532" t="s">
        <v>1708</v>
      </c>
      <c r="B1532" t="s">
        <v>520</v>
      </c>
      <c r="C1532">
        <v>3.48</v>
      </c>
      <c r="D1532">
        <v>1.01</v>
      </c>
      <c r="E1532">
        <v>2.34</v>
      </c>
      <c r="F1532">
        <v>1.62</v>
      </c>
      <c r="G1532">
        <v>59.763694951664867</v>
      </c>
      <c r="H1532">
        <v>21.413864104323956</v>
      </c>
      <c r="I1532">
        <v>25.265768958185681</v>
      </c>
      <c r="J1532">
        <v>31.009782700723001</v>
      </c>
      <c r="K1532">
        <v>42.52873563218391</v>
      </c>
      <c r="L1532">
        <v>21.117345141196257</v>
      </c>
      <c r="M1532">
        <v>63.423685294480315</v>
      </c>
      <c r="N1532">
        <v>41.992996582027558</v>
      </c>
      <c r="O1532">
        <v>4.625</v>
      </c>
      <c r="P1532">
        <v>-2.2850000000000001</v>
      </c>
      <c r="Q1532">
        <v>1531</v>
      </c>
      <c r="R1532">
        <v>55</v>
      </c>
      <c r="S1532" t="s">
        <v>24</v>
      </c>
      <c r="T1532" t="s">
        <v>788</v>
      </c>
      <c r="U1532">
        <v>1000</v>
      </c>
      <c r="V1532">
        <v>1000</v>
      </c>
    </row>
    <row r="1533" spans="1:22" x14ac:dyDescent="0.3">
      <c r="A1533" t="s">
        <v>1709</v>
      </c>
      <c r="B1533" t="s">
        <v>520</v>
      </c>
      <c r="C1533">
        <v>3.83</v>
      </c>
      <c r="D1533">
        <v>1.63</v>
      </c>
      <c r="E1533">
        <v>2.11</v>
      </c>
      <c r="F1533">
        <v>1.61</v>
      </c>
      <c r="G1533">
        <v>60.515574650912995</v>
      </c>
      <c r="H1533">
        <v>22.477693891557998</v>
      </c>
      <c r="I1533">
        <v>24.450744153082919</v>
      </c>
      <c r="J1533">
        <v>31.071795174191458</v>
      </c>
      <c r="K1533">
        <v>42.911877394636001</v>
      </c>
      <c r="L1533">
        <v>21.41434604353908</v>
      </c>
      <c r="M1533">
        <v>62.90926464172874</v>
      </c>
      <c r="N1533">
        <v>41.991183096186916</v>
      </c>
      <c r="O1533">
        <v>4.625</v>
      </c>
      <c r="P1533">
        <v>-2.5150000000000001</v>
      </c>
      <c r="Q1533">
        <v>1532</v>
      </c>
      <c r="R1533">
        <v>56</v>
      </c>
      <c r="S1533" t="s">
        <v>24</v>
      </c>
      <c r="T1533" t="s">
        <v>521</v>
      </c>
      <c r="U1533">
        <v>1000</v>
      </c>
      <c r="V1533">
        <v>1000</v>
      </c>
    </row>
    <row r="1534" spans="1:22" x14ac:dyDescent="0.3">
      <c r="A1534" t="s">
        <v>1710</v>
      </c>
      <c r="B1534" t="s">
        <v>445</v>
      </c>
      <c r="C1534">
        <v>2.27</v>
      </c>
      <c r="D1534">
        <v>4.17</v>
      </c>
      <c r="E1534">
        <v>4.8499999999999996</v>
      </c>
      <c r="F1534">
        <v>2.15</v>
      </c>
      <c r="G1534">
        <v>57.164339419978518</v>
      </c>
      <c r="H1534">
        <v>26.835964310226494</v>
      </c>
      <c r="I1534">
        <v>34.160170092133235</v>
      </c>
      <c r="J1534">
        <v>36.563742223130276</v>
      </c>
      <c r="K1534">
        <v>22.222222222222232</v>
      </c>
      <c r="L1534">
        <v>15.825328504213953</v>
      </c>
      <c r="M1534">
        <v>72.589726984233451</v>
      </c>
      <c r="N1534">
        <v>41.984858413179055</v>
      </c>
      <c r="O1534">
        <v>5.7759259259259252</v>
      </c>
      <c r="P1534">
        <v>-0.9259259259259256</v>
      </c>
      <c r="Q1534">
        <v>1533</v>
      </c>
      <c r="R1534">
        <v>42</v>
      </c>
      <c r="S1534" t="s">
        <v>24</v>
      </c>
      <c r="T1534" t="s">
        <v>612</v>
      </c>
      <c r="U1534">
        <v>1000</v>
      </c>
      <c r="V1534">
        <v>1000</v>
      </c>
    </row>
    <row r="1535" spans="1:22" x14ac:dyDescent="0.3">
      <c r="A1535" t="s">
        <v>1711</v>
      </c>
      <c r="B1535" t="s">
        <v>170</v>
      </c>
      <c r="C1535">
        <v>-13.24</v>
      </c>
      <c r="D1535">
        <v>8.11</v>
      </c>
      <c r="E1535">
        <v>13</v>
      </c>
      <c r="F1535">
        <v>2.46</v>
      </c>
      <c r="G1535">
        <v>23.845327604726098</v>
      </c>
      <c r="H1535">
        <v>33.596431022649284</v>
      </c>
      <c r="I1535">
        <v>63.04039688164422</v>
      </c>
      <c r="J1535">
        <v>46.368193268562116</v>
      </c>
      <c r="K1535">
        <v>10.344827586206895</v>
      </c>
      <c r="L1535">
        <v>20.405410226192071</v>
      </c>
      <c r="M1535">
        <v>64.656792738949804</v>
      </c>
      <c r="N1535">
        <v>41.934501715570235</v>
      </c>
      <c r="O1535">
        <v>6.9120588235294118</v>
      </c>
      <c r="P1535">
        <v>6.0879411764705882</v>
      </c>
      <c r="Q1535">
        <v>1534</v>
      </c>
      <c r="R1535">
        <v>27</v>
      </c>
      <c r="S1535" t="s">
        <v>24</v>
      </c>
      <c r="T1535" t="s">
        <v>205</v>
      </c>
      <c r="U1535">
        <v>5000</v>
      </c>
    </row>
    <row r="1536" spans="1:22" x14ac:dyDescent="0.3">
      <c r="A1536" t="s">
        <v>1712</v>
      </c>
      <c r="B1536" t="s">
        <v>445</v>
      </c>
      <c r="C1536">
        <v>2.27</v>
      </c>
      <c r="D1536">
        <v>4.17</v>
      </c>
      <c r="E1536">
        <v>4.7300000000000004</v>
      </c>
      <c r="F1536">
        <v>2.15</v>
      </c>
      <c r="G1536">
        <v>57.164339419978518</v>
      </c>
      <c r="H1536">
        <v>26.835964310226494</v>
      </c>
      <c r="I1536">
        <v>33.734939759036145</v>
      </c>
      <c r="J1536">
        <v>36.351127056581731</v>
      </c>
      <c r="K1536">
        <v>22.222222222222232</v>
      </c>
      <c r="L1536">
        <v>15.897289955174074</v>
      </c>
      <c r="M1536">
        <v>72.465086094984144</v>
      </c>
      <c r="N1536">
        <v>41.847390607592459</v>
      </c>
      <c r="O1536">
        <v>5.7759259259259252</v>
      </c>
      <c r="P1536">
        <v>-1.0459259259259248</v>
      </c>
      <c r="Q1536">
        <v>1535</v>
      </c>
      <c r="R1536">
        <v>43</v>
      </c>
      <c r="S1536" t="s">
        <v>24</v>
      </c>
      <c r="T1536" t="s">
        <v>612</v>
      </c>
      <c r="U1536">
        <v>1000</v>
      </c>
      <c r="V1536">
        <v>1000</v>
      </c>
    </row>
    <row r="1537" spans="1:22" x14ac:dyDescent="0.3">
      <c r="A1537" t="s">
        <v>1713</v>
      </c>
      <c r="B1537" t="s">
        <v>965</v>
      </c>
      <c r="C1537">
        <v>7.54</v>
      </c>
      <c r="D1537">
        <v>3.84</v>
      </c>
      <c r="E1537">
        <v>3.06</v>
      </c>
      <c r="F1537">
        <v>1.76</v>
      </c>
      <c r="G1537">
        <v>68.485499462943068</v>
      </c>
      <c r="H1537">
        <v>26.269732326698701</v>
      </c>
      <c r="I1537">
        <v>27.817150956768248</v>
      </c>
      <c r="J1537">
        <v>35.486595068982346</v>
      </c>
      <c r="K1537">
        <v>37.164750957854409</v>
      </c>
      <c r="L1537">
        <v>23.939089614888545</v>
      </c>
      <c r="M1537">
        <v>58.536280500068571</v>
      </c>
      <c r="N1537">
        <v>41.668555398971918</v>
      </c>
      <c r="O1537">
        <v>4.3271875</v>
      </c>
      <c r="P1537">
        <v>-1.2671874999999999</v>
      </c>
      <c r="Q1537">
        <v>1536</v>
      </c>
      <c r="R1537">
        <v>22</v>
      </c>
      <c r="S1537" t="s">
        <v>24</v>
      </c>
      <c r="T1537" t="s">
        <v>968</v>
      </c>
      <c r="U1537">
        <v>5000</v>
      </c>
      <c r="V1537">
        <v>1000</v>
      </c>
    </row>
    <row r="1538" spans="1:22" x14ac:dyDescent="0.3">
      <c r="A1538" t="s">
        <v>1714</v>
      </c>
      <c r="B1538" t="s">
        <v>965</v>
      </c>
      <c r="C1538">
        <v>4.04</v>
      </c>
      <c r="D1538">
        <v>2</v>
      </c>
      <c r="E1538">
        <v>3.82</v>
      </c>
      <c r="F1538">
        <v>1.88</v>
      </c>
      <c r="G1538">
        <v>60.966702470461861</v>
      </c>
      <c r="H1538">
        <v>23.112560054907348</v>
      </c>
      <c r="I1538">
        <v>30.510276399716506</v>
      </c>
      <c r="J1538">
        <v>34.382246710422834</v>
      </c>
      <c r="K1538">
        <v>32.567049808429125</v>
      </c>
      <c r="L1538">
        <v>20.063466774787937</v>
      </c>
      <c r="M1538">
        <v>65.249056170097219</v>
      </c>
      <c r="N1538">
        <v>41.645149849843001</v>
      </c>
      <c r="O1538">
        <v>4.3271875</v>
      </c>
      <c r="P1538">
        <v>-0.50718750000000012</v>
      </c>
      <c r="Q1538">
        <v>1537</v>
      </c>
      <c r="R1538">
        <v>23</v>
      </c>
      <c r="S1538" t="s">
        <v>24</v>
      </c>
      <c r="T1538" t="s">
        <v>966</v>
      </c>
      <c r="U1538">
        <v>5000</v>
      </c>
      <c r="V1538">
        <v>1000</v>
      </c>
    </row>
    <row r="1539" spans="1:22" x14ac:dyDescent="0.3">
      <c r="A1539" t="s">
        <v>1715</v>
      </c>
      <c r="B1539" t="s">
        <v>494</v>
      </c>
      <c r="C1539">
        <v>2.99</v>
      </c>
      <c r="D1539">
        <v>6.34</v>
      </c>
      <c r="E1539">
        <v>6.48</v>
      </c>
      <c r="F1539">
        <v>2.48</v>
      </c>
      <c r="G1539">
        <v>58.711063372717511</v>
      </c>
      <c r="H1539">
        <v>30.559368565545647</v>
      </c>
      <c r="I1539">
        <v>39.936215450035434</v>
      </c>
      <c r="J1539">
        <v>40.878130969224912</v>
      </c>
      <c r="K1539">
        <v>9.578544061302674</v>
      </c>
      <c r="L1539">
        <v>14.33491130382485</v>
      </c>
      <c r="M1539">
        <v>75.171205299781946</v>
      </c>
      <c r="N1539">
        <v>41.626502824883616</v>
      </c>
      <c r="O1539">
        <v>7.1099999999999994</v>
      </c>
      <c r="P1539">
        <v>-0.62999999999999901</v>
      </c>
      <c r="Q1539">
        <v>1538</v>
      </c>
      <c r="R1539">
        <v>11</v>
      </c>
      <c r="S1539" t="s">
        <v>24</v>
      </c>
      <c r="T1539" t="s">
        <v>1716</v>
      </c>
      <c r="U1539">
        <v>1000</v>
      </c>
      <c r="V1539">
        <v>1000</v>
      </c>
    </row>
    <row r="1540" spans="1:22" x14ac:dyDescent="0.3">
      <c r="A1540" t="s">
        <v>1717</v>
      </c>
      <c r="B1540" t="s">
        <v>976</v>
      </c>
      <c r="C1540">
        <v>5.01</v>
      </c>
      <c r="D1540">
        <v>2.16</v>
      </c>
      <c r="E1540">
        <v>3.81</v>
      </c>
      <c r="F1540">
        <v>1.86</v>
      </c>
      <c r="G1540">
        <v>63.050483351235229</v>
      </c>
      <c r="H1540">
        <v>23.387096774193552</v>
      </c>
      <c r="I1540">
        <v>30.474840538625088</v>
      </c>
      <c r="J1540">
        <v>34.863645971817654</v>
      </c>
      <c r="K1540">
        <v>33.333333333333329</v>
      </c>
      <c r="L1540">
        <v>21.15259184704027</v>
      </c>
      <c r="M1540">
        <v>63.362636209159049</v>
      </c>
      <c r="N1540">
        <v>41.605815371531918</v>
      </c>
      <c r="O1540">
        <v>4.3111111111111109</v>
      </c>
      <c r="P1540">
        <v>-0.50111111111111084</v>
      </c>
      <c r="Q1540">
        <v>1539</v>
      </c>
      <c r="R1540">
        <v>44</v>
      </c>
      <c r="S1540" t="s">
        <v>24</v>
      </c>
      <c r="T1540" t="s">
        <v>1119</v>
      </c>
      <c r="U1540">
        <v>5000</v>
      </c>
      <c r="V1540">
        <v>1000</v>
      </c>
    </row>
    <row r="1541" spans="1:22" x14ac:dyDescent="0.3">
      <c r="A1541" t="s">
        <v>1718</v>
      </c>
      <c r="B1541" t="s">
        <v>1331</v>
      </c>
      <c r="C1541">
        <v>3.21</v>
      </c>
      <c r="D1541">
        <v>0.46</v>
      </c>
      <c r="E1541">
        <v>2.81</v>
      </c>
      <c r="F1541">
        <v>1.71</v>
      </c>
      <c r="G1541">
        <v>59.183673469387756</v>
      </c>
      <c r="H1541">
        <v>20.47014413177763</v>
      </c>
      <c r="I1541">
        <v>26.931254429482632</v>
      </c>
      <c r="J1541">
        <v>31.443405148152159</v>
      </c>
      <c r="K1541">
        <v>39.080459770114942</v>
      </c>
      <c r="L1541">
        <v>20.739261614864464</v>
      </c>
      <c r="M1541">
        <v>64.078545171591784</v>
      </c>
      <c r="N1541">
        <v>41.511453809502761</v>
      </c>
      <c r="O1541">
        <v>4.7778125000000005</v>
      </c>
      <c r="P1541">
        <v>-1.9678125000000004</v>
      </c>
      <c r="Q1541">
        <v>1540</v>
      </c>
      <c r="R1541">
        <v>30</v>
      </c>
      <c r="S1541" t="s">
        <v>24</v>
      </c>
      <c r="T1541" t="s">
        <v>1422</v>
      </c>
      <c r="U1541">
        <v>5000</v>
      </c>
      <c r="V1541">
        <v>1000</v>
      </c>
    </row>
    <row r="1542" spans="1:22" x14ac:dyDescent="0.3">
      <c r="A1542" t="s">
        <v>1719</v>
      </c>
      <c r="B1542" t="s">
        <v>976</v>
      </c>
      <c r="C1542">
        <v>5.01</v>
      </c>
      <c r="D1542">
        <v>2.16</v>
      </c>
      <c r="E1542">
        <v>3.72</v>
      </c>
      <c r="F1542">
        <v>1.86</v>
      </c>
      <c r="G1542">
        <v>63.050483351235229</v>
      </c>
      <c r="H1542">
        <v>23.387096774193552</v>
      </c>
      <c r="I1542">
        <v>30.155917788802267</v>
      </c>
      <c r="J1542">
        <v>34.704184596906245</v>
      </c>
      <c r="K1542">
        <v>33.333333333333329</v>
      </c>
      <c r="L1542">
        <v>21.217342027332496</v>
      </c>
      <c r="M1542">
        <v>63.250485607093673</v>
      </c>
      <c r="N1542">
        <v>41.498047033559871</v>
      </c>
      <c r="O1542">
        <v>4.3111111111111109</v>
      </c>
      <c r="P1542">
        <v>-0.5911111111111107</v>
      </c>
      <c r="Q1542">
        <v>1541</v>
      </c>
      <c r="R1542">
        <v>45</v>
      </c>
      <c r="S1542" t="s">
        <v>24</v>
      </c>
      <c r="T1542" t="s">
        <v>1119</v>
      </c>
      <c r="U1542">
        <v>5000</v>
      </c>
      <c r="V1542">
        <v>1000</v>
      </c>
    </row>
    <row r="1543" spans="1:22" x14ac:dyDescent="0.3">
      <c r="A1543" t="s">
        <v>1720</v>
      </c>
      <c r="B1543" t="s">
        <v>445</v>
      </c>
      <c r="C1543">
        <v>2.84</v>
      </c>
      <c r="D1543">
        <v>5.4</v>
      </c>
      <c r="E1543">
        <v>5.91</v>
      </c>
      <c r="F1543">
        <v>2.39</v>
      </c>
      <c r="G1543">
        <v>58.388829215896877</v>
      </c>
      <c r="H1543">
        <v>28.946465339739191</v>
      </c>
      <c r="I1543">
        <v>37.916371367824233</v>
      </c>
      <c r="J1543">
        <v>39.31989112901325</v>
      </c>
      <c r="K1543">
        <v>13.026819923371647</v>
      </c>
      <c r="L1543">
        <v>15.091021254981731</v>
      </c>
      <c r="M1543">
        <v>73.861584448269809</v>
      </c>
      <c r="N1543">
        <v>41.382046657416993</v>
      </c>
      <c r="O1543">
        <v>5.7759259259259252</v>
      </c>
      <c r="P1543">
        <v>0.1340740740740749</v>
      </c>
      <c r="Q1543">
        <v>1542</v>
      </c>
      <c r="R1543">
        <v>44</v>
      </c>
      <c r="S1543" t="s">
        <v>24</v>
      </c>
      <c r="T1543" t="s">
        <v>612</v>
      </c>
      <c r="U1543">
        <v>1000</v>
      </c>
      <c r="V1543">
        <v>1000</v>
      </c>
    </row>
    <row r="1544" spans="1:22" x14ac:dyDescent="0.3">
      <c r="A1544" t="s">
        <v>1721</v>
      </c>
      <c r="B1544" t="s">
        <v>965</v>
      </c>
      <c r="C1544">
        <v>4.05</v>
      </c>
      <c r="D1544">
        <v>2.0099999999999998</v>
      </c>
      <c r="E1544">
        <v>3.37</v>
      </c>
      <c r="F1544">
        <v>1.88</v>
      </c>
      <c r="G1544">
        <v>60.98818474758324</v>
      </c>
      <c r="H1544">
        <v>23.129718599862738</v>
      </c>
      <c r="I1544">
        <v>28.915662650602407</v>
      </c>
      <c r="J1544">
        <v>33.594383854776673</v>
      </c>
      <c r="K1544">
        <v>32.567049808429125</v>
      </c>
      <c r="L1544">
        <v>20.393574483472783</v>
      </c>
      <c r="M1544">
        <v>64.677292846684907</v>
      </c>
      <c r="N1544">
        <v>41.108277591166846</v>
      </c>
      <c r="O1544">
        <v>4.3271875</v>
      </c>
      <c r="P1544">
        <v>-0.95718749999999986</v>
      </c>
      <c r="Q1544">
        <v>1543</v>
      </c>
      <c r="R1544">
        <v>24</v>
      </c>
      <c r="S1544" t="s">
        <v>24</v>
      </c>
      <c r="T1544" t="s">
        <v>966</v>
      </c>
      <c r="U1544">
        <v>5000</v>
      </c>
      <c r="V1544">
        <v>1000</v>
      </c>
    </row>
    <row r="1545" spans="1:22" x14ac:dyDescent="0.3">
      <c r="A1545" t="s">
        <v>1722</v>
      </c>
      <c r="B1545" t="s">
        <v>170</v>
      </c>
      <c r="C1545">
        <v>-11.08</v>
      </c>
      <c r="D1545">
        <v>3.2</v>
      </c>
      <c r="E1545">
        <v>3.36</v>
      </c>
      <c r="F1545">
        <v>2.41</v>
      </c>
      <c r="G1545">
        <v>28.485499462943064</v>
      </c>
      <c r="H1545">
        <v>25.171585449553881</v>
      </c>
      <c r="I1545">
        <v>28.880226789510981</v>
      </c>
      <c r="J1545">
        <v>27.688688922210268</v>
      </c>
      <c r="K1545">
        <v>12.260536398467426</v>
      </c>
      <c r="L1545">
        <v>2.0368217210037249</v>
      </c>
      <c r="M1545">
        <v>96.472121293261665</v>
      </c>
      <c r="N1545">
        <v>41.027508884037402</v>
      </c>
      <c r="O1545">
        <v>6.9120588235294118</v>
      </c>
      <c r="P1545">
        <v>-3.5520588235294119</v>
      </c>
      <c r="Q1545">
        <v>1544</v>
      </c>
      <c r="R1545">
        <v>28</v>
      </c>
      <c r="S1545" t="s">
        <v>24</v>
      </c>
      <c r="T1545" t="s">
        <v>1723</v>
      </c>
      <c r="U1545">
        <v>5000</v>
      </c>
      <c r="V1545">
        <v>1000</v>
      </c>
    </row>
    <row r="1546" spans="1:22" x14ac:dyDescent="0.3">
      <c r="A1546" t="s">
        <v>1724</v>
      </c>
      <c r="B1546" t="s">
        <v>170</v>
      </c>
      <c r="C1546">
        <v>-11.08</v>
      </c>
      <c r="D1546">
        <v>3.2</v>
      </c>
      <c r="E1546">
        <v>3.36</v>
      </c>
      <c r="F1546">
        <v>2.41</v>
      </c>
      <c r="G1546">
        <v>28.485499462943064</v>
      </c>
      <c r="H1546">
        <v>25.171585449553881</v>
      </c>
      <c r="I1546">
        <v>28.880226789510981</v>
      </c>
      <c r="J1546">
        <v>27.688688922210268</v>
      </c>
      <c r="K1546">
        <v>12.260536398467426</v>
      </c>
      <c r="L1546">
        <v>2.0368217210037249</v>
      </c>
      <c r="M1546">
        <v>96.472121293261665</v>
      </c>
      <c r="N1546">
        <v>41.027508884037402</v>
      </c>
      <c r="O1546">
        <v>6.9120588235294118</v>
      </c>
      <c r="P1546">
        <v>-3.5520588235294119</v>
      </c>
      <c r="Q1546">
        <v>1544</v>
      </c>
      <c r="R1546">
        <v>28</v>
      </c>
      <c r="S1546" t="s">
        <v>24</v>
      </c>
      <c r="T1546" t="s">
        <v>1723</v>
      </c>
      <c r="U1546">
        <v>5000</v>
      </c>
      <c r="V1546">
        <v>1000</v>
      </c>
    </row>
    <row r="1547" spans="1:22" x14ac:dyDescent="0.3">
      <c r="A1547" t="s">
        <v>1725</v>
      </c>
      <c r="B1547" t="s">
        <v>148</v>
      </c>
      <c r="C1547">
        <v>0.2</v>
      </c>
      <c r="D1547">
        <v>9.25</v>
      </c>
      <c r="E1547">
        <v>5.15</v>
      </c>
      <c r="F1547">
        <v>2.64</v>
      </c>
      <c r="G1547">
        <v>52.717508055853912</v>
      </c>
      <c r="H1547">
        <v>35.552505147563487</v>
      </c>
      <c r="I1547">
        <v>35.223245924875975</v>
      </c>
      <c r="J1547">
        <v>38.820876117877816</v>
      </c>
      <c r="K1547">
        <v>3.4482758620689502</v>
      </c>
      <c r="L1547">
        <v>10.006622340436293</v>
      </c>
      <c r="M1547">
        <v>82.668021694210552</v>
      </c>
      <c r="N1547">
        <v>40.939512448008784</v>
      </c>
      <c r="O1547">
        <v>10.461</v>
      </c>
      <c r="P1547">
        <v>-5.3109999999999999</v>
      </c>
      <c r="Q1547">
        <v>1546</v>
      </c>
      <c r="R1547">
        <v>39</v>
      </c>
      <c r="S1547" t="s">
        <v>24</v>
      </c>
      <c r="T1547" t="s">
        <v>107</v>
      </c>
      <c r="U1547">
        <v>5000</v>
      </c>
      <c r="V1547">
        <v>1000</v>
      </c>
    </row>
    <row r="1548" spans="1:22" x14ac:dyDescent="0.3">
      <c r="A1548" t="s">
        <v>1726</v>
      </c>
      <c r="B1548" t="s">
        <v>1019</v>
      </c>
      <c r="C1548">
        <v>5.4</v>
      </c>
      <c r="D1548">
        <v>6.13</v>
      </c>
      <c r="E1548">
        <v>8.35</v>
      </c>
      <c r="F1548">
        <v>2.66</v>
      </c>
      <c r="G1548">
        <v>63.888292158968852</v>
      </c>
      <c r="H1548">
        <v>30.199039121482503</v>
      </c>
      <c r="I1548">
        <v>46.56272147413182</v>
      </c>
      <c r="J1548">
        <v>45.118730905304432</v>
      </c>
      <c r="K1548">
        <v>2.6819923371647292</v>
      </c>
      <c r="L1548">
        <v>16.846914999080568</v>
      </c>
      <c r="M1548">
        <v>70.820287270798275</v>
      </c>
      <c r="N1548">
        <v>40.934935354642967</v>
      </c>
      <c r="O1548">
        <v>8.7813636363636363</v>
      </c>
      <c r="P1548">
        <v>-0.43136363636363662</v>
      </c>
      <c r="Q1548">
        <v>1547</v>
      </c>
      <c r="R1548">
        <v>17</v>
      </c>
      <c r="S1548" t="s">
        <v>24</v>
      </c>
      <c r="T1548" t="s">
        <v>1727</v>
      </c>
      <c r="U1548">
        <v>5000</v>
      </c>
      <c r="V1548">
        <v>1000</v>
      </c>
    </row>
    <row r="1549" spans="1:22" x14ac:dyDescent="0.3">
      <c r="A1549" t="s">
        <v>1728</v>
      </c>
      <c r="B1549" t="s">
        <v>1019</v>
      </c>
      <c r="C1549">
        <v>5.38</v>
      </c>
      <c r="D1549">
        <v>6.14</v>
      </c>
      <c r="E1549">
        <v>8.09</v>
      </c>
      <c r="F1549">
        <v>2.66</v>
      </c>
      <c r="G1549">
        <v>63.845327604726101</v>
      </c>
      <c r="H1549">
        <v>30.216197666437889</v>
      </c>
      <c r="I1549">
        <v>45.641389085754781</v>
      </c>
      <c r="J1549">
        <v>44.65461936375398</v>
      </c>
      <c r="K1549">
        <v>2.6819923371647292</v>
      </c>
      <c r="L1549">
        <v>16.833687892295654</v>
      </c>
      <c r="M1549">
        <v>70.843197291786879</v>
      </c>
      <c r="N1549">
        <v>40.708607089114892</v>
      </c>
      <c r="O1549">
        <v>8.7813636363636363</v>
      </c>
      <c r="P1549">
        <v>-0.6913636363636364</v>
      </c>
      <c r="Q1549">
        <v>1548</v>
      </c>
      <c r="R1549">
        <v>18</v>
      </c>
      <c r="S1549" t="s">
        <v>24</v>
      </c>
      <c r="T1549" t="s">
        <v>1727</v>
      </c>
      <c r="U1549">
        <v>5000</v>
      </c>
      <c r="V1549">
        <v>1000</v>
      </c>
    </row>
    <row r="1550" spans="1:22" x14ac:dyDescent="0.3">
      <c r="A1550" t="s">
        <v>1729</v>
      </c>
      <c r="B1550" t="s">
        <v>445</v>
      </c>
      <c r="C1550">
        <v>2.27</v>
      </c>
      <c r="D1550">
        <v>3.95</v>
      </c>
      <c r="E1550">
        <v>3.82</v>
      </c>
      <c r="F1550">
        <v>2.15</v>
      </c>
      <c r="G1550">
        <v>57.164339419978518</v>
      </c>
      <c r="H1550">
        <v>26.458476321207968</v>
      </c>
      <c r="I1550">
        <v>30.510276399716506</v>
      </c>
      <c r="J1550">
        <v>34.625548980216351</v>
      </c>
      <c r="K1550">
        <v>22.222222222222232</v>
      </c>
      <c r="L1550">
        <v>16.681857350650635</v>
      </c>
      <c r="M1550">
        <v>71.10617550405675</v>
      </c>
      <c r="N1550">
        <v>40.64487392167792</v>
      </c>
      <c r="O1550">
        <v>5.7759259259259252</v>
      </c>
      <c r="P1550">
        <v>-1.9559259259259254</v>
      </c>
      <c r="Q1550">
        <v>1549</v>
      </c>
      <c r="R1550">
        <v>45</v>
      </c>
      <c r="S1550" t="s">
        <v>24</v>
      </c>
      <c r="T1550" t="s">
        <v>612</v>
      </c>
      <c r="U1550">
        <v>1000</v>
      </c>
      <c r="V1550">
        <v>1000</v>
      </c>
    </row>
    <row r="1551" spans="1:22" x14ac:dyDescent="0.3">
      <c r="A1551" t="s">
        <v>1730</v>
      </c>
      <c r="B1551" t="s">
        <v>445</v>
      </c>
      <c r="C1551">
        <v>2.84</v>
      </c>
      <c r="D1551">
        <v>5.4</v>
      </c>
      <c r="E1551">
        <v>5.24</v>
      </c>
      <c r="F1551">
        <v>2.39</v>
      </c>
      <c r="G1551">
        <v>58.388829215896877</v>
      </c>
      <c r="H1551">
        <v>28.946465339739191</v>
      </c>
      <c r="I1551">
        <v>35.542168674698793</v>
      </c>
      <c r="J1551">
        <v>38.13278978245053</v>
      </c>
      <c r="K1551">
        <v>13.026819923371647</v>
      </c>
      <c r="L1551">
        <v>15.45059864527159</v>
      </c>
      <c r="M1551">
        <v>73.238778139034736</v>
      </c>
      <c r="N1551">
        <v>40.632794406826861</v>
      </c>
      <c r="O1551">
        <v>5.7759259259259252</v>
      </c>
      <c r="P1551">
        <v>-0.53592592592592503</v>
      </c>
      <c r="Q1551">
        <v>1550</v>
      </c>
      <c r="R1551">
        <v>46</v>
      </c>
      <c r="S1551" t="s">
        <v>24</v>
      </c>
      <c r="T1551" t="s">
        <v>612</v>
      </c>
      <c r="U1551">
        <v>1000</v>
      </c>
      <c r="V1551">
        <v>1000</v>
      </c>
    </row>
    <row r="1552" spans="1:22" x14ac:dyDescent="0.3">
      <c r="A1552" t="s">
        <v>1731</v>
      </c>
      <c r="B1552" t="s">
        <v>1331</v>
      </c>
      <c r="C1552">
        <v>5.87</v>
      </c>
      <c r="D1552">
        <v>3.94</v>
      </c>
      <c r="E1552">
        <v>0.75</v>
      </c>
      <c r="F1552">
        <v>1.6</v>
      </c>
      <c r="G1552">
        <v>64.897959183673464</v>
      </c>
      <c r="H1552">
        <v>26.441317776252575</v>
      </c>
      <c r="I1552">
        <v>19.631467044649185</v>
      </c>
      <c r="J1552">
        <v>30.727720691935058</v>
      </c>
      <c r="K1552">
        <v>43.295019157088113</v>
      </c>
      <c r="L1552">
        <v>24.407453253388347</v>
      </c>
      <c r="M1552">
        <v>57.725050881769093</v>
      </c>
      <c r="N1552">
        <v>40.618877855681831</v>
      </c>
      <c r="O1552">
        <v>4.7778125000000005</v>
      </c>
      <c r="P1552">
        <v>-4.0278125000000005</v>
      </c>
      <c r="Q1552">
        <v>1551</v>
      </c>
      <c r="R1552">
        <v>31</v>
      </c>
      <c r="S1552" t="s">
        <v>24</v>
      </c>
      <c r="T1552" t="s">
        <v>1332</v>
      </c>
      <c r="U1552">
        <v>20000</v>
      </c>
      <c r="V1552">
        <v>1000</v>
      </c>
    </row>
    <row r="1553" spans="1:22" x14ac:dyDescent="0.3">
      <c r="A1553" t="s">
        <v>1732</v>
      </c>
      <c r="B1553" t="s">
        <v>1331</v>
      </c>
      <c r="C1553">
        <v>5.87</v>
      </c>
      <c r="D1553">
        <v>3.94</v>
      </c>
      <c r="E1553">
        <v>0.75</v>
      </c>
      <c r="F1553">
        <v>1.6</v>
      </c>
      <c r="G1553">
        <v>64.897959183673464</v>
      </c>
      <c r="H1553">
        <v>26.441317776252575</v>
      </c>
      <c r="I1553">
        <v>19.631467044649185</v>
      </c>
      <c r="J1553">
        <v>30.727720691935058</v>
      </c>
      <c r="K1553">
        <v>43.295019157088113</v>
      </c>
      <c r="L1553">
        <v>24.407453253388347</v>
      </c>
      <c r="M1553">
        <v>57.725050881769093</v>
      </c>
      <c r="N1553">
        <v>40.618877855681831</v>
      </c>
      <c r="O1553">
        <v>4.7778125000000005</v>
      </c>
      <c r="P1553">
        <v>-4.0278125000000005</v>
      </c>
      <c r="Q1553">
        <v>1551</v>
      </c>
      <c r="R1553">
        <v>31</v>
      </c>
      <c r="S1553" t="s">
        <v>24</v>
      </c>
      <c r="T1553" t="s">
        <v>1332</v>
      </c>
      <c r="U1553">
        <v>1000</v>
      </c>
      <c r="V1553">
        <v>1000</v>
      </c>
    </row>
    <row r="1554" spans="1:22" x14ac:dyDescent="0.3">
      <c r="A1554" t="s">
        <v>1733</v>
      </c>
      <c r="B1554" t="s">
        <v>585</v>
      </c>
      <c r="C1554">
        <v>-1.4</v>
      </c>
      <c r="D1554">
        <v>3.87</v>
      </c>
      <c r="E1554">
        <v>4.59</v>
      </c>
      <c r="F1554">
        <v>2.38</v>
      </c>
      <c r="G1554">
        <v>49.28034371643394</v>
      </c>
      <c r="H1554">
        <v>26.321207961564863</v>
      </c>
      <c r="I1554">
        <v>33.238837703756197</v>
      </c>
      <c r="J1554">
        <v>34.371849983634348</v>
      </c>
      <c r="K1554">
        <v>13.409961685823756</v>
      </c>
      <c r="L1554">
        <v>11.77784241004646</v>
      </c>
      <c r="M1554">
        <v>79.600178542260053</v>
      </c>
      <c r="N1554">
        <v>40.438460048838124</v>
      </c>
      <c r="O1554">
        <v>6.6483333333333334</v>
      </c>
      <c r="P1554">
        <v>-2.0583333333333336</v>
      </c>
      <c r="Q1554">
        <v>1553</v>
      </c>
      <c r="R1554">
        <v>10</v>
      </c>
      <c r="S1554" t="s">
        <v>24</v>
      </c>
      <c r="T1554" t="s">
        <v>112</v>
      </c>
      <c r="U1554">
        <v>1000</v>
      </c>
      <c r="V1554">
        <v>1000</v>
      </c>
    </row>
    <row r="1555" spans="1:22" x14ac:dyDescent="0.3">
      <c r="A1555" t="s">
        <v>1734</v>
      </c>
      <c r="B1555" t="s">
        <v>585</v>
      </c>
      <c r="C1555">
        <v>-1.4</v>
      </c>
      <c r="D1555">
        <v>3.87</v>
      </c>
      <c r="E1555">
        <v>4.53</v>
      </c>
      <c r="F1555">
        <v>2.38</v>
      </c>
      <c r="G1555">
        <v>49.28034371643394</v>
      </c>
      <c r="H1555">
        <v>26.321207961564863</v>
      </c>
      <c r="I1555">
        <v>33.026222537207651</v>
      </c>
      <c r="J1555">
        <v>34.265542400360076</v>
      </c>
      <c r="K1555">
        <v>13.409961685823756</v>
      </c>
      <c r="L1555">
        <v>11.805899587205419</v>
      </c>
      <c r="M1555">
        <v>79.551582085903775</v>
      </c>
      <c r="N1555">
        <v>40.373157143111925</v>
      </c>
      <c r="O1555">
        <v>6.6483333333333334</v>
      </c>
      <c r="P1555">
        <v>-2.1183333333333332</v>
      </c>
      <c r="Q1555">
        <v>1554</v>
      </c>
      <c r="R1555">
        <v>11</v>
      </c>
      <c r="S1555" t="s">
        <v>24</v>
      </c>
      <c r="T1555" t="s">
        <v>112</v>
      </c>
      <c r="U1555">
        <v>1000</v>
      </c>
      <c r="V1555">
        <v>1000</v>
      </c>
    </row>
    <row r="1556" spans="1:22" x14ac:dyDescent="0.3">
      <c r="A1556" t="s">
        <v>1735</v>
      </c>
      <c r="B1556" t="s">
        <v>494</v>
      </c>
      <c r="C1556">
        <v>2.99</v>
      </c>
      <c r="D1556">
        <v>6.15</v>
      </c>
      <c r="E1556">
        <v>5.37</v>
      </c>
      <c r="F1556">
        <v>2.48</v>
      </c>
      <c r="G1556">
        <v>58.711063372717511</v>
      </c>
      <c r="H1556">
        <v>30.233356211393282</v>
      </c>
      <c r="I1556">
        <v>36.002834868887312</v>
      </c>
      <c r="J1556">
        <v>38.813636972405142</v>
      </c>
      <c r="K1556">
        <v>9.578544061302674</v>
      </c>
      <c r="L1556">
        <v>15.055067424445403</v>
      </c>
      <c r="M1556">
        <v>73.923858309485439</v>
      </c>
      <c r="N1556">
        <v>40.282419078899601</v>
      </c>
      <c r="O1556">
        <v>7.1099999999999994</v>
      </c>
      <c r="P1556">
        <v>-1.7399999999999993</v>
      </c>
      <c r="Q1556">
        <v>1555</v>
      </c>
      <c r="R1556">
        <v>12</v>
      </c>
      <c r="S1556" t="s">
        <v>24</v>
      </c>
      <c r="T1556" t="s">
        <v>1716</v>
      </c>
      <c r="U1556">
        <v>1000</v>
      </c>
      <c r="V1556">
        <v>1000</v>
      </c>
    </row>
    <row r="1557" spans="1:22" x14ac:dyDescent="0.3">
      <c r="A1557" t="s">
        <v>1736</v>
      </c>
      <c r="B1557" t="s">
        <v>585</v>
      </c>
      <c r="C1557">
        <v>-1.4</v>
      </c>
      <c r="D1557">
        <v>3.87</v>
      </c>
      <c r="E1557">
        <v>4.43</v>
      </c>
      <c r="F1557">
        <v>2.38</v>
      </c>
      <c r="G1557">
        <v>49.28034371643394</v>
      </c>
      <c r="H1557">
        <v>26.321207961564863</v>
      </c>
      <c r="I1557">
        <v>32.671863926293412</v>
      </c>
      <c r="J1557">
        <v>34.088363094902952</v>
      </c>
      <c r="K1557">
        <v>13.409961685823756</v>
      </c>
      <c r="L1557">
        <v>11.85533878844152</v>
      </c>
      <c r="M1557">
        <v>79.465950877477226</v>
      </c>
      <c r="N1557">
        <v>40.263159688276723</v>
      </c>
      <c r="O1557">
        <v>6.6483333333333334</v>
      </c>
      <c r="P1557">
        <v>-2.2183333333333337</v>
      </c>
      <c r="Q1557">
        <v>1556</v>
      </c>
      <c r="R1557">
        <v>12</v>
      </c>
      <c r="S1557" t="s">
        <v>24</v>
      </c>
      <c r="T1557" t="s">
        <v>112</v>
      </c>
      <c r="U1557">
        <v>1000</v>
      </c>
      <c r="V1557">
        <v>1000</v>
      </c>
    </row>
    <row r="1558" spans="1:22" x14ac:dyDescent="0.3">
      <c r="A1558" t="s">
        <v>1737</v>
      </c>
      <c r="B1558" t="s">
        <v>727</v>
      </c>
      <c r="C1558">
        <v>-5.47</v>
      </c>
      <c r="D1558">
        <v>2.2799999999999998</v>
      </c>
      <c r="E1558">
        <v>4.6100000000000003</v>
      </c>
      <c r="F1558">
        <v>2.42</v>
      </c>
      <c r="G1558">
        <v>40.537056928034367</v>
      </c>
      <c r="H1558">
        <v>23.592999313658204</v>
      </c>
      <c r="I1558">
        <v>33.309709425939047</v>
      </c>
      <c r="J1558">
        <v>31.840165892673859</v>
      </c>
      <c r="K1558">
        <v>11.877394636015314</v>
      </c>
      <c r="L1558">
        <v>8.5024515656901674</v>
      </c>
      <c r="M1558">
        <v>85.27332189933108</v>
      </c>
      <c r="N1558">
        <v>40.207762080173524</v>
      </c>
      <c r="O1558">
        <v>8.7869230769230775</v>
      </c>
      <c r="P1558">
        <v>-4.1769230769230772</v>
      </c>
      <c r="Q1558">
        <v>1557</v>
      </c>
      <c r="R1558">
        <v>9</v>
      </c>
      <c r="S1558" t="s">
        <v>24</v>
      </c>
      <c r="T1558" t="s">
        <v>1738</v>
      </c>
      <c r="U1558">
        <v>5000</v>
      </c>
      <c r="V1558">
        <v>1000</v>
      </c>
    </row>
    <row r="1559" spans="1:22" x14ac:dyDescent="0.3">
      <c r="A1559" t="s">
        <v>1739</v>
      </c>
      <c r="B1559" t="s">
        <v>727</v>
      </c>
      <c r="C1559">
        <v>-5.47</v>
      </c>
      <c r="D1559">
        <v>2.2799999999999998</v>
      </c>
      <c r="E1559">
        <v>4.6100000000000003</v>
      </c>
      <c r="F1559">
        <v>2.42</v>
      </c>
      <c r="G1559">
        <v>40.537056928034367</v>
      </c>
      <c r="H1559">
        <v>23.592999313658204</v>
      </c>
      <c r="I1559">
        <v>33.309709425939047</v>
      </c>
      <c r="J1559">
        <v>31.840165892673859</v>
      </c>
      <c r="K1559">
        <v>11.877394636015314</v>
      </c>
      <c r="L1559">
        <v>8.5024515656901674</v>
      </c>
      <c r="M1559">
        <v>85.27332189933108</v>
      </c>
      <c r="N1559">
        <v>40.207762080173524</v>
      </c>
      <c r="O1559">
        <v>8.7869230769230775</v>
      </c>
      <c r="P1559">
        <v>-4.1769230769230772</v>
      </c>
      <c r="Q1559">
        <v>1557</v>
      </c>
      <c r="R1559">
        <v>9</v>
      </c>
      <c r="S1559" t="s">
        <v>24</v>
      </c>
      <c r="T1559" t="s">
        <v>1738</v>
      </c>
      <c r="U1559">
        <v>5000</v>
      </c>
      <c r="V1559">
        <v>1000</v>
      </c>
    </row>
    <row r="1560" spans="1:22" x14ac:dyDescent="0.3">
      <c r="A1560" t="s">
        <v>1740</v>
      </c>
      <c r="B1560" t="s">
        <v>727</v>
      </c>
      <c r="C1560">
        <v>-5.47</v>
      </c>
      <c r="D1560">
        <v>2.2799999999999998</v>
      </c>
      <c r="E1560">
        <v>4.6100000000000003</v>
      </c>
      <c r="F1560">
        <v>2.42</v>
      </c>
      <c r="G1560">
        <v>40.537056928034367</v>
      </c>
      <c r="H1560">
        <v>23.592999313658204</v>
      </c>
      <c r="I1560">
        <v>33.309709425939047</v>
      </c>
      <c r="J1560">
        <v>31.840165892673859</v>
      </c>
      <c r="K1560">
        <v>11.877394636015314</v>
      </c>
      <c r="L1560">
        <v>8.5024515656901674</v>
      </c>
      <c r="M1560">
        <v>85.27332189933108</v>
      </c>
      <c r="N1560">
        <v>40.207762080173524</v>
      </c>
      <c r="O1560">
        <v>8.7869230769230775</v>
      </c>
      <c r="P1560">
        <v>-4.1769230769230772</v>
      </c>
      <c r="Q1560">
        <v>1557</v>
      </c>
      <c r="R1560">
        <v>9</v>
      </c>
      <c r="S1560" t="s">
        <v>24</v>
      </c>
      <c r="T1560" t="s">
        <v>1738</v>
      </c>
      <c r="U1560">
        <v>5000</v>
      </c>
    </row>
    <row r="1561" spans="1:22" x14ac:dyDescent="0.3">
      <c r="A1561" t="s">
        <v>1741</v>
      </c>
      <c r="B1561" t="s">
        <v>445</v>
      </c>
      <c r="C1561">
        <v>2.84</v>
      </c>
      <c r="D1561">
        <v>4.96</v>
      </c>
      <c r="E1561">
        <v>5</v>
      </c>
      <c r="F1561">
        <v>2.39</v>
      </c>
      <c r="G1561">
        <v>58.388829215896877</v>
      </c>
      <c r="H1561">
        <v>28.191489361702132</v>
      </c>
      <c r="I1561">
        <v>34.691708008504605</v>
      </c>
      <c r="J1561">
        <v>37.481066655942314</v>
      </c>
      <c r="K1561">
        <v>13.026819923371647</v>
      </c>
      <c r="L1561">
        <v>15.893844354779921</v>
      </c>
      <c r="M1561">
        <v>72.471054049929393</v>
      </c>
      <c r="N1561">
        <v>40.115001821296417</v>
      </c>
      <c r="O1561">
        <v>5.7759259259259252</v>
      </c>
      <c r="P1561">
        <v>-0.77592592592592524</v>
      </c>
      <c r="Q1561">
        <v>1560</v>
      </c>
      <c r="R1561">
        <v>47</v>
      </c>
      <c r="S1561" t="s">
        <v>24</v>
      </c>
      <c r="T1561" t="s">
        <v>612</v>
      </c>
      <c r="U1561">
        <v>1000</v>
      </c>
      <c r="V1561">
        <v>1000</v>
      </c>
    </row>
    <row r="1562" spans="1:22" x14ac:dyDescent="0.3">
      <c r="A1562" t="s">
        <v>1742</v>
      </c>
      <c r="B1562" t="s">
        <v>148</v>
      </c>
      <c r="C1562">
        <v>0.2</v>
      </c>
      <c r="D1562">
        <v>9.2100000000000009</v>
      </c>
      <c r="E1562">
        <v>4.5599999999999996</v>
      </c>
      <c r="F1562">
        <v>2.64</v>
      </c>
      <c r="G1562">
        <v>52.717508055853912</v>
      </c>
      <c r="H1562">
        <v>35.483870967741936</v>
      </c>
      <c r="I1562">
        <v>33.132530120481924</v>
      </c>
      <c r="J1562">
        <v>37.754927961734325</v>
      </c>
      <c r="K1562">
        <v>3.4482758620689502</v>
      </c>
      <c r="L1562">
        <v>10.693443565987446</v>
      </c>
      <c r="M1562">
        <v>81.478412435839232</v>
      </c>
      <c r="N1562">
        <v>40.109136055344209</v>
      </c>
      <c r="O1562">
        <v>10.461</v>
      </c>
      <c r="P1562">
        <v>-5.9010000000000007</v>
      </c>
      <c r="Q1562">
        <v>1561</v>
      </c>
      <c r="R1562">
        <v>40</v>
      </c>
      <c r="S1562" t="s">
        <v>24</v>
      </c>
      <c r="T1562" t="s">
        <v>107</v>
      </c>
      <c r="U1562">
        <v>5000</v>
      </c>
      <c r="V1562">
        <v>1000</v>
      </c>
    </row>
    <row r="1563" spans="1:22" x14ac:dyDescent="0.3">
      <c r="A1563" t="s">
        <v>1743</v>
      </c>
      <c r="B1563" t="s">
        <v>965</v>
      </c>
      <c r="C1563">
        <v>3.38</v>
      </c>
      <c r="D1563">
        <v>0.73</v>
      </c>
      <c r="E1563">
        <v>3.7</v>
      </c>
      <c r="F1563">
        <v>1.99</v>
      </c>
      <c r="G1563">
        <v>59.548872180451127</v>
      </c>
      <c r="H1563">
        <v>20.933424845573096</v>
      </c>
      <c r="I1563">
        <v>30.085046066619412</v>
      </c>
      <c r="J1563">
        <v>33.232324923071857</v>
      </c>
      <c r="K1563">
        <v>28.352490421455933</v>
      </c>
      <c r="L1563">
        <v>20.17846208672486</v>
      </c>
      <c r="M1563">
        <v>65.049878447190238</v>
      </c>
      <c r="N1563">
        <v>39.96675467869747</v>
      </c>
      <c r="O1563">
        <v>4.3271875</v>
      </c>
      <c r="P1563">
        <v>-0.62718749999999979</v>
      </c>
      <c r="Q1563">
        <v>1562</v>
      </c>
      <c r="R1563">
        <v>25</v>
      </c>
      <c r="S1563" t="s">
        <v>24</v>
      </c>
      <c r="T1563" t="s">
        <v>968</v>
      </c>
      <c r="U1563">
        <v>1000</v>
      </c>
      <c r="V1563">
        <v>1000</v>
      </c>
    </row>
    <row r="1564" spans="1:22" x14ac:dyDescent="0.3">
      <c r="A1564" t="s">
        <v>1744</v>
      </c>
      <c r="B1564" t="s">
        <v>445</v>
      </c>
      <c r="C1564">
        <v>21.89</v>
      </c>
      <c r="D1564">
        <v>13.1</v>
      </c>
      <c r="E1564">
        <v>5.86</v>
      </c>
      <c r="F1564">
        <v>2.2999999999999998</v>
      </c>
      <c r="G1564">
        <v>99.312567132116001</v>
      </c>
      <c r="H1564">
        <v>42.158544955387789</v>
      </c>
      <c r="I1564">
        <v>37.73919206236711</v>
      </c>
      <c r="J1564">
        <v>51.379672944223095</v>
      </c>
      <c r="K1564">
        <v>16.475095785440619</v>
      </c>
      <c r="L1564">
        <v>34.344804188433329</v>
      </c>
      <c r="M1564">
        <v>40.513054169629093</v>
      </c>
      <c r="N1564">
        <v>39.936873960878977</v>
      </c>
      <c r="O1564">
        <v>5.7759259259259252</v>
      </c>
      <c r="P1564">
        <v>8.4074074074075078E-2</v>
      </c>
      <c r="Q1564">
        <v>1563</v>
      </c>
      <c r="R1564">
        <v>48</v>
      </c>
      <c r="S1564" t="s">
        <v>24</v>
      </c>
      <c r="T1564" t="s">
        <v>612</v>
      </c>
      <c r="U1564">
        <v>10000</v>
      </c>
      <c r="V1564">
        <v>1000</v>
      </c>
    </row>
    <row r="1565" spans="1:22" x14ac:dyDescent="0.3">
      <c r="A1565" t="s">
        <v>1745</v>
      </c>
      <c r="B1565" t="s">
        <v>965</v>
      </c>
      <c r="C1565">
        <v>3.37</v>
      </c>
      <c r="D1565">
        <v>0.73</v>
      </c>
      <c r="E1565">
        <v>3.48</v>
      </c>
      <c r="F1565">
        <v>1.99</v>
      </c>
      <c r="G1565">
        <v>59.527389903329755</v>
      </c>
      <c r="H1565">
        <v>20.933424845573096</v>
      </c>
      <c r="I1565">
        <v>29.305457122608075</v>
      </c>
      <c r="J1565">
        <v>32.838233995641914</v>
      </c>
      <c r="K1565">
        <v>28.352490421455933</v>
      </c>
      <c r="L1565">
        <v>20.301684184362298</v>
      </c>
      <c r="M1565">
        <v>64.836451513466983</v>
      </c>
      <c r="N1565">
        <v>39.716352481551688</v>
      </c>
      <c r="O1565">
        <v>4.3271875</v>
      </c>
      <c r="P1565">
        <v>-0.84718749999999998</v>
      </c>
      <c r="Q1565">
        <v>1564</v>
      </c>
      <c r="R1565">
        <v>26</v>
      </c>
      <c r="S1565" t="s">
        <v>24</v>
      </c>
      <c r="T1565" t="s">
        <v>968</v>
      </c>
      <c r="U1565">
        <v>1000</v>
      </c>
      <c r="V1565">
        <v>1000</v>
      </c>
    </row>
    <row r="1566" spans="1:22" x14ac:dyDescent="0.3">
      <c r="A1566" t="s">
        <v>1746</v>
      </c>
      <c r="B1566" t="s">
        <v>445</v>
      </c>
      <c r="C1566">
        <v>4.5199999999999996</v>
      </c>
      <c r="D1566">
        <v>3.14</v>
      </c>
      <c r="E1566">
        <v>2.6</v>
      </c>
      <c r="F1566">
        <v>1.97</v>
      </c>
      <c r="G1566">
        <v>61.997851772287859</v>
      </c>
      <c r="H1566">
        <v>25.068634179821554</v>
      </c>
      <c r="I1566">
        <v>26.18710134656272</v>
      </c>
      <c r="J1566">
        <v>33.013711281685403</v>
      </c>
      <c r="K1566">
        <v>29.118773946360154</v>
      </c>
      <c r="L1566">
        <v>21.005665612116708</v>
      </c>
      <c r="M1566">
        <v>63.617119913011457</v>
      </c>
      <c r="N1566">
        <v>39.690829105685602</v>
      </c>
      <c r="O1566">
        <v>5.7759259259259252</v>
      </c>
      <c r="P1566">
        <v>-3.1759259259259252</v>
      </c>
      <c r="Q1566">
        <v>1565</v>
      </c>
      <c r="R1566">
        <v>49</v>
      </c>
      <c r="S1566" t="s">
        <v>24</v>
      </c>
      <c r="T1566" t="s">
        <v>612</v>
      </c>
      <c r="U1566">
        <v>5000</v>
      </c>
      <c r="V1566">
        <v>1000</v>
      </c>
    </row>
    <row r="1567" spans="1:22" x14ac:dyDescent="0.3">
      <c r="A1567" t="s">
        <v>1747</v>
      </c>
      <c r="B1567" t="s">
        <v>383</v>
      </c>
      <c r="C1567">
        <v>3.33</v>
      </c>
      <c r="D1567">
        <v>3.34</v>
      </c>
      <c r="E1567">
        <v>0.31</v>
      </c>
      <c r="F1567">
        <v>1.69</v>
      </c>
      <c r="G1567">
        <v>59.441460794844247</v>
      </c>
      <c r="H1567">
        <v>25.411805078929312</v>
      </c>
      <c r="I1567">
        <v>18.072289156626503</v>
      </c>
      <c r="J1567">
        <v>28.547978260960896</v>
      </c>
      <c r="K1567">
        <v>39.846743295019159</v>
      </c>
      <c r="L1567">
        <v>22.07296356839349</v>
      </c>
      <c r="M1567">
        <v>61.768505625925648</v>
      </c>
      <c r="N1567">
        <v>39.67780136071665</v>
      </c>
      <c r="O1567">
        <v>6.1480952380952392</v>
      </c>
      <c r="P1567">
        <v>-5.8380952380952396</v>
      </c>
      <c r="Q1567">
        <v>1566</v>
      </c>
      <c r="R1567">
        <v>38</v>
      </c>
      <c r="S1567" t="s">
        <v>24</v>
      </c>
      <c r="T1567" t="s">
        <v>384</v>
      </c>
      <c r="U1567">
        <v>5000</v>
      </c>
      <c r="V1567">
        <v>1000</v>
      </c>
    </row>
    <row r="1568" spans="1:22" x14ac:dyDescent="0.3">
      <c r="A1568" t="s">
        <v>1748</v>
      </c>
      <c r="B1568" t="s">
        <v>383</v>
      </c>
      <c r="C1568">
        <v>3.33</v>
      </c>
      <c r="D1568">
        <v>3.34</v>
      </c>
      <c r="E1568">
        <v>0.31</v>
      </c>
      <c r="F1568">
        <v>1.69</v>
      </c>
      <c r="G1568">
        <v>59.441460794844247</v>
      </c>
      <c r="H1568">
        <v>25.411805078929312</v>
      </c>
      <c r="I1568">
        <v>18.072289156626503</v>
      </c>
      <c r="J1568">
        <v>28.547978260960896</v>
      </c>
      <c r="K1568">
        <v>39.846743295019159</v>
      </c>
      <c r="L1568">
        <v>22.07296356839349</v>
      </c>
      <c r="M1568">
        <v>61.768505625925648</v>
      </c>
      <c r="N1568">
        <v>39.67780136071665</v>
      </c>
      <c r="O1568">
        <v>6.1480952380952392</v>
      </c>
      <c r="P1568">
        <v>-5.8380952380952396</v>
      </c>
      <c r="Q1568">
        <v>1566</v>
      </c>
      <c r="R1568">
        <v>38</v>
      </c>
      <c r="S1568" t="s">
        <v>24</v>
      </c>
      <c r="T1568" t="s">
        <v>384</v>
      </c>
      <c r="U1568">
        <v>5000</v>
      </c>
    </row>
    <row r="1569" spans="1:22" x14ac:dyDescent="0.3">
      <c r="A1569" t="s">
        <v>1749</v>
      </c>
      <c r="B1569" t="s">
        <v>170</v>
      </c>
      <c r="C1569">
        <v>1.33</v>
      </c>
      <c r="D1569">
        <v>0.38</v>
      </c>
      <c r="E1569">
        <v>-1.21</v>
      </c>
      <c r="F1569">
        <v>1.4</v>
      </c>
      <c r="G1569">
        <v>55.14500537056928</v>
      </c>
      <c r="H1569">
        <v>20.332875772134525</v>
      </c>
      <c r="I1569">
        <v>12.686038270729977</v>
      </c>
      <c r="J1569">
        <v>23.471882941119205</v>
      </c>
      <c r="K1569">
        <v>50.957854406130274</v>
      </c>
      <c r="L1569">
        <v>22.631550168353989</v>
      </c>
      <c r="M1569">
        <v>60.801005254366913</v>
      </c>
      <c r="N1569">
        <v>39.675656385683901</v>
      </c>
      <c r="O1569">
        <v>6.9120588235294118</v>
      </c>
      <c r="P1569">
        <v>-8.1220588235294109</v>
      </c>
      <c r="Q1569">
        <v>1568</v>
      </c>
      <c r="R1569">
        <v>30</v>
      </c>
      <c r="S1569" t="s">
        <v>24</v>
      </c>
      <c r="T1569" t="s">
        <v>598</v>
      </c>
      <c r="U1569">
        <v>5000</v>
      </c>
      <c r="V1569">
        <v>1000</v>
      </c>
    </row>
    <row r="1570" spans="1:22" x14ac:dyDescent="0.3">
      <c r="A1570" t="s">
        <v>1750</v>
      </c>
      <c r="B1570" t="s">
        <v>170</v>
      </c>
      <c r="C1570">
        <v>1.33</v>
      </c>
      <c r="D1570">
        <v>0.38</v>
      </c>
      <c r="E1570">
        <v>-1.21</v>
      </c>
      <c r="F1570">
        <v>1.4</v>
      </c>
      <c r="G1570">
        <v>55.14500537056928</v>
      </c>
      <c r="H1570">
        <v>20.332875772134525</v>
      </c>
      <c r="I1570">
        <v>12.686038270729977</v>
      </c>
      <c r="J1570">
        <v>23.471882941119205</v>
      </c>
      <c r="K1570">
        <v>50.957854406130274</v>
      </c>
      <c r="L1570">
        <v>22.631550168353989</v>
      </c>
      <c r="M1570">
        <v>60.801005254366913</v>
      </c>
      <c r="N1570">
        <v>39.675656385683901</v>
      </c>
      <c r="O1570">
        <v>6.9120588235294118</v>
      </c>
      <c r="P1570">
        <v>-8.1220588235294109</v>
      </c>
      <c r="Q1570">
        <v>1568</v>
      </c>
      <c r="R1570">
        <v>30</v>
      </c>
      <c r="S1570" t="s">
        <v>24</v>
      </c>
      <c r="T1570" t="s">
        <v>598</v>
      </c>
      <c r="U1570">
        <v>5000</v>
      </c>
      <c r="V1570">
        <v>1000</v>
      </c>
    </row>
    <row r="1571" spans="1:22" x14ac:dyDescent="0.3">
      <c r="A1571" t="s">
        <v>1751</v>
      </c>
      <c r="B1571" t="s">
        <v>445</v>
      </c>
      <c r="C1571">
        <v>21.89</v>
      </c>
      <c r="D1571">
        <v>13.1</v>
      </c>
      <c r="E1571">
        <v>5.67</v>
      </c>
      <c r="F1571">
        <v>2.2999999999999998</v>
      </c>
      <c r="G1571">
        <v>99.312567132116001</v>
      </c>
      <c r="H1571">
        <v>42.158544955387789</v>
      </c>
      <c r="I1571">
        <v>37.065910701630045</v>
      </c>
      <c r="J1571">
        <v>51.043032263854563</v>
      </c>
      <c r="K1571">
        <v>16.475095785440619</v>
      </c>
      <c r="L1571">
        <v>34.561933326024665</v>
      </c>
      <c r="M1571">
        <v>40.136975471517289</v>
      </c>
      <c r="N1571">
        <v>39.674533946166761</v>
      </c>
      <c r="O1571">
        <v>5.7759259259259252</v>
      </c>
      <c r="P1571">
        <v>-0.10592592592592531</v>
      </c>
      <c r="Q1571">
        <v>1570</v>
      </c>
      <c r="R1571">
        <v>50</v>
      </c>
      <c r="S1571" t="s">
        <v>24</v>
      </c>
      <c r="T1571" t="s">
        <v>612</v>
      </c>
      <c r="U1571">
        <v>10000</v>
      </c>
      <c r="V1571">
        <v>1000</v>
      </c>
    </row>
    <row r="1572" spans="1:22" x14ac:dyDescent="0.3">
      <c r="A1572" t="s">
        <v>1752</v>
      </c>
      <c r="B1572" t="s">
        <v>445</v>
      </c>
      <c r="C1572">
        <v>21.89</v>
      </c>
      <c r="D1572">
        <v>13.11</v>
      </c>
      <c r="E1572">
        <v>5.62</v>
      </c>
      <c r="F1572">
        <v>2.2999999999999998</v>
      </c>
      <c r="G1572">
        <v>99.312567132116001</v>
      </c>
      <c r="H1572">
        <v>42.175703500343175</v>
      </c>
      <c r="I1572">
        <v>36.888731396172922</v>
      </c>
      <c r="J1572">
        <v>50.959590174612615</v>
      </c>
      <c r="K1572">
        <v>16.475095785440619</v>
      </c>
      <c r="L1572">
        <v>34.615286911262395</v>
      </c>
      <c r="M1572">
        <v>40.044564351119583</v>
      </c>
      <c r="N1572">
        <v>39.609710121446355</v>
      </c>
      <c r="O1572">
        <v>5.7759259259259252</v>
      </c>
      <c r="P1572">
        <v>-0.15592592592592514</v>
      </c>
      <c r="Q1572">
        <v>1571</v>
      </c>
      <c r="R1572">
        <v>51</v>
      </c>
      <c r="S1572" t="s">
        <v>24</v>
      </c>
      <c r="T1572" t="s">
        <v>612</v>
      </c>
      <c r="U1572">
        <v>10000</v>
      </c>
      <c r="V1572">
        <v>1000</v>
      </c>
    </row>
    <row r="1573" spans="1:22" x14ac:dyDescent="0.3">
      <c r="A1573" t="s">
        <v>1753</v>
      </c>
      <c r="B1573" t="s">
        <v>965</v>
      </c>
      <c r="C1573">
        <v>3.37</v>
      </c>
      <c r="D1573">
        <v>0.73</v>
      </c>
      <c r="E1573">
        <v>3.3</v>
      </c>
      <c r="F1573">
        <v>1.99</v>
      </c>
      <c r="G1573">
        <v>59.527389903329755</v>
      </c>
      <c r="H1573">
        <v>20.933424845573096</v>
      </c>
      <c r="I1573">
        <v>28.667611622962436</v>
      </c>
      <c r="J1573">
        <v>32.519311245819097</v>
      </c>
      <c r="K1573">
        <v>28.352490421455933</v>
      </c>
      <c r="L1573">
        <v>20.41909930881835</v>
      </c>
      <c r="M1573">
        <v>64.63308255233207</v>
      </c>
      <c r="N1573">
        <v>39.506048866356551</v>
      </c>
      <c r="O1573">
        <v>4.3271875</v>
      </c>
      <c r="P1573">
        <v>-1.0271875000000001</v>
      </c>
      <c r="Q1573">
        <v>1572</v>
      </c>
      <c r="R1573">
        <v>27</v>
      </c>
      <c r="S1573" t="s">
        <v>24</v>
      </c>
      <c r="T1573" t="s">
        <v>968</v>
      </c>
      <c r="U1573">
        <v>1000</v>
      </c>
      <c r="V1573">
        <v>1000</v>
      </c>
    </row>
    <row r="1574" spans="1:22" x14ac:dyDescent="0.3">
      <c r="A1574" t="s">
        <v>1754</v>
      </c>
      <c r="B1574" t="s">
        <v>383</v>
      </c>
      <c r="C1574">
        <v>3.33</v>
      </c>
      <c r="D1574">
        <v>3.34</v>
      </c>
      <c r="E1574">
        <v>0.19</v>
      </c>
      <c r="F1574">
        <v>1.69</v>
      </c>
      <c r="G1574">
        <v>59.441460794844247</v>
      </c>
      <c r="H1574">
        <v>25.411805078929312</v>
      </c>
      <c r="I1574">
        <v>17.647058823529409</v>
      </c>
      <c r="J1574">
        <v>28.335363094412351</v>
      </c>
      <c r="K1574">
        <v>39.846743295019159</v>
      </c>
      <c r="L1574">
        <v>22.230162650080835</v>
      </c>
      <c r="M1574">
        <v>61.496228829539994</v>
      </c>
      <c r="N1574">
        <v>39.503424578345964</v>
      </c>
      <c r="O1574">
        <v>6.1480952380952392</v>
      </c>
      <c r="P1574">
        <v>-5.9580952380952388</v>
      </c>
      <c r="Q1574">
        <v>1573</v>
      </c>
      <c r="R1574">
        <v>40</v>
      </c>
      <c r="S1574" t="s">
        <v>24</v>
      </c>
      <c r="T1574" t="s">
        <v>384</v>
      </c>
      <c r="U1574">
        <v>5000</v>
      </c>
      <c r="V1574">
        <v>1000</v>
      </c>
    </row>
    <row r="1575" spans="1:22" x14ac:dyDescent="0.3">
      <c r="A1575" t="s">
        <v>1755</v>
      </c>
      <c r="B1575" t="s">
        <v>383</v>
      </c>
      <c r="C1575">
        <v>3.33</v>
      </c>
      <c r="D1575">
        <v>3.34</v>
      </c>
      <c r="E1575">
        <v>0.18</v>
      </c>
      <c r="F1575">
        <v>1.69</v>
      </c>
      <c r="G1575">
        <v>59.441460794844247</v>
      </c>
      <c r="H1575">
        <v>25.411805078929312</v>
      </c>
      <c r="I1575">
        <v>17.611622962437988</v>
      </c>
      <c r="J1575">
        <v>28.317645163866636</v>
      </c>
      <c r="K1575">
        <v>39.846743295019159</v>
      </c>
      <c r="L1575">
        <v>22.243334740544707</v>
      </c>
      <c r="M1575">
        <v>61.473414099614679</v>
      </c>
      <c r="N1575">
        <v>39.488861930591774</v>
      </c>
      <c r="O1575">
        <v>6.1480952380952392</v>
      </c>
      <c r="P1575">
        <v>-5.9680952380952395</v>
      </c>
      <c r="Q1575">
        <v>1574</v>
      </c>
      <c r="R1575">
        <v>41</v>
      </c>
      <c r="S1575" t="s">
        <v>24</v>
      </c>
      <c r="T1575" t="s">
        <v>384</v>
      </c>
      <c r="U1575">
        <v>5000</v>
      </c>
      <c r="V1575">
        <v>1000</v>
      </c>
    </row>
    <row r="1576" spans="1:22" x14ac:dyDescent="0.3">
      <c r="A1576" t="s">
        <v>1756</v>
      </c>
      <c r="B1576" t="s">
        <v>383</v>
      </c>
      <c r="C1576">
        <v>3.33</v>
      </c>
      <c r="D1576">
        <v>3.34</v>
      </c>
      <c r="E1576">
        <v>0.15</v>
      </c>
      <c r="F1576">
        <v>1.69</v>
      </c>
      <c r="G1576">
        <v>59.441460794844247</v>
      </c>
      <c r="H1576">
        <v>25.411805078929312</v>
      </c>
      <c r="I1576">
        <v>17.505315379163715</v>
      </c>
      <c r="J1576">
        <v>28.2644913722295</v>
      </c>
      <c r="K1576">
        <v>39.846743295019159</v>
      </c>
      <c r="L1576">
        <v>22.282916998758282</v>
      </c>
      <c r="M1576">
        <v>61.404855617310453</v>
      </c>
      <c r="N1576">
        <v>39.445145414197157</v>
      </c>
      <c r="O1576">
        <v>6.1480952380952392</v>
      </c>
      <c r="P1576">
        <v>-5.9980952380952388</v>
      </c>
      <c r="Q1576">
        <v>1575</v>
      </c>
      <c r="R1576">
        <v>42</v>
      </c>
      <c r="S1576" t="s">
        <v>24</v>
      </c>
      <c r="T1576" t="s">
        <v>384</v>
      </c>
      <c r="U1576">
        <v>5000</v>
      </c>
      <c r="V1576">
        <v>1000</v>
      </c>
    </row>
    <row r="1577" spans="1:22" x14ac:dyDescent="0.3">
      <c r="A1577" t="s">
        <v>1757</v>
      </c>
      <c r="B1577" t="s">
        <v>773</v>
      </c>
      <c r="C1577">
        <v>5.79</v>
      </c>
      <c r="D1577">
        <v>2.11</v>
      </c>
      <c r="E1577">
        <v>3.22</v>
      </c>
      <c r="F1577">
        <v>2</v>
      </c>
      <c r="G1577">
        <v>64.726100966702475</v>
      </c>
      <c r="H1577">
        <v>23.301304049416611</v>
      </c>
      <c r="I1577">
        <v>28.384124734231044</v>
      </c>
      <c r="J1577">
        <v>34.127673775280996</v>
      </c>
      <c r="K1577">
        <v>27.969348659003824</v>
      </c>
      <c r="L1577">
        <v>22.592727820524729</v>
      </c>
      <c r="M1577">
        <v>60.868247533276296</v>
      </c>
      <c r="N1577">
        <v>39.273235935710531</v>
      </c>
      <c r="O1577">
        <v>4.1175000000000006</v>
      </c>
      <c r="P1577">
        <v>-0.89750000000000041</v>
      </c>
      <c r="Q1577">
        <v>1576</v>
      </c>
      <c r="R1577">
        <v>7</v>
      </c>
      <c r="S1577" t="s">
        <v>24</v>
      </c>
      <c r="T1577" t="s">
        <v>1758</v>
      </c>
      <c r="U1577">
        <v>5000</v>
      </c>
      <c r="V1577">
        <v>1000</v>
      </c>
    </row>
    <row r="1578" spans="1:22" x14ac:dyDescent="0.3">
      <c r="A1578" t="s">
        <v>1759</v>
      </c>
      <c r="B1578" t="s">
        <v>773</v>
      </c>
      <c r="C1578">
        <v>5.78</v>
      </c>
      <c r="D1578">
        <v>2.11</v>
      </c>
      <c r="E1578">
        <v>3.13</v>
      </c>
      <c r="F1578">
        <v>2</v>
      </c>
      <c r="G1578">
        <v>64.704618689581096</v>
      </c>
      <c r="H1578">
        <v>23.301304049416611</v>
      </c>
      <c r="I1578">
        <v>28.065201984408215</v>
      </c>
      <c r="J1578">
        <v>33.963915944945313</v>
      </c>
      <c r="K1578">
        <v>27.969348659003824</v>
      </c>
      <c r="L1578">
        <v>22.65456555613304</v>
      </c>
      <c r="M1578">
        <v>60.761141433377695</v>
      </c>
      <c r="N1578">
        <v>39.164580495568039</v>
      </c>
      <c r="O1578">
        <v>4.1175000000000006</v>
      </c>
      <c r="P1578">
        <v>-0.98750000000000071</v>
      </c>
      <c r="Q1578">
        <v>1577</v>
      </c>
      <c r="R1578">
        <v>8</v>
      </c>
      <c r="S1578" t="s">
        <v>24</v>
      </c>
      <c r="T1578" t="s">
        <v>1758</v>
      </c>
      <c r="U1578">
        <v>5000</v>
      </c>
      <c r="V1578">
        <v>1000</v>
      </c>
    </row>
    <row r="1579" spans="1:22" x14ac:dyDescent="0.3">
      <c r="A1579" t="s">
        <v>1760</v>
      </c>
      <c r="B1579" t="s">
        <v>445</v>
      </c>
      <c r="C1579">
        <v>21.89</v>
      </c>
      <c r="D1579">
        <v>13.1</v>
      </c>
      <c r="E1579">
        <v>5.28</v>
      </c>
      <c r="F1579">
        <v>2.2999999999999998</v>
      </c>
      <c r="G1579">
        <v>99.312567132116001</v>
      </c>
      <c r="H1579">
        <v>42.158544955387789</v>
      </c>
      <c r="I1579">
        <v>35.683912119064495</v>
      </c>
      <c r="J1579">
        <v>50.352032972571791</v>
      </c>
      <c r="K1579">
        <v>16.475095785440619</v>
      </c>
      <c r="L1579">
        <v>35.016921766752191</v>
      </c>
      <c r="M1579">
        <v>39.348912375320666</v>
      </c>
      <c r="N1579">
        <v>39.132018526476216</v>
      </c>
      <c r="O1579">
        <v>5.7759259259259252</v>
      </c>
      <c r="P1579">
        <v>-0.49592592592592499</v>
      </c>
      <c r="Q1579">
        <v>1578</v>
      </c>
      <c r="R1579">
        <v>52</v>
      </c>
      <c r="S1579" t="s">
        <v>24</v>
      </c>
      <c r="T1579" t="s">
        <v>612</v>
      </c>
      <c r="U1579">
        <v>10000</v>
      </c>
      <c r="V1579">
        <v>1000</v>
      </c>
    </row>
    <row r="1580" spans="1:22" x14ac:dyDescent="0.3">
      <c r="A1580" t="s">
        <v>1761</v>
      </c>
      <c r="B1580" t="s">
        <v>965</v>
      </c>
      <c r="C1580">
        <v>4.87</v>
      </c>
      <c r="D1580">
        <v>1.85</v>
      </c>
      <c r="E1580">
        <v>3.37</v>
      </c>
      <c r="F1580">
        <v>2.06</v>
      </c>
      <c r="G1580">
        <v>62.749731471535974</v>
      </c>
      <c r="H1580">
        <v>22.855181880576531</v>
      </c>
      <c r="I1580">
        <v>28.915662650602407</v>
      </c>
      <c r="J1580">
        <v>33.864332183781357</v>
      </c>
      <c r="K1580">
        <v>25.670498084291182</v>
      </c>
      <c r="L1580">
        <v>21.498250809500156</v>
      </c>
      <c r="M1580">
        <v>62.763937324086982</v>
      </c>
      <c r="N1580">
        <v>39.04077494398522</v>
      </c>
      <c r="O1580">
        <v>4.3271875</v>
      </c>
      <c r="P1580">
        <v>-0.95718749999999986</v>
      </c>
      <c r="Q1580">
        <v>1579</v>
      </c>
      <c r="R1580">
        <v>28</v>
      </c>
      <c r="S1580" t="s">
        <v>24</v>
      </c>
      <c r="T1580" t="s">
        <v>968</v>
      </c>
      <c r="U1580">
        <v>1000</v>
      </c>
      <c r="V1580">
        <v>1000</v>
      </c>
    </row>
    <row r="1581" spans="1:22" x14ac:dyDescent="0.3">
      <c r="A1581" t="s">
        <v>1762</v>
      </c>
      <c r="B1581" t="s">
        <v>965</v>
      </c>
      <c r="C1581">
        <v>3.23</v>
      </c>
      <c r="D1581">
        <v>0.84</v>
      </c>
      <c r="E1581">
        <v>3.09</v>
      </c>
      <c r="F1581">
        <v>2.04</v>
      </c>
      <c r="G1581">
        <v>59.226638023630507</v>
      </c>
      <c r="H1581">
        <v>21.122168840082363</v>
      </c>
      <c r="I1581">
        <v>27.923458540042525</v>
      </c>
      <c r="J1581">
        <v>32.143707526772076</v>
      </c>
      <c r="K1581">
        <v>26.436781609195403</v>
      </c>
      <c r="L1581">
        <v>20.322799836327007</v>
      </c>
      <c r="M1581">
        <v>64.799878131429153</v>
      </c>
      <c r="N1581">
        <v>38.881018698542178</v>
      </c>
      <c r="O1581">
        <v>4.3271875</v>
      </c>
      <c r="P1581">
        <v>-1.2371875000000001</v>
      </c>
      <c r="Q1581">
        <v>1580</v>
      </c>
      <c r="R1581">
        <v>29</v>
      </c>
      <c r="S1581" t="s">
        <v>24</v>
      </c>
      <c r="T1581" t="s">
        <v>968</v>
      </c>
      <c r="U1581">
        <v>5000</v>
      </c>
      <c r="V1581">
        <v>1000</v>
      </c>
    </row>
    <row r="1582" spans="1:22" x14ac:dyDescent="0.3">
      <c r="A1582" t="s">
        <v>1763</v>
      </c>
      <c r="B1582" t="s">
        <v>86</v>
      </c>
      <c r="C1582">
        <v>14.71</v>
      </c>
      <c r="D1582">
        <v>13.99</v>
      </c>
      <c r="E1582">
        <v>4.78</v>
      </c>
      <c r="F1582">
        <v>2.5299999999999998</v>
      </c>
      <c r="G1582">
        <v>83.888292158968852</v>
      </c>
      <c r="H1582">
        <v>43.685655456417308</v>
      </c>
      <c r="I1582">
        <v>33.912119064493261</v>
      </c>
      <c r="J1582">
        <v>46.839414600965597</v>
      </c>
      <c r="K1582">
        <v>7.6628352490421436</v>
      </c>
      <c r="L1582">
        <v>26.487078260322189</v>
      </c>
      <c r="M1582">
        <v>54.123034709068897</v>
      </c>
      <c r="N1582">
        <v>38.866174790010561</v>
      </c>
      <c r="O1582">
        <v>8.6526315789473696</v>
      </c>
      <c r="P1582">
        <v>-3.8726315789473693</v>
      </c>
      <c r="Q1582">
        <v>1581</v>
      </c>
      <c r="R1582">
        <v>18</v>
      </c>
      <c r="S1582" t="s">
        <v>24</v>
      </c>
      <c r="T1582" t="s">
        <v>1529</v>
      </c>
      <c r="U1582">
        <v>5000</v>
      </c>
      <c r="V1582">
        <v>1000</v>
      </c>
    </row>
    <row r="1583" spans="1:22" x14ac:dyDescent="0.3">
      <c r="A1583" t="s">
        <v>1764</v>
      </c>
      <c r="B1583" t="s">
        <v>86</v>
      </c>
      <c r="C1583">
        <v>14.71</v>
      </c>
      <c r="D1583">
        <v>13.99</v>
      </c>
      <c r="E1583">
        <v>4.78</v>
      </c>
      <c r="F1583">
        <v>2.5299999999999998</v>
      </c>
      <c r="G1583">
        <v>83.888292158968852</v>
      </c>
      <c r="H1583">
        <v>43.685655456417308</v>
      </c>
      <c r="I1583">
        <v>33.912119064493261</v>
      </c>
      <c r="J1583">
        <v>46.839414600965597</v>
      </c>
      <c r="K1583">
        <v>7.6628352490421436</v>
      </c>
      <c r="L1583">
        <v>26.487078260322189</v>
      </c>
      <c r="M1583">
        <v>54.123034709068897</v>
      </c>
      <c r="N1583">
        <v>38.866174790010561</v>
      </c>
      <c r="O1583">
        <v>8.6526315789473696</v>
      </c>
      <c r="P1583">
        <v>-3.8726315789473693</v>
      </c>
      <c r="Q1583">
        <v>1581</v>
      </c>
      <c r="R1583">
        <v>18</v>
      </c>
      <c r="S1583" t="s">
        <v>24</v>
      </c>
      <c r="T1583" t="s">
        <v>1529</v>
      </c>
      <c r="U1583">
        <v>5000</v>
      </c>
      <c r="V1583">
        <v>1000</v>
      </c>
    </row>
    <row r="1584" spans="1:22" x14ac:dyDescent="0.3">
      <c r="A1584" t="s">
        <v>1765</v>
      </c>
      <c r="B1584" t="s">
        <v>965</v>
      </c>
      <c r="C1584">
        <v>4.87</v>
      </c>
      <c r="D1584">
        <v>1.85</v>
      </c>
      <c r="E1584">
        <v>3.19</v>
      </c>
      <c r="F1584">
        <v>2.06</v>
      </c>
      <c r="G1584">
        <v>62.749731471535974</v>
      </c>
      <c r="H1584">
        <v>22.855181880576531</v>
      </c>
      <c r="I1584">
        <v>28.277817150956764</v>
      </c>
      <c r="J1584">
        <v>33.54540943395854</v>
      </c>
      <c r="K1584">
        <v>25.670498084291182</v>
      </c>
      <c r="L1584">
        <v>21.63828758345743</v>
      </c>
      <c r="M1584">
        <v>62.521386516664947</v>
      </c>
      <c r="N1584">
        <v>38.820675867218299</v>
      </c>
      <c r="O1584">
        <v>4.3271875</v>
      </c>
      <c r="P1584">
        <v>-1.1371875</v>
      </c>
      <c r="Q1584">
        <v>1583</v>
      </c>
      <c r="R1584">
        <v>30</v>
      </c>
      <c r="S1584" t="s">
        <v>24</v>
      </c>
      <c r="T1584" t="s">
        <v>968</v>
      </c>
      <c r="U1584">
        <v>1000</v>
      </c>
      <c r="V1584">
        <v>1000</v>
      </c>
    </row>
    <row r="1585" spans="1:22" x14ac:dyDescent="0.3">
      <c r="A1585" t="s">
        <v>1766</v>
      </c>
      <c r="B1585" t="s">
        <v>965</v>
      </c>
      <c r="C1585">
        <v>3.38</v>
      </c>
      <c r="D1585">
        <v>0.73</v>
      </c>
      <c r="E1585">
        <v>2.72</v>
      </c>
      <c r="F1585">
        <v>1.99</v>
      </c>
      <c r="G1585">
        <v>59.548872180451127</v>
      </c>
      <c r="H1585">
        <v>20.933424845573096</v>
      </c>
      <c r="I1585">
        <v>26.612331679659817</v>
      </c>
      <c r="J1585">
        <v>31.495967729592063</v>
      </c>
      <c r="K1585">
        <v>28.352490421455933</v>
      </c>
      <c r="L1585">
        <v>20.849534190892779</v>
      </c>
      <c r="M1585">
        <v>63.887547467229247</v>
      </c>
      <c r="N1585">
        <v>38.807993336967328</v>
      </c>
      <c r="O1585">
        <v>4.3271875</v>
      </c>
      <c r="P1585">
        <v>-1.6071874999999998</v>
      </c>
      <c r="Q1585">
        <v>1584</v>
      </c>
      <c r="R1585">
        <v>31</v>
      </c>
      <c r="S1585" t="s">
        <v>24</v>
      </c>
      <c r="T1585" t="s">
        <v>968</v>
      </c>
      <c r="U1585">
        <v>1000</v>
      </c>
      <c r="V1585">
        <v>1000</v>
      </c>
    </row>
    <row r="1586" spans="1:22" x14ac:dyDescent="0.3">
      <c r="A1586" t="s">
        <v>1767</v>
      </c>
      <c r="B1586" t="s">
        <v>965</v>
      </c>
      <c r="C1586">
        <v>3.23</v>
      </c>
      <c r="D1586">
        <v>0.84</v>
      </c>
      <c r="E1586">
        <v>2.93</v>
      </c>
      <c r="F1586">
        <v>2.04</v>
      </c>
      <c r="G1586">
        <v>59.226638023630507</v>
      </c>
      <c r="H1586">
        <v>21.122168840082363</v>
      </c>
      <c r="I1586">
        <v>27.356484762579729</v>
      </c>
      <c r="J1586">
        <v>31.860220638040673</v>
      </c>
      <c r="K1586">
        <v>26.436781609195403</v>
      </c>
      <c r="L1586">
        <v>20.439031025892348</v>
      </c>
      <c r="M1586">
        <v>64.598559805677809</v>
      </c>
      <c r="N1586">
        <v>38.68894567273864</v>
      </c>
      <c r="O1586">
        <v>4.3271875</v>
      </c>
      <c r="P1586">
        <v>-1.3971874999999998</v>
      </c>
      <c r="Q1586">
        <v>1585</v>
      </c>
      <c r="R1586">
        <v>32</v>
      </c>
      <c r="S1586" t="s">
        <v>24</v>
      </c>
      <c r="T1586" t="s">
        <v>968</v>
      </c>
      <c r="U1586">
        <v>5000</v>
      </c>
      <c r="V1586">
        <v>1000</v>
      </c>
    </row>
    <row r="1587" spans="1:22" x14ac:dyDescent="0.3">
      <c r="A1587" t="s">
        <v>1768</v>
      </c>
      <c r="B1587" t="s">
        <v>445</v>
      </c>
      <c r="C1587">
        <v>4.5199999999999996</v>
      </c>
      <c r="D1587">
        <v>3.14</v>
      </c>
      <c r="E1587">
        <v>1.75</v>
      </c>
      <c r="F1587">
        <v>1.97</v>
      </c>
      <c r="G1587">
        <v>61.997851772287859</v>
      </c>
      <c r="H1587">
        <v>25.068634179821554</v>
      </c>
      <c r="I1587">
        <v>23.175053153791637</v>
      </c>
      <c r="J1587">
        <v>31.507687185299858</v>
      </c>
      <c r="K1587">
        <v>29.118773946360154</v>
      </c>
      <c r="L1587">
        <v>21.888210120466589</v>
      </c>
      <c r="M1587">
        <v>62.088507984608569</v>
      </c>
      <c r="N1587">
        <v>38.555664075392109</v>
      </c>
      <c r="O1587">
        <v>5.7759259259259252</v>
      </c>
      <c r="P1587">
        <v>-4.0259259259259252</v>
      </c>
      <c r="Q1587">
        <v>1586</v>
      </c>
      <c r="R1587">
        <v>53</v>
      </c>
      <c r="S1587" t="s">
        <v>24</v>
      </c>
      <c r="T1587" t="s">
        <v>612</v>
      </c>
      <c r="U1587">
        <v>5000</v>
      </c>
      <c r="V1587">
        <v>1000</v>
      </c>
    </row>
    <row r="1588" spans="1:22" x14ac:dyDescent="0.3">
      <c r="A1588" t="s">
        <v>1769</v>
      </c>
      <c r="B1588" t="s">
        <v>445</v>
      </c>
      <c r="C1588">
        <v>4.5199999999999996</v>
      </c>
      <c r="D1588">
        <v>3.08</v>
      </c>
      <c r="E1588">
        <v>1.69</v>
      </c>
      <c r="F1588">
        <v>1.97</v>
      </c>
      <c r="G1588">
        <v>61.997851772287859</v>
      </c>
      <c r="H1588">
        <v>24.965682910089228</v>
      </c>
      <c r="I1588">
        <v>22.962437987243089</v>
      </c>
      <c r="J1588">
        <v>31.370494221105886</v>
      </c>
      <c r="K1588">
        <v>29.118773946360154</v>
      </c>
      <c r="L1588">
        <v>21.981651629745532</v>
      </c>
      <c r="M1588">
        <v>61.926662543001527</v>
      </c>
      <c r="N1588">
        <v>38.446606232893359</v>
      </c>
      <c r="O1588">
        <v>5.7759259259259252</v>
      </c>
      <c r="P1588">
        <v>-4.0859259259259257</v>
      </c>
      <c r="Q1588">
        <v>1587</v>
      </c>
      <c r="R1588">
        <v>54</v>
      </c>
      <c r="S1588" t="s">
        <v>24</v>
      </c>
      <c r="T1588" t="s">
        <v>612</v>
      </c>
      <c r="U1588">
        <v>5000</v>
      </c>
      <c r="V1588">
        <v>1000</v>
      </c>
    </row>
    <row r="1589" spans="1:22" x14ac:dyDescent="0.3">
      <c r="A1589" t="s">
        <v>1770</v>
      </c>
      <c r="B1589" t="s">
        <v>1019</v>
      </c>
      <c r="C1589">
        <v>10.9</v>
      </c>
      <c r="D1589">
        <v>8.36</v>
      </c>
      <c r="E1589">
        <v>5.88</v>
      </c>
      <c r="F1589">
        <v>2.61</v>
      </c>
      <c r="G1589">
        <v>75.703544575725019</v>
      </c>
      <c r="H1589">
        <v>34.025394646533982</v>
      </c>
      <c r="I1589">
        <v>37.810063784549961</v>
      </c>
      <c r="J1589">
        <v>44.253359201380178</v>
      </c>
      <c r="K1589">
        <v>4.5977011494252817</v>
      </c>
      <c r="L1589">
        <v>23.048166190522007</v>
      </c>
      <c r="M1589">
        <v>60.07940513672466</v>
      </c>
      <c r="N1589">
        <v>38.295956172227577</v>
      </c>
      <c r="O1589">
        <v>8.7813636363636363</v>
      </c>
      <c r="P1589">
        <v>-2.9013636363636364</v>
      </c>
      <c r="Q1589">
        <v>1588</v>
      </c>
      <c r="R1589">
        <v>19</v>
      </c>
      <c r="S1589" t="s">
        <v>24</v>
      </c>
      <c r="T1589" t="s">
        <v>1020</v>
      </c>
      <c r="U1589">
        <v>5000</v>
      </c>
      <c r="V1589">
        <v>1000</v>
      </c>
    </row>
    <row r="1590" spans="1:22" x14ac:dyDescent="0.3">
      <c r="A1590" t="s">
        <v>1771</v>
      </c>
      <c r="B1590" t="s">
        <v>1019</v>
      </c>
      <c r="C1590">
        <v>10.9</v>
      </c>
      <c r="D1590">
        <v>8.36</v>
      </c>
      <c r="E1590">
        <v>5.87</v>
      </c>
      <c r="F1590">
        <v>2.61</v>
      </c>
      <c r="G1590">
        <v>75.703544575725019</v>
      </c>
      <c r="H1590">
        <v>34.025394646533982</v>
      </c>
      <c r="I1590">
        <v>37.774627923458539</v>
      </c>
      <c r="J1590">
        <v>44.235641270834471</v>
      </c>
      <c r="K1590">
        <v>4.5977011494252817</v>
      </c>
      <c r="L1590">
        <v>23.056913822465134</v>
      </c>
      <c r="M1590">
        <v>60.064253793753252</v>
      </c>
      <c r="N1590">
        <v>38.283309371211871</v>
      </c>
      <c r="O1590">
        <v>8.7813636363636363</v>
      </c>
      <c r="P1590">
        <v>-2.9113636363636362</v>
      </c>
      <c r="Q1590">
        <v>1589</v>
      </c>
      <c r="R1590">
        <v>20</v>
      </c>
      <c r="S1590" t="s">
        <v>24</v>
      </c>
      <c r="T1590" t="s">
        <v>1020</v>
      </c>
      <c r="U1590">
        <v>5000</v>
      </c>
      <c r="V1590">
        <v>1000</v>
      </c>
    </row>
    <row r="1591" spans="1:22" x14ac:dyDescent="0.3">
      <c r="A1591" t="s">
        <v>1772</v>
      </c>
      <c r="B1591" t="s">
        <v>727</v>
      </c>
      <c r="C1591">
        <v>-9.09</v>
      </c>
      <c r="D1591">
        <v>1.57</v>
      </c>
      <c r="E1591">
        <v>3.09</v>
      </c>
      <c r="F1591">
        <v>2.56</v>
      </c>
      <c r="G1591">
        <v>32.76047261009667</v>
      </c>
      <c r="H1591">
        <v>22.374742621825671</v>
      </c>
      <c r="I1591">
        <v>27.923458540042525</v>
      </c>
      <c r="J1591">
        <v>27.226246578588299</v>
      </c>
      <c r="K1591">
        <v>6.5134099616858121</v>
      </c>
      <c r="L1591">
        <v>5.1969276315313842</v>
      </c>
      <c r="M1591">
        <v>90.998657298929061</v>
      </c>
      <c r="N1591">
        <v>37.991140104447865</v>
      </c>
      <c r="O1591">
        <v>8.7869230769230775</v>
      </c>
      <c r="P1591">
        <v>-5.6969230769230776</v>
      </c>
      <c r="Q1591">
        <v>1590</v>
      </c>
      <c r="R1591">
        <v>12</v>
      </c>
      <c r="S1591" t="s">
        <v>24</v>
      </c>
      <c r="T1591" t="s">
        <v>1491</v>
      </c>
      <c r="U1591">
        <v>5000</v>
      </c>
      <c r="V1591">
        <v>1000</v>
      </c>
    </row>
    <row r="1592" spans="1:22" x14ac:dyDescent="0.3">
      <c r="A1592" t="s">
        <v>1773</v>
      </c>
      <c r="B1592" t="s">
        <v>1019</v>
      </c>
      <c r="C1592">
        <v>6.88</v>
      </c>
      <c r="D1592">
        <v>7.43</v>
      </c>
      <c r="E1592">
        <v>5.14</v>
      </c>
      <c r="F1592">
        <v>2.64</v>
      </c>
      <c r="G1592">
        <v>67.067669172932327</v>
      </c>
      <c r="H1592">
        <v>32.429649965682913</v>
      </c>
      <c r="I1592">
        <v>35.187810063784546</v>
      </c>
      <c r="J1592">
        <v>40.736333856183613</v>
      </c>
      <c r="K1592">
        <v>3.4482758620689502</v>
      </c>
      <c r="L1592">
        <v>19.251516124484205</v>
      </c>
      <c r="M1592">
        <v>66.65539594966188</v>
      </c>
      <c r="N1592">
        <v>37.894084881024511</v>
      </c>
      <c r="O1592">
        <v>8.7813636363636363</v>
      </c>
      <c r="P1592">
        <v>-3.6413636363636366</v>
      </c>
      <c r="Q1592">
        <v>1591</v>
      </c>
      <c r="R1592">
        <v>21</v>
      </c>
      <c r="S1592" t="s">
        <v>24</v>
      </c>
      <c r="T1592" t="s">
        <v>1020</v>
      </c>
      <c r="U1592">
        <v>5000</v>
      </c>
      <c r="V1592">
        <v>1000</v>
      </c>
    </row>
    <row r="1593" spans="1:22" x14ac:dyDescent="0.3">
      <c r="A1593" t="s">
        <v>1774</v>
      </c>
      <c r="B1593" t="s">
        <v>1019</v>
      </c>
      <c r="C1593">
        <v>6.88</v>
      </c>
      <c r="D1593">
        <v>7.43</v>
      </c>
      <c r="E1593">
        <v>5.14</v>
      </c>
      <c r="F1593">
        <v>2.64</v>
      </c>
      <c r="G1593">
        <v>67.067669172932327</v>
      </c>
      <c r="H1593">
        <v>32.429649965682913</v>
      </c>
      <c r="I1593">
        <v>35.187810063784546</v>
      </c>
      <c r="J1593">
        <v>40.736333856183613</v>
      </c>
      <c r="K1593">
        <v>3.4482758620689502</v>
      </c>
      <c r="L1593">
        <v>19.251516124484205</v>
      </c>
      <c r="M1593">
        <v>66.65539594966188</v>
      </c>
      <c r="N1593">
        <v>37.894084881024511</v>
      </c>
      <c r="O1593">
        <v>8.7813636363636363</v>
      </c>
      <c r="P1593">
        <v>-3.6413636363636366</v>
      </c>
      <c r="Q1593">
        <v>1591</v>
      </c>
      <c r="R1593">
        <v>21</v>
      </c>
      <c r="S1593" t="s">
        <v>24</v>
      </c>
      <c r="T1593" t="s">
        <v>1020</v>
      </c>
      <c r="U1593">
        <v>5000</v>
      </c>
      <c r="V1593">
        <v>1000</v>
      </c>
    </row>
    <row r="1594" spans="1:22" x14ac:dyDescent="0.3">
      <c r="A1594" t="s">
        <v>1775</v>
      </c>
      <c r="B1594" t="s">
        <v>727</v>
      </c>
      <c r="C1594">
        <v>-9.09</v>
      </c>
      <c r="D1594">
        <v>1.57</v>
      </c>
      <c r="E1594">
        <v>2.5299999999999998</v>
      </c>
      <c r="F1594">
        <v>2.56</v>
      </c>
      <c r="G1594">
        <v>32.76047261009667</v>
      </c>
      <c r="H1594">
        <v>22.374742621825671</v>
      </c>
      <c r="I1594">
        <v>25.939050318922746</v>
      </c>
      <c r="J1594">
        <v>26.234042468028409</v>
      </c>
      <c r="K1594">
        <v>6.5134099616858121</v>
      </c>
      <c r="L1594">
        <v>5.2773016909430375</v>
      </c>
      <c r="M1594">
        <v>90.859445344417509</v>
      </c>
      <c r="N1594">
        <v>37.460235060540036</v>
      </c>
      <c r="O1594">
        <v>8.7869230769230775</v>
      </c>
      <c r="P1594">
        <v>-6.2569230769230781</v>
      </c>
      <c r="Q1594">
        <v>1593</v>
      </c>
      <c r="R1594">
        <v>13</v>
      </c>
      <c r="S1594" t="s">
        <v>24</v>
      </c>
      <c r="T1594" t="s">
        <v>1491</v>
      </c>
      <c r="U1594">
        <v>5000</v>
      </c>
      <c r="V1594">
        <v>1000</v>
      </c>
    </row>
    <row r="1595" spans="1:22" x14ac:dyDescent="0.3">
      <c r="A1595" t="s">
        <v>1776</v>
      </c>
      <c r="B1595" t="s">
        <v>921</v>
      </c>
      <c r="C1595">
        <v>2.98</v>
      </c>
      <c r="D1595">
        <v>0.86</v>
      </c>
      <c r="E1595">
        <v>2.35</v>
      </c>
      <c r="F1595">
        <v>2.15</v>
      </c>
      <c r="G1595">
        <v>58.689581095596132</v>
      </c>
      <c r="H1595">
        <v>21.156485929993142</v>
      </c>
      <c r="I1595">
        <v>25.301204819277107</v>
      </c>
      <c r="J1595">
        <v>30.735464407755721</v>
      </c>
      <c r="K1595">
        <v>22.222222222222232</v>
      </c>
      <c r="L1595">
        <v>20.577882939985432</v>
      </c>
      <c r="M1595">
        <v>64.358061235740408</v>
      </c>
      <c r="N1595">
        <v>37.01280306836852</v>
      </c>
      <c r="O1595">
        <v>3.5597297297297299</v>
      </c>
      <c r="P1595">
        <v>-1.2097297297297298</v>
      </c>
      <c r="Q1595">
        <v>1594</v>
      </c>
      <c r="R1595">
        <v>30</v>
      </c>
      <c r="S1595" t="s">
        <v>24</v>
      </c>
      <c r="T1595" t="s">
        <v>221</v>
      </c>
      <c r="U1595">
        <v>5000</v>
      </c>
    </row>
    <row r="1596" spans="1:22" x14ac:dyDescent="0.3">
      <c r="A1596" t="s">
        <v>1777</v>
      </c>
      <c r="B1596" t="s">
        <v>921</v>
      </c>
      <c r="C1596">
        <v>2.98</v>
      </c>
      <c r="D1596">
        <v>0.86</v>
      </c>
      <c r="E1596">
        <v>2.35</v>
      </c>
      <c r="F1596">
        <v>2.15</v>
      </c>
      <c r="G1596">
        <v>58.689581095596132</v>
      </c>
      <c r="H1596">
        <v>21.156485929993142</v>
      </c>
      <c r="I1596">
        <v>25.301204819277107</v>
      </c>
      <c r="J1596">
        <v>30.735464407755721</v>
      </c>
      <c r="K1596">
        <v>22.222222222222232</v>
      </c>
      <c r="L1596">
        <v>20.577882939985432</v>
      </c>
      <c r="M1596">
        <v>64.358061235740408</v>
      </c>
      <c r="N1596">
        <v>37.01280306836852</v>
      </c>
      <c r="O1596">
        <v>3.5597297297297299</v>
      </c>
      <c r="P1596">
        <v>-1.2097297297297298</v>
      </c>
      <c r="Q1596">
        <v>1594</v>
      </c>
      <c r="R1596">
        <v>30</v>
      </c>
      <c r="S1596" t="s">
        <v>24</v>
      </c>
      <c r="T1596" t="s">
        <v>221</v>
      </c>
      <c r="U1596">
        <v>5000</v>
      </c>
      <c r="V1596">
        <v>1000</v>
      </c>
    </row>
    <row r="1597" spans="1:22" x14ac:dyDescent="0.3">
      <c r="A1597" t="s">
        <v>1778</v>
      </c>
      <c r="B1597" t="s">
        <v>921</v>
      </c>
      <c r="C1597">
        <v>2.98</v>
      </c>
      <c r="D1597">
        <v>0.86</v>
      </c>
      <c r="E1597">
        <v>2.2400000000000002</v>
      </c>
      <c r="F1597">
        <v>2.15</v>
      </c>
      <c r="G1597">
        <v>58.689581095596132</v>
      </c>
      <c r="H1597">
        <v>21.156485929993142</v>
      </c>
      <c r="I1597">
        <v>24.911410347271438</v>
      </c>
      <c r="J1597">
        <v>30.54056717175289</v>
      </c>
      <c r="K1597">
        <v>22.222222222222232</v>
      </c>
      <c r="L1597">
        <v>20.671226012635135</v>
      </c>
      <c r="M1597">
        <v>64.196386291376527</v>
      </c>
      <c r="N1597">
        <v>36.874935714276134</v>
      </c>
      <c r="O1597">
        <v>3.5597297297297299</v>
      </c>
      <c r="P1597">
        <v>-1.3197297297297297</v>
      </c>
      <c r="Q1597">
        <v>1596</v>
      </c>
      <c r="R1597">
        <v>32</v>
      </c>
      <c r="S1597" t="s">
        <v>24</v>
      </c>
      <c r="T1597" t="s">
        <v>221</v>
      </c>
      <c r="U1597">
        <v>5000</v>
      </c>
      <c r="V1597">
        <v>1000</v>
      </c>
    </row>
    <row r="1598" spans="1:22" x14ac:dyDescent="0.3">
      <c r="A1598" t="s">
        <v>1779</v>
      </c>
      <c r="B1598" t="s">
        <v>921</v>
      </c>
      <c r="C1598">
        <v>2.98</v>
      </c>
      <c r="D1598">
        <v>0.86</v>
      </c>
      <c r="E1598">
        <v>2.13</v>
      </c>
      <c r="F1598">
        <v>2.15</v>
      </c>
      <c r="G1598">
        <v>58.689581095596132</v>
      </c>
      <c r="H1598">
        <v>21.156485929993142</v>
      </c>
      <c r="I1598">
        <v>24.521615875265766</v>
      </c>
      <c r="J1598">
        <v>30.345669935750053</v>
      </c>
      <c r="K1598">
        <v>22.222222222222232</v>
      </c>
      <c r="L1598">
        <v>20.766588467842951</v>
      </c>
      <c r="M1598">
        <v>64.03121367382208</v>
      </c>
      <c r="N1598">
        <v>36.7361939418861</v>
      </c>
      <c r="O1598">
        <v>3.5597297297297299</v>
      </c>
      <c r="P1598">
        <v>-1.42972972972973</v>
      </c>
      <c r="Q1598">
        <v>1597</v>
      </c>
      <c r="R1598">
        <v>33</v>
      </c>
      <c r="S1598" t="s">
        <v>24</v>
      </c>
      <c r="T1598" t="s">
        <v>221</v>
      </c>
      <c r="U1598">
        <v>5000</v>
      </c>
      <c r="V1598">
        <v>1000</v>
      </c>
    </row>
    <row r="1599" spans="1:22" x14ac:dyDescent="0.3">
      <c r="A1599" t="s">
        <v>1780</v>
      </c>
      <c r="B1599" t="s">
        <v>921</v>
      </c>
      <c r="C1599">
        <v>2.98</v>
      </c>
      <c r="D1599">
        <v>0.86</v>
      </c>
      <c r="E1599">
        <v>1.9</v>
      </c>
      <c r="F1599">
        <v>2.15</v>
      </c>
      <c r="G1599">
        <v>58.689581095596132</v>
      </c>
      <c r="H1599">
        <v>21.156485929993142</v>
      </c>
      <c r="I1599">
        <v>23.706591070163004</v>
      </c>
      <c r="J1599">
        <v>29.93815753319867</v>
      </c>
      <c r="K1599">
        <v>22.222222222222232</v>
      </c>
      <c r="L1599">
        <v>20.972386051089835</v>
      </c>
      <c r="M1599">
        <v>63.674761803563598</v>
      </c>
      <c r="N1599">
        <v>36.443324773045788</v>
      </c>
      <c r="O1599">
        <v>3.5597297297297299</v>
      </c>
      <c r="P1599">
        <v>-1.65972972972973</v>
      </c>
      <c r="Q1599">
        <v>1598</v>
      </c>
      <c r="R1599">
        <v>34</v>
      </c>
      <c r="S1599" t="s">
        <v>24</v>
      </c>
      <c r="T1599" t="s">
        <v>221</v>
      </c>
      <c r="U1599">
        <v>5000</v>
      </c>
      <c r="V1599">
        <v>1000</v>
      </c>
    </row>
    <row r="1600" spans="1:22" x14ac:dyDescent="0.3">
      <c r="A1600" t="s">
        <v>1781</v>
      </c>
      <c r="B1600" t="s">
        <v>424</v>
      </c>
      <c r="C1600">
        <v>14.9</v>
      </c>
      <c r="D1600">
        <v>8.86</v>
      </c>
      <c r="E1600">
        <v>4.91</v>
      </c>
      <c r="F1600">
        <v>2.6</v>
      </c>
      <c r="G1600">
        <v>84.296455424274967</v>
      </c>
      <c r="H1600">
        <v>34.883321894303364</v>
      </c>
      <c r="I1600">
        <v>34.37278525868178</v>
      </c>
      <c r="J1600">
        <v>44.510680282486888</v>
      </c>
      <c r="K1600">
        <v>4.9808429118773923</v>
      </c>
      <c r="L1600">
        <v>28.677201327041587</v>
      </c>
      <c r="M1600">
        <v>50.329630282682338</v>
      </c>
      <c r="N1600">
        <v>36.082958439883377</v>
      </c>
      <c r="O1600">
        <v>7.9378947368421047</v>
      </c>
      <c r="P1600">
        <v>-3.0278947368421045</v>
      </c>
      <c r="Q1600">
        <v>1599</v>
      </c>
      <c r="R1600">
        <v>18</v>
      </c>
      <c r="S1600" t="s">
        <v>24</v>
      </c>
      <c r="T1600" t="s">
        <v>425</v>
      </c>
      <c r="U1600">
        <v>5000</v>
      </c>
      <c r="V1600">
        <v>1000</v>
      </c>
    </row>
    <row r="1601" spans="1:22" x14ac:dyDescent="0.3">
      <c r="A1601" t="s">
        <v>1782</v>
      </c>
      <c r="B1601" t="s">
        <v>424</v>
      </c>
      <c r="C1601">
        <v>14.9</v>
      </c>
      <c r="D1601">
        <v>8.85</v>
      </c>
      <c r="E1601">
        <v>4.9000000000000004</v>
      </c>
      <c r="F1601">
        <v>2.6</v>
      </c>
      <c r="G1601">
        <v>84.296455424274967</v>
      </c>
      <c r="H1601">
        <v>34.866163349347978</v>
      </c>
      <c r="I1601">
        <v>34.337349397590359</v>
      </c>
      <c r="J1601">
        <v>44.487814788454571</v>
      </c>
      <c r="K1601">
        <v>4.9808429118773923</v>
      </c>
      <c r="L1601">
        <v>28.692466182471655</v>
      </c>
      <c r="M1601">
        <v>50.303190777507268</v>
      </c>
      <c r="N1601">
        <v>36.064915816573446</v>
      </c>
      <c r="O1601">
        <v>7.9378947368421047</v>
      </c>
      <c r="P1601">
        <v>-3.0378947368421043</v>
      </c>
      <c r="Q1601">
        <v>1600</v>
      </c>
      <c r="R1601">
        <v>19</v>
      </c>
      <c r="S1601" t="s">
        <v>24</v>
      </c>
      <c r="T1601" t="s">
        <v>425</v>
      </c>
      <c r="U1601">
        <v>5000</v>
      </c>
      <c r="V1601">
        <v>1000</v>
      </c>
    </row>
    <row r="1602" spans="1:22" x14ac:dyDescent="0.3">
      <c r="A1602" t="s">
        <v>1783</v>
      </c>
      <c r="B1602" t="s">
        <v>185</v>
      </c>
      <c r="C1602">
        <v>12.25</v>
      </c>
      <c r="D1602">
        <v>16.170000000000002</v>
      </c>
      <c r="E1602">
        <v>1.79</v>
      </c>
      <c r="F1602">
        <v>2.59</v>
      </c>
      <c r="G1602">
        <v>78.603651987110638</v>
      </c>
      <c r="H1602">
        <v>47.42621825669184</v>
      </c>
      <c r="I1602">
        <v>23.316796598157335</v>
      </c>
      <c r="J1602">
        <v>41.606994173508348</v>
      </c>
      <c r="K1602">
        <v>5.3639846743295028</v>
      </c>
      <c r="L1602">
        <v>27.718624802115464</v>
      </c>
      <c r="M1602">
        <v>51.989933526797202</v>
      </c>
      <c r="N1602">
        <v>35.141976637035853</v>
      </c>
      <c r="O1602">
        <v>9.4014285714285712</v>
      </c>
      <c r="P1602">
        <v>-7.6114285714285712</v>
      </c>
      <c r="Q1602">
        <v>1601</v>
      </c>
      <c r="R1602">
        <v>34</v>
      </c>
      <c r="S1602" t="s">
        <v>24</v>
      </c>
      <c r="T1602" t="s">
        <v>666</v>
      </c>
      <c r="U1602">
        <v>1000</v>
      </c>
      <c r="V1602">
        <v>1000</v>
      </c>
    </row>
    <row r="1603" spans="1:22" x14ac:dyDescent="0.3">
      <c r="A1603" t="s">
        <v>1784</v>
      </c>
      <c r="B1603" t="s">
        <v>185</v>
      </c>
      <c r="C1603">
        <v>12.27</v>
      </c>
      <c r="D1603">
        <v>16.18</v>
      </c>
      <c r="E1603">
        <v>1.56</v>
      </c>
      <c r="F1603">
        <v>2.59</v>
      </c>
      <c r="G1603">
        <v>78.646616541353382</v>
      </c>
      <c r="H1603">
        <v>47.443376801647226</v>
      </c>
      <c r="I1603">
        <v>22.501771793054569</v>
      </c>
      <c r="J1603">
        <v>41.21322224529213</v>
      </c>
      <c r="K1603">
        <v>5.3639846743295028</v>
      </c>
      <c r="L1603">
        <v>28.130556999073708</v>
      </c>
      <c r="M1603">
        <v>51.276446032392045</v>
      </c>
      <c r="N1603">
        <v>34.766718799326455</v>
      </c>
      <c r="O1603">
        <v>9.4014285714285712</v>
      </c>
      <c r="P1603">
        <v>-7.8414285714285707</v>
      </c>
      <c r="Q1603">
        <v>1602</v>
      </c>
      <c r="R1603">
        <v>35</v>
      </c>
      <c r="S1603" t="s">
        <v>24</v>
      </c>
      <c r="T1603" t="s">
        <v>666</v>
      </c>
      <c r="U1603">
        <v>1000</v>
      </c>
      <c r="V1603">
        <v>1000</v>
      </c>
    </row>
    <row r="1604" spans="1:22" x14ac:dyDescent="0.3">
      <c r="A1604" t="s">
        <v>1785</v>
      </c>
      <c r="B1604" t="s">
        <v>921</v>
      </c>
      <c r="C1604">
        <v>4.34</v>
      </c>
      <c r="D1604">
        <v>1.87</v>
      </c>
      <c r="E1604">
        <v>-2.91</v>
      </c>
      <c r="F1604">
        <v>1.95</v>
      </c>
      <c r="G1604">
        <v>61.611170784103109</v>
      </c>
      <c r="H1604">
        <v>22.889498970487306</v>
      </c>
      <c r="I1604">
        <v>6.6619418851878081</v>
      </c>
      <c r="J1604">
        <v>22.520054790560717</v>
      </c>
      <c r="K1604">
        <v>29.885057471264375</v>
      </c>
      <c r="L1604">
        <v>28.231540380643452</v>
      </c>
      <c r="M1604">
        <v>51.101537684793144</v>
      </c>
      <c r="N1604">
        <v>31.506676184294736</v>
      </c>
      <c r="O1604">
        <v>3.5597297297297299</v>
      </c>
      <c r="P1604">
        <v>-6.46972972972973</v>
      </c>
      <c r="Q1604">
        <v>1603</v>
      </c>
      <c r="R1604">
        <v>35</v>
      </c>
      <c r="S1604" t="s">
        <v>24</v>
      </c>
      <c r="T1604" t="s">
        <v>922</v>
      </c>
      <c r="U1604">
        <v>5000</v>
      </c>
      <c r="V1604">
        <v>1000</v>
      </c>
    </row>
    <row r="1605" spans="1:22" x14ac:dyDescent="0.3">
      <c r="A1605" t="s">
        <v>1786</v>
      </c>
      <c r="B1605" t="s">
        <v>921</v>
      </c>
      <c r="C1605">
        <v>4.34</v>
      </c>
      <c r="D1605">
        <v>1.87</v>
      </c>
      <c r="E1605">
        <v>-2.91</v>
      </c>
      <c r="F1605">
        <v>1.95</v>
      </c>
      <c r="G1605">
        <v>61.611170784103109</v>
      </c>
      <c r="H1605">
        <v>22.889498970487306</v>
      </c>
      <c r="I1605">
        <v>6.6619418851878081</v>
      </c>
      <c r="J1605">
        <v>22.520054790560717</v>
      </c>
      <c r="K1605">
        <v>29.885057471264375</v>
      </c>
      <c r="L1605">
        <v>28.231540380643452</v>
      </c>
      <c r="M1605">
        <v>51.101537684793144</v>
      </c>
      <c r="N1605">
        <v>31.506676184294736</v>
      </c>
      <c r="O1605">
        <v>3.5597297297297299</v>
      </c>
      <c r="P1605">
        <v>-6.46972972972973</v>
      </c>
      <c r="Q1605">
        <v>1603</v>
      </c>
      <c r="R1605">
        <v>35</v>
      </c>
      <c r="S1605" t="s">
        <v>24</v>
      </c>
      <c r="T1605" t="s">
        <v>922</v>
      </c>
      <c r="U1605">
        <v>5000</v>
      </c>
      <c r="V1605">
        <v>1000</v>
      </c>
    </row>
    <row r="1606" spans="1:22" x14ac:dyDescent="0.3">
      <c r="A1606" t="s">
        <v>1787</v>
      </c>
      <c r="B1606" t="s">
        <v>921</v>
      </c>
      <c r="C1606">
        <v>4.34</v>
      </c>
      <c r="D1606">
        <v>1.86</v>
      </c>
      <c r="E1606">
        <v>-2.91</v>
      </c>
      <c r="F1606">
        <v>1.95</v>
      </c>
      <c r="G1606">
        <v>61.611170784103109</v>
      </c>
      <c r="H1606">
        <v>22.872340425531917</v>
      </c>
      <c r="I1606">
        <v>6.6619418851878081</v>
      </c>
      <c r="J1606">
        <v>22.514907227074101</v>
      </c>
      <c r="K1606">
        <v>29.885057471264375</v>
      </c>
      <c r="L1606">
        <v>28.233820602758012</v>
      </c>
      <c r="M1606">
        <v>51.09758822423818</v>
      </c>
      <c r="N1606">
        <v>31.503115037412687</v>
      </c>
      <c r="O1606">
        <v>3.5597297297297299</v>
      </c>
      <c r="P1606">
        <v>-6.46972972972973</v>
      </c>
      <c r="Q1606">
        <v>1605</v>
      </c>
      <c r="R1606">
        <v>37</v>
      </c>
      <c r="S1606" t="s">
        <v>24</v>
      </c>
      <c r="T1606" t="s">
        <v>922</v>
      </c>
      <c r="U1606">
        <v>5000</v>
      </c>
      <c r="V1606">
        <v>1000</v>
      </c>
    </row>
    <row r="1607" spans="1:22" x14ac:dyDescent="0.3">
      <c r="A1607" t="s">
        <v>1788</v>
      </c>
      <c r="B1607" t="s">
        <v>170</v>
      </c>
      <c r="C1607">
        <v>-24.34</v>
      </c>
      <c r="D1607">
        <v>-7.16</v>
      </c>
      <c r="E1607">
        <v>-2.9</v>
      </c>
      <c r="F1607">
        <v>2.38</v>
      </c>
      <c r="G1607">
        <v>0</v>
      </c>
      <c r="H1607">
        <v>7.3953328757721373</v>
      </c>
      <c r="I1607">
        <v>6.6973777462792343</v>
      </c>
      <c r="J1607">
        <v>5.5672887358712586</v>
      </c>
      <c r="K1607">
        <v>13.409961685823756</v>
      </c>
      <c r="L1607">
        <v>4.0831556093830574</v>
      </c>
      <c r="M1607">
        <v>92.927767029338682</v>
      </c>
      <c r="N1607">
        <v>29.36807654672624</v>
      </c>
      <c r="O1607">
        <v>6.9120588235294118</v>
      </c>
      <c r="P1607">
        <v>-9.8120588235294122</v>
      </c>
      <c r="Q1607">
        <v>1606</v>
      </c>
      <c r="R1607">
        <v>32</v>
      </c>
      <c r="S1607" t="s">
        <v>24</v>
      </c>
      <c r="T1607" t="s">
        <v>1789</v>
      </c>
      <c r="U1607">
        <v>5000</v>
      </c>
    </row>
    <row r="1608" spans="1:22" x14ac:dyDescent="0.3">
      <c r="A1608" t="s">
        <v>1790</v>
      </c>
      <c r="B1608" t="s">
        <v>170</v>
      </c>
      <c r="C1608">
        <v>-3.83</v>
      </c>
      <c r="D1608">
        <v>-11.47</v>
      </c>
      <c r="E1608">
        <v>-4.79</v>
      </c>
      <c r="F1608">
        <v>2.4500000000000002</v>
      </c>
      <c r="G1608">
        <v>44.060150375939841</v>
      </c>
      <c r="H1608">
        <v>0</v>
      </c>
      <c r="I1608">
        <v>0</v>
      </c>
      <c r="J1608">
        <v>8.8120300751879679</v>
      </c>
      <c r="K1608">
        <v>10.727969348658984</v>
      </c>
      <c r="L1608">
        <v>25.438139680084259</v>
      </c>
      <c r="M1608">
        <v>55.939849624060159</v>
      </c>
      <c r="N1608">
        <v>21.072969780773768</v>
      </c>
      <c r="O1608">
        <v>6.9120588235294118</v>
      </c>
      <c r="P1608">
        <v>-11.702058823529413</v>
      </c>
      <c r="Q1608">
        <v>1607</v>
      </c>
      <c r="R1608">
        <v>33</v>
      </c>
      <c r="S1608" t="s">
        <v>24</v>
      </c>
      <c r="T1608" t="s">
        <v>1791</v>
      </c>
      <c r="U1608">
        <v>5000</v>
      </c>
      <c r="V1608">
        <v>1000</v>
      </c>
    </row>
    <row r="1609" spans="1:22" x14ac:dyDescent="0.3">
      <c r="A1609" t="s">
        <v>1792</v>
      </c>
      <c r="B1609" t="s">
        <v>170</v>
      </c>
      <c r="C1609">
        <v>-3.83</v>
      </c>
      <c r="D1609">
        <v>-11.47</v>
      </c>
      <c r="E1609">
        <v>-4.79</v>
      </c>
      <c r="F1609">
        <v>2.4500000000000002</v>
      </c>
      <c r="G1609">
        <v>44.060150375939841</v>
      </c>
      <c r="H1609">
        <v>0</v>
      </c>
      <c r="I1609">
        <v>0</v>
      </c>
      <c r="J1609">
        <v>8.8120300751879679</v>
      </c>
      <c r="K1609">
        <v>10.727969348658984</v>
      </c>
      <c r="L1609">
        <v>25.438139680084259</v>
      </c>
      <c r="M1609">
        <v>55.939849624060159</v>
      </c>
      <c r="N1609">
        <v>21.072969780773768</v>
      </c>
      <c r="O1609">
        <v>6.9120588235294118</v>
      </c>
      <c r="P1609">
        <v>-11.702058823529413</v>
      </c>
      <c r="Q1609">
        <v>1607</v>
      </c>
      <c r="R1609">
        <v>33</v>
      </c>
      <c r="S1609" t="s">
        <v>24</v>
      </c>
      <c r="T1609" t="s">
        <v>1791</v>
      </c>
      <c r="U1609">
        <v>5000</v>
      </c>
      <c r="V1609">
        <v>1000</v>
      </c>
    </row>
  </sheetData>
  <mergeCells count="1">
    <mergeCell ref="X2:AB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B17C9F-A9A5-45BB-BF96-4F3EB0B35D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Fund Explorer</vt:lpstr>
      <vt:lpstr>Fund Comparison</vt:lpstr>
      <vt:lpstr>Data</vt:lpstr>
      <vt:lpstr>FundNames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 Nair</dc:creator>
  <cp:lastModifiedBy>Tharun Nair</cp:lastModifiedBy>
  <dcterms:created xsi:type="dcterms:W3CDTF">2026-09-04T14:19:47Z</dcterms:created>
  <dcterms:modified xsi:type="dcterms:W3CDTF">2026-09-08T22:13:09Z</dcterms:modified>
</cp:coreProperties>
</file>